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ECA010ED-56AB-44A2-8210-8D3C7C8A932D}" xr6:coauthVersionLast="47" xr6:coauthVersionMax="47" xr10:uidLastSave="{00000000-0000-0000-0000-000000000000}"/>
  <bookViews>
    <workbookView xWindow="6975" yWindow="2490" windowWidth="21810" windowHeight="1299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5" i="1" l="1"/>
  <c r="S24" i="1"/>
  <c r="S23" i="1"/>
  <c r="S22" i="1"/>
  <c r="S21" i="1"/>
  <c r="AB22" i="1"/>
  <c r="S20" i="1"/>
  <c r="AB25" i="1" s="1"/>
  <c r="S18" i="1"/>
  <c r="S17" i="1"/>
  <c r="S16" i="1"/>
  <c r="S15" i="1"/>
  <c r="G15" i="1" s="1"/>
  <c r="J15" i="1" s="1"/>
  <c r="S14" i="1"/>
  <c r="S13" i="1"/>
  <c r="S12" i="1"/>
  <c r="S11" i="1"/>
  <c r="AB18" i="1"/>
  <c r="AB17" i="1"/>
  <c r="AB16" i="1"/>
  <c r="AB15" i="1"/>
  <c r="AB11" i="1"/>
  <c r="S10" i="1"/>
  <c r="AB14" i="1" s="1"/>
  <c r="G13" i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G20" i="1" l="1"/>
  <c r="AB20" i="1"/>
  <c r="K20" i="1" s="1"/>
  <c r="AB21" i="1"/>
  <c r="AB23" i="1"/>
  <c r="K23" i="1" s="1"/>
  <c r="AB24" i="1"/>
  <c r="K24" i="1" s="1"/>
  <c r="M24" i="1" s="1" a="1"/>
  <c r="M24" i="1" s="1"/>
  <c r="O24" i="1" s="1"/>
  <c r="AB10" i="1"/>
  <c r="AB12" i="1"/>
  <c r="AB13" i="1"/>
  <c r="K13" i="1" s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O12" i="3"/>
  <c r="P12" i="3" s="1"/>
  <c r="Q12" i="3" s="1"/>
  <c r="O10" i="3"/>
  <c r="P10" i="3" s="1"/>
  <c r="Q10" i="3" s="1"/>
  <c r="M13" i="3"/>
  <c r="N13" i="3" s="1"/>
  <c r="O13" i="3" s="1"/>
  <c r="P13" i="3" s="1"/>
  <c r="C50" i="1"/>
  <c r="R112" i="3" l="1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E7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D8" i="3"/>
  <c r="E8" i="3" s="1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E6" i="3" s="1"/>
  <c r="D54" i="3"/>
  <c r="E54" i="3" s="1"/>
  <c r="F54" i="3" s="1"/>
  <c r="C17" i="5" a="1"/>
  <c r="C17" i="5" l="1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167" i="3" l="1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<sst xmlns="http://schemas.openxmlformats.org/spreadsheetml/2006/main" count="1291" uniqueCount="448">
  <si>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</si>
  <si>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</si>
  <si>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</si>
  <si>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</si>
  <si>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</si>
  <si>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</si>
  <si>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</si>
  <si>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</si>
  <si>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</si>
  <si>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</si>
  <si>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</si>
  <si>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</si>
  <si>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</si>
  <si>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</si>
  <si>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</si>
  <si>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</si>
  <si>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</si>
  <si>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</si>
  <si>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</si>
  <si>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</si>
  <si>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</si>
  <si>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</si>
  <si>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</si>
  <si>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</si>
  <si>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</si>
  <si>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</si>
  <si>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</si>
  <si>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</si>
  <si>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</si>
  <si>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</si>
  <si>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</si>
  <si>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</si>
  <si>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</si>
  <si>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</si>
  <si>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</si>
  <si>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</si>
  <si>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</si>
  <si>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</si>
  <si>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</si>
  <si>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</si>
  <si>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</si>
  <si>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</si>
  <si>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</si>
  <si>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</si>
  <si>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</si>
  <si>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</si>
  <si>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</si>
  <si>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</si>
  <si>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</si>
  <si>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</si>
  <si>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</si>
  <si>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</si>
  <si>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</si>
  <si>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</si>
  <si>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</si>
  <si>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</si>
  <si>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</si>
  <si>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</si>
  <si>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</si>
  <si>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</si>
  <si>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</si>
  <si>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</si>
  <si>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</si>
  <si>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</si>
  <si>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</si>
  <si>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</si>
  <si>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</si>
  <si>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</si>
  <si>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</si>
  <si>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</si>
  <si>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</si>
  <si>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</si>
  <si>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</si>
  <si>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</si>
  <si>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</si>
  <si>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</si>
  <si>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</si>
  <si>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</si>
  <si>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</si>
  <si>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</si>
  <si>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</si>
  <si>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</si>
  <si>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</si>
  <si>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</si>
  <si>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</si>
  <si>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</si>
  <si>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</si>
  <si>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</si>
  <si>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</si>
  <si>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</si>
  <si>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</si>
  <si>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</si>
  <si>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</si>
  <si>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</si>
  <si>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</si>
  <si>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</si>
  <si>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</si>
  <si>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</si>
  <si>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</si>
  <si>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</si>
  <si>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</si>
  <si>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</si>
  <si>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</si>
  <si>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</si>
  <si>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</si>
  <si>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</si>
  <si>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</si>
  <si>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</si>
  <si>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</si>
  <si>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</si>
  <si>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</si>
  <si>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</si>
  <si>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</si>
  <si>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</si>
  <si>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</si>
  <si>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</si>
  <si>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</si>
  <si>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</si>
  <si>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</si>
  <si>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</si>
  <si>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</si>
  <si>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</si>
  <si>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</si>
  <si>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</si>
  <si>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</si>
  <si>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</si>
  <si>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</si>
  <si>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</si>
  <si>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</si>
  <si>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</si>
  <si>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</si>
  <si>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</si>
  <si>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</si>
  <si>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</si>
  <si>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</si>
  <si>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</si>
  <si>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</si>
  <si>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</si>
  <si>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</si>
  <si>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</si>
  <si>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</si>
  <si>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</si>
  <si>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</si>
  <si>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</si>
  <si>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</si>
  <si>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</si>
  <si>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</si>
  <si>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</si>
  <si>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</si>
  <si>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</si>
  <si>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</si>
  <si>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</si>
  <si>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</si>
  <si>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</si>
  <si>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</si>
  <si>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</si>
  <si>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</si>
  <si>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</si>
  <si>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</si>
  <si>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</si>
  <si>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</si>
  <si>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</si>
  <si>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</si>
  <si>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</si>
  <si>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</si>
  <si>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</si>
  <si>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</si>
  <si>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</si>
  <si>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</si>
  <si>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</si>
  <si>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</si>
  <si>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</si>
  <si>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</si>
  <si>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</si>
  <si>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</si>
  <si>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</si>
  <si>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</si>
  <si>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</si>
  <si>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</si>
  <si>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</si>
  <si>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</si>
  <si>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</si>
  <si>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</si>
  <si>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</si>
  <si>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</si>
  <si>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</si>
  <si>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</si>
  <si>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</si>
  <si>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</si>
  <si>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</si>
  <si>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</si>
  <si>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</si>
  <si>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</si>
  <si>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</si>
  <si>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</si>
  <si>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</si>
  <si>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</si>
  <si>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</si>
  <si>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</si>
  <si>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</si>
  <si>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</si>
  <si>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</si>
  <si>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</si>
  <si>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</si>
  <si>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</si>
  <si>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</si>
  <si>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</si>
  <si>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</si>
  <si>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</si>
  <si>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</si>
  <si>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</si>
  <si>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</si>
  <si>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</si>
  <si>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</si>
  <si>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</si>
  <si>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</si>
  <si>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</si>
  <si>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</si>
  <si>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</si>
  <si>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</si>
  <si>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</si>
  <si>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</si>
  <si>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</si>
  <si>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</si>
  <si>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</si>
  <si>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</si>
  <si>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</si>
  <si>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</si>
  <si>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</si>
  <si>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</si>
  <si>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</si>
  <si>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</si>
  <si>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</si>
  <si>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</si>
  <si>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</si>
  <si>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</si>
  <si>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</si>
  <si>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</si>
  <si>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</si>
  <si>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</si>
  <si>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</si>
  <si>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</si>
  <si>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</si>
  <si>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</si>
  <si>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</si>
  <si>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</si>
  <si>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</si>
  <si>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</si>
  <si>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</si>
  <si>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</si>
  <si>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</si>
  <si>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</si>
  <si>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</si>
  <si>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</si>
  <si>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</si>
  <si>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</si>
  <si>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</si>
  <si>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</si>
  <si>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</si>
  <si>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</si>
  <si>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</si>
  <si>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</si>
  <si>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</si>
  <si>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</si>
  <si>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</si>
  <si>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</si>
  <si>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</si>
  <si>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</si>
  <si>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</si>
  <si>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</si>
  <si>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</si>
  <si>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</si>
  <si>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</si>
  <si>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</si>
  <si>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</si>
  <si>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</si>
  <si>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</si>
  <si>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</si>
  <si>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</si>
  <si>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</si>
  <si>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</si>
  <si>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</si>
  <si>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</si>
  <si>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</si>
  <si>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</si>
  <si>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</si>
  <si>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</si>
  <si>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</si>
  <si>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</si>
  <si>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</si>
  <si>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</si>
  <si>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</si>
  <si>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</si>
  <si>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</si>
  <si>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</si>
  <si>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</si>
  <si>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</si>
  <si>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</si>
  <si>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</si>
  <si>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</si>
  <si>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</si>
  <si>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</si>
  <si>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</si>
  <si>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</si>
  <si>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</si>
  <si>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</si>
  <si>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</si>
  <si>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</si>
  <si>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</si>
  <si>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</si>
  <si>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</si>
  <si>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</si>
  <si>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</si>
  <si>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</si>
  <si>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</si>
  <si>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</si>
  <si>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</si>
  <si>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</si>
  <si>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</si>
  <si>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</si>
  <si>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</si>
  <si>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</si>
  <si>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</si>
  <si>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</si>
  <si>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</si>
  <si>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</si>
  <si>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</si>
  <si>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</si>
  <si>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</si>
  <si>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</si>
  <si>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</si>
  <si>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</si>
  <si>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</si>
  <si>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</si>
  <si>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</si>
  <si>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</si>
  <si>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</si>
  <si>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</si>
  <si>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</si>
  <si>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</si>
  <si>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</si>
  <si>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</si>
  <si>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</si>
  <si>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</si>
  <si>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</si>
  <si>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</si>
  <si>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</si>
  <si>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</si>
  <si>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</si>
  <si>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</si>
  <si>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</si>
  <si>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</si>
  <si>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</si>
  <si>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</si>
  <si>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</si>
  <si>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</si>
  <si>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</si>
  <si>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</si>
  <si>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</si>
  <si>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</si>
  <si>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</si>
  <si>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</si>
  <si>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</si>
  <si>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</si>
  <si>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</si>
  <si>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</si>
  <si>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</si>
  <si>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</si>
  <si>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</si>
  <si>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</si>
  <si>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</si>
  <si>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</si>
  <si>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</si>
  <si>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</si>
  <si>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</si>
  <si>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</si>
  <si>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</si>
  <si>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</si>
  <si>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</si>
  <si>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</si>
  <si>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</si>
  <si>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</si>
  <si>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</si>
  <si>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</si>
  <si>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</si>
  <si>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</si>
  <si>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</si>
  <si>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</si>
  <si>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</si>
  <si>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</si>
  <si>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</si>
  <si>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</si>
  <si>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</si>
  <si>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</si>
  <si>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</si>
  <si>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</si>
  <si>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</si>
  <si>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</si>
  <si>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</si>
  <si>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</si>
  <si>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</si>
  <si>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</si>
  <si>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</si>
  <si>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</si>
  <si>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</si>
  <si>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</si>
  <si>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</si>
  <si>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</si>
  <si>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</si>
  <si>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</si>
  <si>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</si>
  <si>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</si>
  <si>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</si>
  <si>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</si>
  <si>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</si>
  <si>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</si>
  <si>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</si>
  <si>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</si>
  <si>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</si>
  <si>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</si>
  <si>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</si>
  <si>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</si>
  <si>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</si>
  <si>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</si>
  <si>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</si>
  <si>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</si>
  <si>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</si>
  <si>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</si>
  <si>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</si>
  <si>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</si>
  <si>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</si>
  <si>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</si>
  <si>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</si>
  <si>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</si>
  <si>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</si>
  <si>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</si>
  <si>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</si>
  <si>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</si>
  <si>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</si>
  <si>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</si>
  <si>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</si>
  <si>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</si>
  <si>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</si>
  <si>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</si>
  <si>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</si>
  <si>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</si>
  <si>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米沢市</t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</si>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</sst>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K1" zoomScale="70" zoomScaleNormal="70" workbookViewId="0">
      <pane ySplit="3" topLeftCell="A16" activePane="bottomLeft" state="frozen"/>
      <selection activeCell="E20" sqref="E20"/>
      <selection pane="bottomLeft" activeCell="T27" sqref="T2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99999896001</v>
      </c>
      <c r="G10" s="29">
        <f t="shared" si="2"/>
        <v>99999896001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99999896001介護施設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99999896001</v>
      </c>
      <c r="N10">
        <f>IF(L10&lt;&gt;"○",M10,INDEX(G$4:G9,MATCH(L10&amp;M10,F$4:F9,0)))</f>
        <v>99999896001</v>
      </c>
      <c r="O10" t="str">
        <f t="shared" si="8"/>
        <v>介護施設</v>
      </c>
      <c r="Q10" s="4">
        <v>44925</v>
      </c>
      <c r="S10" t="str">
        <f>$O$1&amp;
896&amp;
REPT("0",3-LEN(ROW($S1)))&amp;ROW($S1)</f>
        <v>99999896001</v>
      </c>
      <c r="T10" t="s">
        <v>50</v>
      </c>
      <c r="U10" t="s">
        <v>50</v>
      </c>
      <c r="V10" t="s">
        <v>446</v>
      </c>
      <c r="AB10" t="str">
        <f>$S$10&amp;"介護施設"</f>
        <v>99999896001介護施設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99999896002</v>
      </c>
      <c r="G11" s="29">
        <f t="shared" si="2"/>
        <v>99999896002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99999896001関連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99999896001</v>
      </c>
      <c r="N11">
        <f>IF(L11&lt;&gt;"○",M11,INDEX(G$4:G10,MATCH(L11&amp;M11,F$4:F10,0)))</f>
        <v>99999896001</v>
      </c>
      <c r="O11" t="str">
        <f t="shared" si="8"/>
        <v>関連</v>
      </c>
      <c r="Q11" s="4">
        <v>44925</v>
      </c>
      <c r="S11" t="str">
        <f t="shared" ref="S11:S18" si="9">$O$1&amp;
896&amp;
REPT("0",3-LEN(ROW($S2)))&amp;ROW($S2)</f>
        <v>99999896002</v>
      </c>
      <c r="T11" t="s">
        <v>50</v>
      </c>
      <c r="U11" t="s">
        <v>50</v>
      </c>
      <c r="V11" t="s">
        <v>446</v>
      </c>
      <c r="AB11" t="str">
        <f>$S$10&amp;"関連"</f>
        <v>99999896001関連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99999896003</v>
      </c>
      <c r="G12" s="29">
        <f t="shared" si="2"/>
        <v>99999896003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99999896001関連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99999896001</v>
      </c>
      <c r="N12">
        <f>IF(L12&lt;&gt;"○",M12,INDEX(G$4:G11,MATCH(L12&amp;M12,F$4:F11,0)))</f>
        <v>99999896001</v>
      </c>
      <c r="O12" t="str">
        <f t="shared" si="8"/>
        <v>関連</v>
      </c>
      <c r="Q12" s="4">
        <v>44925</v>
      </c>
      <c r="S12" t="str">
        <f t="shared" si="9"/>
        <v>99999896003</v>
      </c>
      <c r="T12" t="s">
        <v>50</v>
      </c>
      <c r="U12" t="s">
        <v>50</v>
      </c>
      <c r="V12" t="s">
        <v>446</v>
      </c>
      <c r="AB12" t="str">
        <f t="shared" ref="AB12:AB18" si="10">$S$10&amp;"関連"</f>
        <v>99999896001関連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99999896004</v>
      </c>
      <c r="G13" s="29">
        <f t="shared" si="2"/>
        <v>99999896004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99999896001関連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99999896001</v>
      </c>
      <c r="N13">
        <f>IF(L13&lt;&gt;"○",M13,INDEX(G$4:G12,MATCH(L13&amp;M13,F$4:F12,0)))</f>
        <v>99999896001</v>
      </c>
      <c r="O13" t="str">
        <f t="shared" si="8"/>
        <v>関連</v>
      </c>
      <c r="Q13" s="4">
        <v>44925</v>
      </c>
      <c r="S13" t="str">
        <f t="shared" si="9"/>
        <v>99999896004</v>
      </c>
      <c r="T13" t="s">
        <v>50</v>
      </c>
      <c r="U13" t="s">
        <v>50</v>
      </c>
      <c r="V13" t="s">
        <v>446</v>
      </c>
      <c r="AB13" t="str">
        <f t="shared" si="10"/>
        <v>99999896001関連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99999896005</v>
      </c>
      <c r="G14" s="29">
        <f t="shared" si="2"/>
        <v>99999896005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99999896001関連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99999896001</v>
      </c>
      <c r="N14">
        <f>IF(L14&lt;&gt;"○",M14,INDEX(G$4:G13,MATCH(L14&amp;M14,F$4:F13,0)))</f>
        <v>99999896001</v>
      </c>
      <c r="O14" t="str">
        <f t="shared" si="8"/>
        <v>関連</v>
      </c>
      <c r="Q14" s="4">
        <v>44925</v>
      </c>
      <c r="S14" t="str">
        <f t="shared" si="9"/>
        <v>99999896005</v>
      </c>
      <c r="T14" t="s">
        <v>50</v>
      </c>
      <c r="U14" t="s">
        <v>50</v>
      </c>
      <c r="V14" t="s">
        <v>446</v>
      </c>
      <c r="AB14" t="str">
        <f t="shared" si="10"/>
        <v>99999896001関連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99999896006</v>
      </c>
      <c r="G15" s="29">
        <f t="shared" si="2"/>
        <v>99999896006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99999896001関連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99999896001</v>
      </c>
      <c r="N15">
        <f>IF(L15&lt;&gt;"○",M15,INDEX(G$4:G14,MATCH(L15&amp;M15,F$4:F14,0)))</f>
        <v>99999896001</v>
      </c>
      <c r="O15" t="str">
        <f t="shared" si="8"/>
        <v>関連</v>
      </c>
      <c r="Q15" s="4">
        <v>44925</v>
      </c>
      <c r="S15" t="str">
        <f t="shared" si="9"/>
        <v>99999896006</v>
      </c>
      <c r="T15" t="s">
        <v>50</v>
      </c>
      <c r="U15" t="s">
        <v>50</v>
      </c>
      <c r="V15" t="s">
        <v>446</v>
      </c>
      <c r="AB15" t="str">
        <f t="shared" si="10"/>
        <v>99999896001関連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99999896007</v>
      </c>
      <c r="G16" s="29">
        <f t="shared" si="2"/>
        <v>99999896007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米沢市</v>
      </c>
      <c r="K16" s="31" t="str">
        <f t="shared" si="6"/>
        <v>99999896001関連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99999896001</v>
      </c>
      <c r="N16">
        <f>IF(L16&lt;&gt;"○",M16,INDEX(G$4:G15,MATCH(L16&amp;M16,F$4:F15,0)))</f>
        <v>99999896001</v>
      </c>
      <c r="O16" t="str">
        <f t="shared" si="8"/>
        <v>関連</v>
      </c>
      <c r="Q16" s="4">
        <v>44925</v>
      </c>
      <c r="S16" t="str">
        <f t="shared" si="9"/>
        <v>99999896007</v>
      </c>
      <c r="T16" t="s">
        <v>50</v>
      </c>
      <c r="U16" t="s">
        <v>50</v>
      </c>
      <c r="V16" t="s">
        <v>446</v>
      </c>
      <c r="AB16" t="str">
        <f t="shared" si="10"/>
        <v>99999896001関連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99999896008</v>
      </c>
      <c r="G17" s="29">
        <f t="shared" si="2"/>
        <v>99999896008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99999896001関連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99999896001</v>
      </c>
      <c r="N17">
        <f>IF(L17&lt;&gt;"○",M17,INDEX(G$4:G16,MATCH(L17&amp;M17,F$4:F16,0)))</f>
        <v>99999896001</v>
      </c>
      <c r="O17" t="str">
        <f t="shared" si="8"/>
        <v>関連</v>
      </c>
      <c r="Q17" s="4">
        <v>44925</v>
      </c>
      <c r="S17" t="str">
        <f t="shared" si="9"/>
        <v>99999896008</v>
      </c>
      <c r="T17" t="s">
        <v>50</v>
      </c>
      <c r="U17" t="s">
        <v>50</v>
      </c>
      <c r="V17" t="s">
        <v>446</v>
      </c>
      <c r="AB17" t="str">
        <f t="shared" si="10"/>
        <v>99999896001関連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99999896009</v>
      </c>
      <c r="G18" s="29">
        <f t="shared" si="2"/>
        <v>99999896009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99999896001関連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99999896001</v>
      </c>
      <c r="N18">
        <f>IF(L18&lt;&gt;"○",M18,INDEX(G$4:G17,MATCH(L18&amp;M18,F$4:F17,0)))</f>
        <v>99999896001</v>
      </c>
      <c r="O18" t="str">
        <f t="shared" si="8"/>
        <v>関連</v>
      </c>
      <c r="Q18" s="4">
        <v>44925</v>
      </c>
      <c r="S18" t="str">
        <f t="shared" si="9"/>
        <v>99999896009</v>
      </c>
      <c r="T18" t="s">
        <v>50</v>
      </c>
      <c r="U18" t="s">
        <v>50</v>
      </c>
      <c r="V18" t="s">
        <v>446</v>
      </c>
      <c r="AB18" t="str">
        <f t="shared" si="10"/>
        <v>99999896001関連</v>
      </c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99999897001</v>
      </c>
      <c r="G20" s="29">
        <f t="shared" si="2"/>
        <v>99999897001</v>
      </c>
      <c r="H20" s="20" t="str">
        <f t="shared" si="3"/>
        <v>-</v>
      </c>
      <c r="I20" s="20" t="str">
        <f t="shared" si="4"/>
        <v>ー</v>
      </c>
      <c r="J20" s="20" t="str">
        <f t="shared" si="5"/>
        <v>酒田市</v>
      </c>
      <c r="K20" s="31" t="str">
        <f t="shared" si="6"/>
        <v>99999897001介護施設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99999897001</v>
      </c>
      <c r="N20">
        <f>IF(L20&lt;&gt;"○",M20,INDEX(G$4:G19,MATCH(L20&amp;M20,F$4:F19,0)))</f>
        <v>99999897001</v>
      </c>
      <c r="O20" t="str">
        <f t="shared" si="8"/>
        <v>介護施設</v>
      </c>
      <c r="Q20" s="4">
        <v>44925</v>
      </c>
      <c r="S20" t="str">
        <f>$O$1&amp;
897&amp;
REPT("0",3-LEN(ROW($S1)))&amp;ROW($S1)</f>
        <v>99999897001</v>
      </c>
      <c r="T20" t="s">
        <v>50</v>
      </c>
      <c r="U20" t="s">
        <v>50</v>
      </c>
      <c r="V20" t="s">
        <v>447</v>
      </c>
      <c r="AB20" t="str">
        <f>$S$20&amp;"介護施設"</f>
        <v>99999897001介護施設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99999897002</v>
      </c>
      <c r="G21" s="29">
        <f t="shared" si="2"/>
        <v>99999897002</v>
      </c>
      <c r="H21" s="20" t="str">
        <f t="shared" si="3"/>
        <v>-</v>
      </c>
      <c r="I21" s="20" t="str">
        <f t="shared" si="4"/>
        <v>ー</v>
      </c>
      <c r="J21" s="20" t="str">
        <f t="shared" si="5"/>
        <v>酒田市</v>
      </c>
      <c r="K21" s="31" t="str">
        <f t="shared" si="6"/>
        <v>99999897001関連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99999897001</v>
      </c>
      <c r="N21">
        <f>IF(L21&lt;&gt;"○",M21,INDEX(G$4:G20,MATCH(L21&amp;M21,F$4:F20,0)))</f>
        <v>99999897001</v>
      </c>
      <c r="O21" t="str">
        <f t="shared" si="8"/>
        <v>関連</v>
      </c>
      <c r="Q21" s="4">
        <v>44925</v>
      </c>
      <c r="S21" t="str">
        <f t="shared" ref="S21:S25" si="11">$O$1&amp;
897&amp;
REPT("0",3-LEN(ROW($S2)))&amp;ROW($S2)</f>
        <v>99999897002</v>
      </c>
      <c r="T21" t="s">
        <v>50</v>
      </c>
      <c r="U21" t="s">
        <v>50</v>
      </c>
      <c r="V21" t="s">
        <v>447</v>
      </c>
      <c r="AB21" t="str">
        <f>$S$20&amp;"関連"</f>
        <v>99999897001関連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99999897003</v>
      </c>
      <c r="G22" s="29">
        <f t="shared" si="2"/>
        <v>99999897003</v>
      </c>
      <c r="H22" s="20" t="str">
        <f t="shared" si="3"/>
        <v>-</v>
      </c>
      <c r="I22" s="20" t="str">
        <f t="shared" si="4"/>
        <v>ー</v>
      </c>
      <c r="J22" s="20" t="str">
        <f t="shared" si="5"/>
        <v>酒田市</v>
      </c>
      <c r="K22" s="31" t="str">
        <f t="shared" si="6"/>
        <v>99999897001関連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99999897001</v>
      </c>
      <c r="N22">
        <f>IF(L22&lt;&gt;"○",M22,INDEX(G$4:G21,MATCH(L22&amp;M22,F$4:F21,0)))</f>
        <v>99999897001</v>
      </c>
      <c r="O22" t="str">
        <f t="shared" si="8"/>
        <v>関連</v>
      </c>
      <c r="Q22" s="4">
        <v>44925</v>
      </c>
      <c r="S22" t="str">
        <f t="shared" si="11"/>
        <v>99999897003</v>
      </c>
      <c r="T22" t="s">
        <v>50</v>
      </c>
      <c r="U22" t="s">
        <v>50</v>
      </c>
      <c r="V22" t="s">
        <v>447</v>
      </c>
      <c r="AB22" t="str">
        <f t="shared" ref="AB22:AB25" si="12">$S$20&amp;"関連"</f>
        <v>99999897001関連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99999897004</v>
      </c>
      <c r="G23" s="29">
        <f t="shared" si="2"/>
        <v>99999897004</v>
      </c>
      <c r="H23" s="20" t="str">
        <f t="shared" si="3"/>
        <v>-</v>
      </c>
      <c r="I23" s="20" t="str">
        <f t="shared" si="4"/>
        <v>ー</v>
      </c>
      <c r="J23" s="20" t="str">
        <f t="shared" si="5"/>
        <v>酒田市</v>
      </c>
      <c r="K23" s="31" t="str">
        <f t="shared" si="6"/>
        <v>99999897001関連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99999897001</v>
      </c>
      <c r="N23">
        <f>IF(L23&lt;&gt;"○",M23,INDEX(G$4:G22,MATCH(L23&amp;M23,F$4:F22,0)))</f>
        <v>99999897001</v>
      </c>
      <c r="O23" t="str">
        <f t="shared" si="8"/>
        <v>関連</v>
      </c>
      <c r="Q23" s="4">
        <v>44925</v>
      </c>
      <c r="S23" t="str">
        <f t="shared" si="11"/>
        <v>99999897004</v>
      </c>
      <c r="T23" t="s">
        <v>50</v>
      </c>
      <c r="U23" t="s">
        <v>50</v>
      </c>
      <c r="V23" t="s">
        <v>447</v>
      </c>
      <c r="AB23" t="str">
        <f t="shared" si="12"/>
        <v>99999897001関連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99999897005</v>
      </c>
      <c r="G24" s="29">
        <f t="shared" si="2"/>
        <v>99999897005</v>
      </c>
      <c r="H24" s="20" t="str">
        <f t="shared" si="3"/>
        <v>-</v>
      </c>
      <c r="I24" s="20" t="str">
        <f t="shared" si="4"/>
        <v>ー</v>
      </c>
      <c r="J24" s="20" t="str">
        <f t="shared" si="5"/>
        <v>酒田市</v>
      </c>
      <c r="K24" s="31" t="str">
        <f t="shared" si="6"/>
        <v>99999897001関連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99999897001</v>
      </c>
      <c r="N24">
        <f>IF(L24&lt;&gt;"○",M24,INDEX(G$4:G23,MATCH(L24&amp;M24,F$4:F23,0)))</f>
        <v>99999897001</v>
      </c>
      <c r="O24" t="str">
        <f t="shared" si="8"/>
        <v>関連</v>
      </c>
      <c r="Q24" s="4">
        <v>44925</v>
      </c>
      <c r="S24" t="str">
        <f t="shared" si="11"/>
        <v>99999897005</v>
      </c>
      <c r="T24" t="s">
        <v>50</v>
      </c>
      <c r="U24" t="s">
        <v>50</v>
      </c>
      <c r="V24" t="s">
        <v>447</v>
      </c>
      <c r="AB24" t="str">
        <f t="shared" si="12"/>
        <v>99999897001関連</v>
      </c>
    </row>
    <row r="25" spans="2:28" x14ac:dyDescent="0.4">
      <c r="B25" t="s">
        <v>21</v>
      </c>
      <c r="C25">
        <f>IF(G25="","",MAX(C$4:C24)+1)</f>
        <v>15</v>
      </c>
      <c r="D25">
        <f>IF(AND(N25=""),"",MAX(D$4:D24)+1)</f>
        <v>15</v>
      </c>
      <c r="F25" s="26" t="str">
        <f t="shared" si="1"/>
        <v>99999897006</v>
      </c>
      <c r="G25" s="29">
        <f t="shared" si="2"/>
        <v>99999897006</v>
      </c>
      <c r="H25" s="20" t="str">
        <f t="shared" si="3"/>
        <v>-</v>
      </c>
      <c r="I25" s="20" t="str">
        <f t="shared" si="4"/>
        <v>ー</v>
      </c>
      <c r="J25" s="20" t="str">
        <f t="shared" si="5"/>
        <v>酒田市</v>
      </c>
      <c r="K25" s="31" t="str">
        <f t="shared" si="6"/>
        <v>99999897001関連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99999897001</v>
      </c>
      <c r="N25">
        <f>IF(L25&lt;&gt;"○",M25,INDEX(G$4:G24,MATCH(L25&amp;M25,F$4:F24,0)))</f>
        <v>99999897001</v>
      </c>
      <c r="O25" t="str">
        <f t="shared" si="8"/>
        <v>関連</v>
      </c>
      <c r="Q25" s="4">
        <v>44925</v>
      </c>
      <c r="S25" t="str">
        <f t="shared" si="11"/>
        <v>99999897006</v>
      </c>
      <c r="T25" t="s">
        <v>50</v>
      </c>
      <c r="U25" t="s">
        <v>50</v>
      </c>
      <c r="V25" t="s">
        <v>447</v>
      </c>
      <c r="AB25" t="str">
        <f t="shared" si="12"/>
        <v>99999897001関連</v>
      </c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2022/12/30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99999896001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99999896001介護施設</v>
      </c>
      <c r="I3" s="1">
        <f>IF(H3&lt;&gt;"",IF(ROW(G1)&gt;MAX(Main!$C$4:$C$1048576),"",INDEX(Main!N$4:N$1048576,MATCH(ROW(G1),Main!$C$4:$C$1048576,0))),"")</f>
        <v>99999896001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クラスターNo.896</v>
      </c>
      <c r="M3" s="4" t="str">
        <f>TEXT(IF(ROW(A1)&gt;MAX(Main!$D$4:$D$1048576),"",INDEX(Main!Q$4:Q$1048576,MATCH(ROW(A1),Main!$D$4:$D$1048576,0))), "yyyy/m/d")</f>
        <v>2022/12/30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99999896001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99999896001介護施設</v>
      </c>
      <c r="T3" s="1">
        <f>IF(S3&lt;&gt;"",IF(ROW(G1)&gt;MAX(Main!$D$4:$D$1048576),"",INDEX(Main!N$4:N$1048576,MATCH(ROW(G1),Main!$D$4:$D$1048576,0))),"")</f>
        <v>99999896001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2022/12/30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99999896002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99999896001関連</v>
      </c>
      <c r="I4" s="1">
        <f>IF(H4&lt;&gt;"",IF(ROW(G2)&gt;MAX(Main!$C$4:$C$1048576),"",INDEX(Main!N$4:N$1048576,MATCH(ROW(G2),Main!$C$4:$C$1048576,0))),"")</f>
        <v>99999896001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クラスターNo.896</v>
      </c>
      <c r="M4" s="4" t="str">
        <f>TEXT(IF(ROW(A2)&gt;MAX(Main!$D$4:$D$1048576),"",INDEX(Main!Q$4:Q$1048576,MATCH(ROW(A2),Main!$D$4:$D$1048576,0))), "yyyy/m/d")</f>
        <v>2022/12/30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99999896002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99999896001関連</v>
      </c>
      <c r="T4" s="1">
        <f>IF(S4&lt;&gt;"",IF(ROW(G2)&gt;MAX(Main!$D$4:$D$1048576),"",INDEX(Main!N$4:N$1048576,MATCH(ROW(G2),Main!$D$4:$D$1048576,0))),"")</f>
        <v>99999896001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2022/12/30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99999896003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99999896001関連</v>
      </c>
      <c r="I5" s="1">
        <f>IF(H5&lt;&gt;"",IF(ROW(G3)&gt;MAX(Main!$C$4:$C$1048576),"",INDEX(Main!N$4:N$1048576,MATCH(ROW(G3),Main!$C$4:$C$1048576,0))),"")</f>
        <v>99999896001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クラスターNo.896</v>
      </c>
      <c r="M5" s="4" t="str">
        <f>TEXT(IF(ROW(A3)&gt;MAX(Main!$D$4:$D$1048576),"",INDEX(Main!Q$4:Q$1048576,MATCH(ROW(A3),Main!$D$4:$D$1048576,0))), "yyyy/m/d")</f>
        <v>2022/12/30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99999896003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99999896001関連</v>
      </c>
      <c r="T5" s="1">
        <f>IF(S5&lt;&gt;"",IF(ROW(G3)&gt;MAX(Main!$D$4:$D$1048576),"",INDEX(Main!N$4:N$1048576,MATCH(ROW(G3),Main!$D$4:$D$1048576,0))),"")</f>
        <v>99999896001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2022/12/30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99999896004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99999896001関連</v>
      </c>
      <c r="I6" s="1">
        <f>IF(H6&lt;&gt;"",IF(ROW(G4)&gt;MAX(Main!$C$4:$C$1048576),"",INDEX(Main!N$4:N$1048576,MATCH(ROW(G4),Main!$C$4:$C$1048576,0))),"")</f>
        <v>99999896001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クラスターNo.896</v>
      </c>
      <c r="M6" s="4" t="str">
        <f>TEXT(IF(ROW(A4)&gt;MAX(Main!$D$4:$D$1048576),"",INDEX(Main!Q$4:Q$1048576,MATCH(ROW(A4),Main!$D$4:$D$1048576,0))), "yyyy/m/d")</f>
        <v>2022/12/30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99999896004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99999896001関連</v>
      </c>
      <c r="T6" s="1">
        <f>IF(S6&lt;&gt;"",IF(ROW(G4)&gt;MAX(Main!$D$4:$D$1048576),"",INDEX(Main!N$4:N$1048576,MATCH(ROW(G4),Main!$D$4:$D$1048576,0))),"")</f>
        <v>99999896001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2022/12/30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99999896005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99999896001関連</v>
      </c>
      <c r="I7" s="1">
        <f>IF(H7&lt;&gt;"",IF(ROW(G5)&gt;MAX(Main!$C$4:$C$1048576),"",INDEX(Main!N$4:N$1048576,MATCH(ROW(G5),Main!$C$4:$C$1048576,0))),"")</f>
        <v>99999896001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クラスターNo.896</v>
      </c>
      <c r="M7" s="4" t="str">
        <f>TEXT(IF(ROW(A5)&gt;MAX(Main!$D$4:$D$1048576),"",INDEX(Main!Q$4:Q$1048576,MATCH(ROW(A5),Main!$D$4:$D$1048576,0))), "yyyy/m/d")</f>
        <v>2022/12/30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99999896005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99999896001関連</v>
      </c>
      <c r="T7" s="1">
        <f>IF(S7&lt;&gt;"",IF(ROW(G5)&gt;MAX(Main!$D$4:$D$1048576),"",INDEX(Main!N$4:N$1048576,MATCH(ROW(G5),Main!$D$4:$D$1048576,0))),"")</f>
        <v>99999896001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2022/12/30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99999896006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99999896001関連</v>
      </c>
      <c r="I8" s="1">
        <f>IF(H8&lt;&gt;"",IF(ROW(G6)&gt;MAX(Main!$C$4:$C$1048576),"",INDEX(Main!N$4:N$1048576,MATCH(ROW(G6),Main!$C$4:$C$1048576,0))),"")</f>
        <v>99999896001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クラスターNo.896</v>
      </c>
      <c r="M8" s="4" t="str">
        <f>TEXT(IF(ROW(A6)&gt;MAX(Main!$D$4:$D$1048576),"",INDEX(Main!Q$4:Q$1048576,MATCH(ROW(A6),Main!$D$4:$D$1048576,0))), "yyyy/m/d")</f>
        <v>2022/12/30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99999896006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99999896001関連</v>
      </c>
      <c r="T8" s="1">
        <f>IF(S8&lt;&gt;"",IF(ROW(G6)&gt;MAX(Main!$D$4:$D$1048576),"",INDEX(Main!N$4:N$1048576,MATCH(ROW(G6),Main!$D$4:$D$1048576,0))),"")</f>
        <v>99999896001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2022/12/30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99999896007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99999896001関連</v>
      </c>
      <c r="I9" s="1">
        <f>IF(H9&lt;&gt;"",IF(ROW(G7)&gt;MAX(Main!$C$4:$C$1048576),"",INDEX(Main!N$4:N$1048576,MATCH(ROW(G7),Main!$C$4:$C$1048576,0))),"")</f>
        <v>99999896001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クラスターNo.896</v>
      </c>
      <c r="M9" s="4" t="str">
        <f>TEXT(IF(ROW(A7)&gt;MAX(Main!$D$4:$D$1048576),"",INDEX(Main!Q$4:Q$1048576,MATCH(ROW(A7),Main!$D$4:$D$1048576,0))), "yyyy/m/d")</f>
        <v>2022/12/30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99999896007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99999896001関連</v>
      </c>
      <c r="T9" s="1">
        <f>IF(S9&lt;&gt;"",IF(ROW(G7)&gt;MAX(Main!$D$4:$D$1048576),"",INDEX(Main!N$4:N$1048576,MATCH(ROW(G7),Main!$D$4:$D$1048576,0))),"")</f>
        <v>99999896001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2022/12/30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99999896008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99999896001関連</v>
      </c>
      <c r="I10" s="1">
        <f>IF(H10&lt;&gt;"",IF(ROW(G8)&gt;MAX(Main!$C$4:$C$1048576),"",INDEX(Main!N$4:N$1048576,MATCH(ROW(G8),Main!$C$4:$C$1048576,0))),"")</f>
        <v>99999896001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クラスターNo.896</v>
      </c>
      <c r="M10" s="4" t="str">
        <f>TEXT(IF(ROW(A8)&gt;MAX(Main!$D$4:$D$1048576),"",INDEX(Main!Q$4:Q$1048576,MATCH(ROW(A8),Main!$D$4:$D$1048576,0))), "yyyy/m/d")</f>
        <v>2022/12/30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99999896008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99999896001関連</v>
      </c>
      <c r="T10" s="1">
        <f>IF(S10&lt;&gt;"",IF(ROW(G8)&gt;MAX(Main!$D$4:$D$1048576),"",INDEX(Main!N$4:N$1048576,MATCH(ROW(G8),Main!$D$4:$D$1048576,0))),"")</f>
        <v>99999896001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2022/12/30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99999896009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99999896001関連</v>
      </c>
      <c r="I11" s="1">
        <f>IF(H11&lt;&gt;"",IF(ROW(G9)&gt;MAX(Main!$C$4:$C$1048576),"",INDEX(Main!N$4:N$1048576,MATCH(ROW(G9),Main!$C$4:$C$1048576,0))),"")</f>
        <v>99999896001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クラスターNo.896</v>
      </c>
      <c r="M11" s="4" t="str">
        <f>TEXT(IF(ROW(A9)&gt;MAX(Main!$D$4:$D$1048576),"",INDEX(Main!Q$4:Q$1048576,MATCH(ROW(A9),Main!$D$4:$D$1048576,0))), "yyyy/m/d")</f>
        <v>2022/12/30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99999896009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99999896001関連</v>
      </c>
      <c r="T11" s="1">
        <f>IF(S11&lt;&gt;"",IF(ROW(G9)&gt;MAX(Main!$D$4:$D$1048576),"",INDEX(Main!N$4:N$1048576,MATCH(ROW(G9),Main!$D$4:$D$1048576,0))),"")</f>
        <v>99999896001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2022/12/30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99999897001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99999897001介護施設</v>
      </c>
      <c r="I12" s="1">
        <f>IF(H12&lt;&gt;"",IF(ROW(G10)&gt;MAX(Main!$C$4:$C$1048576),"",INDEX(Main!N$4:N$1048576,MATCH(ROW(G10),Main!$C$4:$C$1048576,0))),"")</f>
        <v>99999897001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介護施設</v>
      </c>
      <c r="K12" s="27" t="str">
        <f t="shared" si="1"/>
        <v>クラスターNo.897</v>
      </c>
      <c r="M12" s="4" t="str">
        <f>TEXT(IF(ROW(A10)&gt;MAX(Main!$D$4:$D$1048576),"",INDEX(Main!Q$4:Q$1048576,MATCH(ROW(A10),Main!$D$4:$D$1048576,0))), "yyyy/m/d")</f>
        <v>2022/12/30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99999897001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99999897001介護施設</v>
      </c>
      <c r="T12" s="1">
        <f>IF(S12&lt;&gt;"",IF(ROW(G10)&gt;MAX(Main!$D$4:$D$1048576),"",INDEX(Main!N$4:N$1048576,MATCH(ROW(G10),Main!$D$4:$D$1048576,0))),"")</f>
        <v>99999897001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介護施設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2022/12/30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99999897002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酒田市</v>
      </c>
      <c r="H13" s="10" t="str">
        <f>IF(ROW(G11)&gt;MAX(Main!$C$4:$C$1048576),"",INDEX(Main!K$4:K$1048576,MATCH(ROW(G11),Main!$C$4:$C$1048576,0)))</f>
        <v>99999897001関連</v>
      </c>
      <c r="I13" s="1">
        <f>IF(H13&lt;&gt;"",IF(ROW(G11)&gt;MAX(Main!$C$4:$C$1048576),"",INDEX(Main!N$4:N$1048576,MATCH(ROW(G11),Main!$C$4:$C$1048576,0))),"")</f>
        <v>99999897001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クラスターNo.897</v>
      </c>
      <c r="M13" s="4" t="str">
        <f>TEXT(IF(ROW(A11)&gt;MAX(Main!$D$4:$D$1048576),"",INDEX(Main!Q$4:Q$1048576,MATCH(ROW(A11),Main!$D$4:$D$1048576,0))), "yyyy/m/d")</f>
        <v>2022/12/30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99999897002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酒田市</v>
      </c>
      <c r="S13" s="9" t="str">
        <f>IF(ROW(G11)&gt;MAX(Main!$D$4:$D$1048576),"",INDEX(Main!K$4:K$1048576,MATCH(ROW(G11),Main!$D$4:$D$1048576,0)))</f>
        <v>99999897001関連</v>
      </c>
      <c r="T13" s="1">
        <f>IF(S13&lt;&gt;"",IF(ROW(G11)&gt;MAX(Main!$D$4:$D$1048576),"",INDEX(Main!N$4:N$1048576,MATCH(ROW(G11),Main!$D$4:$D$1048576,0))),"")</f>
        <v>99999897001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2022/12/30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99999897003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酒田市</v>
      </c>
      <c r="H14" s="10" t="str">
        <f>IF(ROW(G12)&gt;MAX(Main!$C$4:$C$1048576),"",INDEX(Main!K$4:K$1048576,MATCH(ROW(G12),Main!$C$4:$C$1048576,0)))</f>
        <v>99999897001関連</v>
      </c>
      <c r="I14" s="1">
        <f>IF(H14&lt;&gt;"",IF(ROW(G12)&gt;MAX(Main!$C$4:$C$1048576),"",INDEX(Main!N$4:N$1048576,MATCH(ROW(G12),Main!$C$4:$C$1048576,0))),"")</f>
        <v>99999897001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クラスターNo.897</v>
      </c>
      <c r="M14" s="4" t="str">
        <f>TEXT(IF(ROW(A12)&gt;MAX(Main!$D$4:$D$1048576),"",INDEX(Main!Q$4:Q$1048576,MATCH(ROW(A12),Main!$D$4:$D$1048576,0))), "yyyy/m/d")</f>
        <v>2022/12/30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99999897003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酒田市</v>
      </c>
      <c r="S14" s="9" t="str">
        <f>IF(ROW(G12)&gt;MAX(Main!$D$4:$D$1048576),"",INDEX(Main!K$4:K$1048576,MATCH(ROW(G12),Main!$D$4:$D$1048576,0)))</f>
        <v>99999897001関連</v>
      </c>
      <c r="T14" s="1">
        <f>IF(S14&lt;&gt;"",IF(ROW(G12)&gt;MAX(Main!$D$4:$D$1048576),"",INDEX(Main!N$4:N$1048576,MATCH(ROW(G12),Main!$D$4:$D$1048576,0))),"")</f>
        <v>99999897001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2022/12/30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99999897004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酒田市</v>
      </c>
      <c r="H15" s="10" t="str">
        <f>IF(ROW(G13)&gt;MAX(Main!$C$4:$C$1048576),"",INDEX(Main!K$4:K$1048576,MATCH(ROW(G13),Main!$C$4:$C$1048576,0)))</f>
        <v>99999897001関連</v>
      </c>
      <c r="I15" s="1">
        <f>IF(H15&lt;&gt;"",IF(ROW(G13)&gt;MAX(Main!$C$4:$C$1048576),"",INDEX(Main!N$4:N$1048576,MATCH(ROW(G13),Main!$C$4:$C$1048576,0))),"")</f>
        <v>99999897001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クラスターNo.897</v>
      </c>
      <c r="M15" s="4" t="str">
        <f>TEXT(IF(ROW(A13)&gt;MAX(Main!$D$4:$D$1048576),"",INDEX(Main!Q$4:Q$1048576,MATCH(ROW(A13),Main!$D$4:$D$1048576,0))), "yyyy/m/d")</f>
        <v>2022/12/30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99999897004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酒田市</v>
      </c>
      <c r="S15" s="9" t="str">
        <f>IF(ROW(G13)&gt;MAX(Main!$D$4:$D$1048576),"",INDEX(Main!K$4:K$1048576,MATCH(ROW(G13),Main!$D$4:$D$1048576,0)))</f>
        <v>99999897001関連</v>
      </c>
      <c r="T15" s="1">
        <f>IF(S15&lt;&gt;"",IF(ROW(G13)&gt;MAX(Main!$D$4:$D$1048576),"",INDEX(Main!N$4:N$1048576,MATCH(ROW(G13),Main!$D$4:$D$1048576,0))),"")</f>
        <v>99999897001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2022/12/30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99999897005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酒田市</v>
      </c>
      <c r="H16" s="10" t="str">
        <f>IF(ROW(G14)&gt;MAX(Main!$C$4:$C$1048576),"",INDEX(Main!K$4:K$1048576,MATCH(ROW(G14),Main!$C$4:$C$1048576,0)))</f>
        <v>99999897001関連</v>
      </c>
      <c r="I16" s="1">
        <f>IF(H16&lt;&gt;"",IF(ROW(G14)&gt;MAX(Main!$C$4:$C$1048576),"",INDEX(Main!N$4:N$1048576,MATCH(ROW(G14),Main!$C$4:$C$1048576,0))),"")</f>
        <v>99999897001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クラスターNo.897</v>
      </c>
      <c r="M16" s="4" t="str">
        <f>TEXT(IF(ROW(A14)&gt;MAX(Main!$D$4:$D$1048576),"",INDEX(Main!Q$4:Q$1048576,MATCH(ROW(A14),Main!$D$4:$D$1048576,0))), "yyyy/m/d")</f>
        <v>2022/12/30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99999897005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酒田市</v>
      </c>
      <c r="S16" s="9" t="str">
        <f>IF(ROW(G14)&gt;MAX(Main!$D$4:$D$1048576),"",INDEX(Main!K$4:K$1048576,MATCH(ROW(G14),Main!$D$4:$D$1048576,0)))</f>
        <v>99999897001関連</v>
      </c>
      <c r="T16" s="1">
        <f>IF(S16&lt;&gt;"",IF(ROW(G14)&gt;MAX(Main!$D$4:$D$1048576),"",INDEX(Main!N$4:N$1048576,MATCH(ROW(G14),Main!$D$4:$D$1048576,0))),"")</f>
        <v>99999897001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2022/12/30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99999897006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酒田市</v>
      </c>
      <c r="H17" s="10" t="str">
        <f>IF(ROW(G15)&gt;MAX(Main!$C$4:$C$1048576),"",INDEX(Main!K$4:K$1048576,MATCH(ROW(G15),Main!$C$4:$C$1048576,0)))</f>
        <v>99999897001関連</v>
      </c>
      <c r="I17" s="1">
        <f>IF(H17&lt;&gt;"",IF(ROW(G15)&gt;MAX(Main!$C$4:$C$1048576),"",INDEX(Main!N$4:N$1048576,MATCH(ROW(G15),Main!$C$4:$C$1048576,0))),"")</f>
        <v>99999897001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クラスターNo.897</v>
      </c>
      <c r="M17" s="4" t="str">
        <f>TEXT(IF(ROW(A15)&gt;MAX(Main!$D$4:$D$1048576),"",INDEX(Main!Q$4:Q$1048576,MATCH(ROW(A15),Main!$D$4:$D$1048576,0))), "yyyy/m/d")</f>
        <v>2022/12/30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99999897006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酒田市</v>
      </c>
      <c r="S17" s="9" t="str">
        <f>IF(ROW(G15)&gt;MAX(Main!$D$4:$D$1048576),"",INDEX(Main!K$4:K$1048576,MATCH(ROW(G15),Main!$D$4:$D$1048576,0)))</f>
        <v>99999897001関連</v>
      </c>
      <c r="T17" s="1">
        <f>IF(S17&lt;&gt;"",IF(ROW(G15)&gt;MAX(Main!$D$4:$D$1048576),"",INDEX(Main!N$4:N$1048576,MATCH(ROW(G15),Main!$D$4:$D$1048576,0))),"")</f>
        <v>99999897001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15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99999896001,
            "date": "2022/12/30",
            "label": "クラスターNo.896\n2022/12/30\n米沢市\n-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99999896002,
            "date": "2022/12/30",
            "label": "クラスターNo.896\n2022/12/30\n米沢市\n-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99999896003,
            "date": "2022/12/30",
            "label": "クラスターNo.896\n2022/12/30\n米沢市\n-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99999896004,
            "date": "2022/12/30",
            "label": "クラスターNo.896\n2022/12/30\n米沢市\n-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99999896005,
            "date": "2022/12/30",
            "label": "クラスターNo.896\n2022/12/30\n米沢市\n-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99999896006,
            "date": "2022/12/30",
            "label": "クラスターNo.896\n2022/12/30\n米沢市\n-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99999896007,
            "date": "2022/12/30",
            "label": "クラスターNo.896\n2022/12/30\n米沢市\n- ー"
        },
        "classes": ["multiline-manual", "else"]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99999896008,
            "date": "2022/12/30",
            "label": "クラスターNo.896\n2022/12/30\n米沢市\n-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99999896009,
            "date": "2022/12/30",
            "label": "クラスターNo.896\n2022/12/30\n米沢市\n-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99999897001,
            "date": "2022/12/30",
            "label": "クラスターNo.897\n2022/12/30\n酒田市\n-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99999897002,
            "date": "2022/12/30",
            "label": "クラスターNo.897\n2022/12/30\n酒田市\n-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99999897003,
            "date": "2022/12/30",
            "label": "クラスターNo.897\n2022/12/30\n酒田市\n-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99999897004,
            "date": "2022/12/30",
            "label": "クラスターNo.897\n2022/12/30\n酒田市\n-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99999897005,
            "date": "2022/12/30",
            "label": "クラスターNo.897\n2022/12/30\n酒田市\n- ー"
        },
        "classes": ["multiline-manual", "else"]
    },
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99999897006,
            "date": "2022/12/30",
            "label": "クラスターNo.897\n2022/12/30\n酒田市\n- ー"
        },
        "classes": ["multiline-manual", "else"]
    }</v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15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"99999896001",
            "target": "99999896001",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"99999896002",
            "target": "99999896001",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"99999896003",
            "target": "99999896001",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"99999896004",
            "target": "99999896001",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"99999896005",
            "target": "99999896001",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"99999896006",
            "target": "99999896001",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"99999896007",
            "target": "99999896001",
            "label": "関連"
        }
    },
</v>
      </c>
    </row>
    <row r="19" spans="2:3" ht="131.25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"99999896008",
            "target": "99999896001",
            "label": "関連"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"99999896009",
            "target": "99999896001",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"99999897001",
            "target": "99999897001",
            "label": "介護施設"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"99999897002",
            "target": "99999897001",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"99999897003",
            "target": "99999897001",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"99999897004",
            "target": "99999897001",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"99999897005",
            "target": "99999897001",
            "label": "関連"
        }
    },
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"99999897006",
            "target": "99999897001",
            "label": "関連"
        }
    }</v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"lastUpdate":"2022/12/30 23:58"}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2022-12-30T14:58:47Z</dcterms:modified>
</cp:coreProperties>
</file>