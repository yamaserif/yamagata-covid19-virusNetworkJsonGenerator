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66925"/>
  <xr:revisionPtr revIDLastSave="0" documentId="13_ncr:1_{A0650DCF-A79C-49FD-82B2-61578FBB256A}" xr6:coauthVersionLast="47" xr6:coauthVersionMax="47" xr10:uidLastSave="{00000000-0000-0000-0000-000000000000}"/>
  <bookViews>
    <workbookView xWindow="1995" yWindow="1980" windowWidth="25095" windowHeight="1305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6" i="1" l="1"/>
  <c r="S15" i="1"/>
  <c r="G15" i="1" s="1"/>
  <c r="J15" i="1" s="1"/>
  <c r="S14" i="1"/>
  <c r="S13" i="1"/>
  <c r="G13" i="1" s="1"/>
  <c r="S12" i="1"/>
  <c r="S11" i="1"/>
  <c r="G11" i="1" s="1"/>
  <c r="I11" i="1" s="1"/>
  <c r="AB16" i="1"/>
  <c r="AB15" i="1"/>
  <c r="AB14" i="1"/>
  <c r="S10" i="1"/>
  <c r="AB13" i="1" s="1"/>
  <c r="G51" i="1"/>
  <c r="I51" i="1" s="1"/>
  <c r="G50" i="1"/>
  <c r="F50" i="1" s="1"/>
  <c r="G37" i="1"/>
  <c r="G25" i="1"/>
  <c r="I25" i="1" s="1"/>
  <c r="G23" i="1"/>
  <c r="G22" i="1"/>
  <c r="I22" i="1" s="1"/>
  <c r="G21" i="1"/>
  <c r="G41" i="1"/>
  <c r="G39" i="1"/>
  <c r="F39" i="1" s="1"/>
  <c r="G32" i="1"/>
  <c r="J32" i="1" s="1"/>
  <c r="G31" i="1"/>
  <c r="H31" i="1" s="1"/>
  <c r="G24" i="1"/>
  <c r="H24" i="1" s="1"/>
  <c r="G16" i="1"/>
  <c r="I16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AB12" i="1" l="1"/>
  <c r="AB10" i="1"/>
  <c r="K16" i="1"/>
  <c r="L16" i="1" s="1"/>
  <c r="AB11" i="1"/>
  <c r="K11" i="1" s="1"/>
  <c r="L11" i="1" s="1"/>
  <c r="K48" i="1"/>
  <c r="K23" i="1"/>
  <c r="K49" i="1"/>
  <c r="K24" i="1"/>
  <c r="M24" i="1" s="1" a="1"/>
  <c r="M24" i="1" s="1"/>
  <c r="O24" i="1" s="1"/>
  <c r="K50" i="1"/>
  <c r="K51" i="1"/>
  <c r="M51" i="1" s="1" a="1"/>
  <c r="M51" i="1" s="1"/>
  <c r="O51" i="1" s="1"/>
  <c r="K13" i="1"/>
  <c r="K21" i="1"/>
  <c r="M21" i="1" s="1" a="1"/>
  <c r="M21" i="1" s="1"/>
  <c r="O21" i="1" s="1"/>
  <c r="K22" i="1"/>
  <c r="L22" i="1" s="1"/>
  <c r="K30" i="1"/>
  <c r="K15" i="1"/>
  <c r="M15" i="1" s="1" a="1"/>
  <c r="M15" i="1" s="1"/>
  <c r="O15" i="1" s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19" i="1" l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21" i="5" a="1"/>
  <c r="C16" i="4" a="1"/>
  <c r="C16" i="4" l="1"/>
  <c r="C21" i="5"/>
  <c r="C22" i="5" a="1"/>
  <c r="C17" i="4" a="1"/>
  <c r="C22" i="5" l="1"/>
  <c r="C17" i="4"/>
  <c r="C18" i="4" a="1"/>
  <c r="C23" i="5" a="1"/>
  <c r="C18" i="4" l="1"/>
  <c r="C23" i="5"/>
  <c r="C24" i="5" a="1"/>
  <c r="C19" i="4" a="1"/>
  <c r="C24" i="5" l="1"/>
  <c r="C19" i="4"/>
  <c r="C20" i="4" a="1"/>
  <c r="C25" i="5" a="1"/>
  <c r="C20" i="4" l="1"/>
  <c r="C25" i="5"/>
  <c r="C26" i="5" a="1"/>
  <c r="C21" i="4" a="1"/>
  <c r="C26" i="5" l="1"/>
  <c r="C21" i="4"/>
  <c r="C27" i="5" a="1"/>
  <c r="C22" i="4" a="1"/>
  <c r="C22" i="4" l="1"/>
  <c r="C27" i="5"/>
  <c r="C23" i="4" a="1"/>
  <c r="C28" i="5" a="1"/>
  <c r="C28" i="5" l="1"/>
  <c r="C23" i="4"/>
  <c r="C24" i="4" a="1"/>
  <c r="C29" i="5" a="1"/>
  <c r="C24" i="4" l="1"/>
  <c r="C29" i="5"/>
  <c r="C25" i="4" a="1"/>
  <c r="C30" i="5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29" i="4" a="1"/>
  <c r="C34" i="5" a="1"/>
  <c r="C34" i="5" l="1"/>
  <c r="C29" i="4"/>
  <c r="C30" i="4" a="1"/>
  <c r="C35" i="5" a="1"/>
  <c r="C30" i="4" l="1"/>
  <c r="C35" i="5"/>
  <c r="C31" i="4" a="1"/>
  <c r="C36" i="5" a="1"/>
  <c r="C36" i="5" l="1"/>
  <c r="C31" i="4"/>
  <c r="C32" i="4" a="1"/>
  <c r="C37" i="5" a="1"/>
  <c r="C32" i="4" l="1"/>
  <c r="C37" i="5"/>
  <c r="C38" i="5" a="1"/>
  <c r="C33" i="4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6" i="5" a="1"/>
  <c r="C41" i="4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50" i="5" a="1"/>
  <c r="C45" i="4" a="1"/>
  <c r="C50" i="5" l="1"/>
  <c r="C45" i="4"/>
  <c r="C46" i="4" a="1"/>
  <c r="C51" i="5" a="1"/>
  <c r="C46" i="4" l="1"/>
  <c r="C51" i="5"/>
  <c r="C47" i="4" a="1"/>
  <c r="C52" i="5" a="1"/>
  <c r="C52" i="5" l="1"/>
  <c r="C47" i="4"/>
  <c r="C53" i="5" a="1"/>
  <c r="C48" i="4" a="1"/>
  <c r="C48" i="4" l="1"/>
  <c r="C53" i="5"/>
  <c r="C49" i="4" a="1"/>
  <c r="C54" i="5" a="1"/>
  <c r="C54" i="5" l="1"/>
  <c r="C49" i="4"/>
  <c r="C55" i="5" a="1"/>
  <c r="C50" i="4" a="1"/>
  <c r="C50" i="4" l="1"/>
  <c r="C55" i="5"/>
  <c r="C56" i="5" a="1"/>
  <c r="C51" i="4" a="1"/>
  <c r="C56" i="5" l="1"/>
  <c r="C51" i="4"/>
  <c r="C52" i="4" a="1"/>
  <c r="C57" i="5" a="1"/>
  <c r="C52" i="4" l="1"/>
  <c r="C57" i="5"/>
  <c r="C58" i="5" a="1"/>
  <c r="C53" i="4" a="1"/>
  <c r="C58" i="5" l="1"/>
  <c r="C53" i="4"/>
  <c r="C59" i="5" a="1"/>
  <c r="C54" i="4" a="1"/>
  <c r="C54" i="4" l="1"/>
  <c r="C59" i="5"/>
  <c r="C55" i="4" a="1"/>
  <c r="C60" i="5" a="1"/>
  <c r="C60" i="5" l="1"/>
  <c r="C55" i="4"/>
  <c r="C56" i="4" a="1"/>
  <c r="C61" i="5" a="1"/>
  <c r="C56" i="4" l="1"/>
  <c r="C61" i="5"/>
  <c r="C57" i="4" a="1"/>
  <c r="C62" i="5" a="1"/>
  <c r="C62" i="5" l="1"/>
  <c r="C57" i="4"/>
  <c r="C63" i="5" a="1"/>
  <c r="C58" i="4" a="1"/>
  <c r="C58" i="4" l="1"/>
  <c r="C63" i="5"/>
  <c r="C59" i="4" a="1"/>
  <c r="C64" i="5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71" i="5" a="1"/>
  <c r="C66" i="4" a="1"/>
  <c r="C71" i="5" l="1"/>
  <c r="C66" i="4"/>
  <c r="C67" i="4" a="1"/>
  <c r="C72" i="5" a="1"/>
  <c r="C67" i="4" l="1"/>
  <c r="C72" i="5"/>
  <c r="C68" i="4" a="1"/>
  <c r="C73" i="5" a="1"/>
  <c r="C73" i="5" l="1"/>
  <c r="C68" i="4"/>
  <c r="C69" i="4" a="1"/>
  <c r="C74" i="5" a="1"/>
  <c r="C69" i="4" l="1"/>
  <c r="C74" i="5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80" i="5" a="1"/>
  <c r="C75" i="4" a="1"/>
  <c r="C75" i="4" l="1"/>
  <c r="C80" i="5"/>
  <c r="C76" i="4" a="1"/>
  <c r="C81" i="5" a="1"/>
  <c r="C81" i="5" l="1"/>
  <c r="C76" i="4"/>
  <c r="C77" i="4" a="1"/>
  <c r="C82" i="5" a="1"/>
  <c r="C77" i="4" l="1"/>
  <c r="C82" i="5"/>
  <c r="C83" i="5" a="1"/>
  <c r="C78" i="4" a="1"/>
  <c r="C83" i="5" l="1"/>
  <c r="C78" i="4"/>
  <c r="C84" i="5" a="1"/>
  <c r="C79" i="4" a="1"/>
  <c r="C79" i="4" l="1"/>
  <c r="C84" i="5"/>
  <c r="C80" i="4" a="1"/>
  <c r="C85" i="5" a="1"/>
  <c r="C85" i="5" l="1"/>
  <c r="C80" i="4"/>
  <c r="C81" i="4" a="1"/>
  <c r="C86" i="5" a="1"/>
  <c r="C86" i="5" l="1"/>
  <c r="C81" i="4"/>
  <c r="C82" i="4" a="1"/>
  <c r="C87" i="5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91" i="5" a="1"/>
  <c r="C86" i="4" a="1"/>
  <c r="C91" i="5" l="1"/>
  <c r="C86" i="4"/>
  <c r="C92" i="5" a="1"/>
  <c r="C87" i="4" a="1"/>
  <c r="C87" i="4" l="1"/>
  <c r="C92" i="5"/>
  <c r="C93" i="5" a="1"/>
  <c r="C88" i="4" a="1"/>
  <c r="C93" i="5" l="1"/>
  <c r="C88" i="4"/>
  <c r="C94" i="5" a="1"/>
  <c r="C89" i="4" a="1"/>
  <c r="C89" i="4" l="1"/>
  <c r="C94" i="5"/>
  <c r="C95" i="5" a="1"/>
  <c r="C90" i="4" a="1"/>
  <c r="C95" i="5" l="1"/>
  <c r="C90" i="4"/>
  <c r="C96" i="5" a="1"/>
  <c r="C91" i="4" a="1"/>
  <c r="C91" i="4" l="1"/>
  <c r="C96" i="5"/>
  <c r="C97" i="5" a="1"/>
  <c r="C92" i="4" a="1"/>
  <c r="C97" i="5" l="1"/>
  <c r="C92" i="4"/>
  <c r="C98" i="5" a="1"/>
  <c r="C93" i="4" a="1"/>
  <c r="C93" i="4" l="1"/>
  <c r="C98" i="5"/>
  <c r="C99" i="5" a="1"/>
  <c r="C94" i="4" a="1"/>
  <c r="C99" i="5" l="1"/>
  <c r="C94" i="4"/>
  <c r="C95" i="4" a="1"/>
  <c r="C100" i="5" a="1"/>
  <c r="C95" i="4" l="1"/>
  <c r="C100" i="5"/>
  <c r="C101" i="5" a="1"/>
  <c r="C96" i="4" a="1"/>
  <c r="C101" i="5" l="1"/>
  <c r="C96" i="4"/>
  <c r="C102" i="5" a="1"/>
  <c r="C97" i="4" a="1"/>
  <c r="C97" i="4" l="1"/>
  <c r="C102" i="5"/>
  <c r="C98" i="4" a="1"/>
  <c r="C103" i="5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30" i="5" a="1"/>
  <c r="C125" i="4" a="1"/>
  <c r="C130" i="5" l="1"/>
  <c r="C125" i="4"/>
  <c r="C126" i="4" a="1"/>
  <c r="C131" i="5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59" i="4" a="1"/>
  <c r="C164" i="5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69" i="4" a="1"/>
  <c r="C174" i="5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9" i="5" a="1"/>
  <c r="C184" i="4" a="1"/>
  <c r="C184" i="4" l="1"/>
  <c r="C189" i="5"/>
  <c r="C190" i="5" a="1"/>
  <c r="C185" i="4" a="1"/>
  <c r="C190" i="5" l="1"/>
  <c r="C185" i="4"/>
  <c r="C186" i="4" a="1"/>
  <c r="C191" i="5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<sst xmlns="http://schemas.openxmlformats.org/spreadsheetml/2006/main" count="1267" uniqueCount="447">
  <si>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</si>
  <si>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</si>
  <si>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</si>
  <si>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</si>
  <si>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</si>
  <si>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</si>
  <si>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</si>
  <si>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</si>
  <si>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</si>
  <si>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</si>
  <si>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</si>
  <si>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</si>
  <si>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</si>
  <si>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</si>
  <si>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</si>
  <si>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</si>
  <si>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</si>
  <si>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</si>
  <si>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</si>
  <si>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</si>
  <si>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</si>
  <si>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</si>
  <si>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</si>
  <si>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</si>
  <si>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</si>
  <si>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</si>
  <si>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</si>
  <si>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</si>
  <si>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</si>
  <si>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</si>
  <si>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</si>
  <si>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</si>
  <si>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</si>
  <si>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</si>
  <si>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</si>
  <si>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</si>
  <si>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</si>
  <si>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</si>
  <si>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</si>
  <si>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</si>
  <si>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</si>
  <si>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</si>
  <si>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</si>
  <si>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</si>
  <si>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</si>
  <si>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</si>
  <si>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</si>
  <si>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</si>
  <si>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</si>
  <si>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</si>
  <si>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</si>
  <si>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</si>
  <si>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</si>
  <si>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</si>
  <si>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</si>
  <si>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</si>
  <si>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</si>
  <si>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</si>
  <si>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</si>
  <si>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</si>
  <si>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</si>
  <si>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</si>
  <si>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</si>
  <si>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</si>
  <si>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</si>
  <si>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</si>
  <si>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</si>
  <si>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</si>
  <si>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</si>
  <si>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</si>
  <si>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</si>
  <si>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</si>
  <si>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</si>
  <si>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</si>
  <si>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</si>
  <si>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</si>
  <si>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</si>
  <si>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</si>
  <si>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</si>
  <si>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</si>
  <si>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</si>
  <si>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</si>
  <si>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</si>
  <si>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</si>
  <si>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</si>
  <si>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</si>
  <si>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</si>
  <si>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</si>
  <si>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</si>
  <si>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</si>
  <si>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</si>
  <si>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</si>
  <si>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</si>
  <si>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</si>
  <si>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</si>
  <si>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</si>
  <si>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</si>
  <si>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</si>
  <si>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</si>
  <si>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</si>
  <si>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</si>
  <si>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</si>
  <si>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</si>
  <si>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</si>
  <si>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</si>
  <si>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</si>
  <si>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</si>
  <si>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</si>
  <si>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</si>
  <si>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</si>
  <si>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</si>
  <si>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</si>
  <si>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</si>
  <si>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</si>
  <si>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</si>
  <si>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</si>
  <si>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</si>
  <si>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</si>
  <si>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</si>
  <si>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</si>
  <si>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</si>
  <si>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</si>
  <si>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</si>
  <si>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</si>
  <si>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</si>
  <si>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</si>
  <si>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</si>
  <si>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</si>
  <si>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</si>
  <si>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</si>
  <si>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</si>
  <si>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</si>
  <si>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</si>
  <si>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</si>
  <si>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</si>
  <si>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</si>
  <si>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</si>
  <si>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</si>
  <si>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</si>
  <si>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</si>
  <si>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</si>
  <si>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</si>
  <si>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</si>
  <si>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</si>
  <si>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</si>
  <si>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</si>
  <si>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</si>
  <si>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</si>
  <si>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</si>
  <si>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</si>
  <si>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</si>
  <si>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</si>
  <si>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</si>
  <si>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</si>
  <si>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</si>
  <si>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</si>
  <si>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</si>
  <si>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</si>
  <si>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</si>
  <si>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</si>
  <si>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</si>
  <si>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</si>
  <si>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</si>
  <si>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</si>
  <si>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</si>
  <si>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</si>
  <si>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</si>
  <si>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</si>
  <si>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</si>
  <si>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</si>
  <si>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</si>
  <si>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</si>
  <si>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</si>
  <si>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</si>
  <si>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</si>
  <si>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</si>
  <si>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</si>
  <si>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</si>
  <si>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</si>
  <si>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</si>
  <si>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</si>
  <si>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</si>
  <si>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</si>
  <si>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</si>
  <si>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</si>
  <si>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</si>
  <si>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</si>
  <si>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</si>
  <si>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</si>
  <si>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</si>
  <si>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</si>
  <si>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</si>
  <si>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</si>
  <si>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</si>
  <si>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</si>
  <si>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</si>
  <si>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</si>
  <si>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</si>
  <si>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</si>
  <si>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</si>
  <si>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</si>
  <si>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</si>
  <si>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</si>
  <si>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</si>
  <si>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</si>
  <si>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</si>
  <si>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</si>
  <si>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</si>
  <si>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</si>
  <si>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</si>
  <si>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</si>
  <si>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</si>
  <si>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</si>
  <si>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</si>
  <si>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</si>
  <si>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</si>
  <si>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</si>
  <si>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</si>
  <si>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</si>
  <si>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</si>
  <si>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</si>
  <si>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</si>
  <si>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</si>
  <si>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</si>
  <si>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</si>
  <si>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</si>
  <si>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</si>
  <si>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</si>
  <si>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</si>
  <si>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</si>
  <si>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</si>
  <si>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</si>
  <si>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</si>
  <si>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</si>
  <si>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</si>
  <si>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</si>
  <si>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</si>
  <si>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</si>
  <si>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</si>
  <si>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</si>
  <si>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</si>
  <si>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</si>
  <si>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</si>
  <si>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</si>
  <si>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</si>
  <si>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</si>
  <si>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</si>
  <si>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</si>
  <si>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</si>
  <si>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</si>
  <si>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</si>
  <si>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</si>
  <si>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</si>
  <si>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</si>
  <si>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</si>
  <si>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</si>
  <si>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</si>
  <si>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</si>
  <si>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</si>
  <si>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</si>
  <si>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</si>
  <si>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</si>
  <si>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</si>
  <si>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</si>
  <si>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</si>
  <si>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</si>
  <si>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</si>
  <si>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</si>
  <si>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</si>
  <si>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</si>
  <si>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</si>
  <si>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</si>
  <si>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</si>
  <si>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</si>
  <si>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</si>
  <si>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</si>
  <si>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</si>
  <si>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</si>
  <si>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</si>
  <si>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</si>
  <si>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</si>
  <si>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</si>
  <si>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</si>
  <si>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</si>
  <si>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</si>
  <si>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</si>
  <si>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</si>
  <si>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</si>
  <si>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</si>
  <si>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</si>
  <si>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</si>
  <si>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</si>
  <si>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</si>
  <si>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</si>
  <si>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</si>
  <si>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</si>
  <si>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</si>
  <si>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</si>
  <si>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</si>
  <si>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</si>
  <si>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</si>
  <si>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</si>
  <si>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</si>
  <si>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</si>
  <si>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</si>
  <si>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</si>
  <si>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</si>
  <si>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</si>
  <si>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</si>
  <si>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</si>
  <si>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</si>
  <si>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</si>
  <si>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</si>
  <si>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</si>
  <si>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</si>
  <si>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</si>
  <si>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</si>
  <si>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</si>
  <si>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</si>
  <si>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</si>
  <si>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</si>
  <si>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</si>
  <si>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</si>
  <si>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</si>
  <si>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</si>
  <si>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</si>
  <si>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</si>
  <si>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</si>
  <si>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</si>
  <si>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</si>
  <si>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</si>
  <si>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</si>
  <si>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</si>
  <si>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</si>
  <si>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</si>
  <si>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</si>
  <si>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</si>
  <si>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</si>
  <si>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</si>
  <si>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</si>
  <si>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</si>
  <si>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</si>
  <si>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</si>
  <si>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</si>
  <si>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</si>
  <si>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</si>
  <si>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</si>
  <si>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</si>
  <si>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</si>
  <si>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</si>
  <si>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</si>
  <si>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</si>
  <si>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</si>
  <si>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</si>
  <si>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</si>
  <si>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</si>
  <si>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</si>
  <si>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</si>
  <si>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</si>
  <si>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</si>
  <si>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</si>
  <si>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</si>
  <si>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</si>
  <si>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</si>
  <si>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</si>
  <si>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</si>
  <si>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</si>
  <si>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</si>
  <si>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</si>
  <si>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</si>
  <si>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</si>
  <si>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</si>
  <si>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</si>
  <si>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</si>
  <si>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</si>
  <si>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</si>
  <si>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</si>
  <si>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</si>
  <si>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</si>
  <si>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</si>
  <si>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</si>
  <si>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</si>
  <si>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</si>
  <si>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</si>
  <si>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</si>
  <si>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</si>
  <si>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</si>
  <si>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</si>
  <si>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</si>
  <si>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</si>
  <si>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</si>
  <si>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</si>
  <si>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</si>
  <si>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</si>
  <si>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</si>
  <si>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</si>
  <si>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</si>
  <si>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</si>
  <si>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</si>
  <si>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</si>
  <si>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</si>
  <si>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</si>
  <si>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</si>
  <si>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</si>
  <si>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</si>
  <si>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</si>
  <si>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</si>
  <si>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</si>
  <si>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</si>
  <si>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</si>
  <si>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</si>
  <si>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</si>
  <si>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</si>
  <si>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</si>
  <si>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</si>
  <si>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</si>
  <si>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</si>
  <si>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</si>
  <si>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</si>
  <si>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</si>
  <si>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</si>
  <si>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</si>
  <si>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</si>
  <si>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</si>
  <si>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</si>
  <si>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</si>
  <si>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</si>
  <si>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</si>
  <si>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</si>
  <si>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</si>
  <si>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</si>
  <si>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</si>
  <si>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</si>
  <si>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</si>
  <si>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</si>
  <si>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</si>
  <si>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</si>
  <si>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</si>
  <si>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</si>
  <si>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</si>
  <si>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</si>
  <si>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</si>
  <si>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</si>
  <si>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</si>
  <si>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</si>
  <si>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</si>
  <si>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米沢市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</si>
</sst>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Y16" sqref="Y16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99999976001</v>
      </c>
      <c r="G10" s="29">
        <f t="shared" si="2"/>
        <v>99999976001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米沢市</v>
      </c>
      <c r="K10" s="31" t="str">
        <f t="shared" si="6"/>
        <v>99999976001介護施設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99999976001</v>
      </c>
      <c r="N10">
        <f>IF(L10&lt;&gt;"○",M10,INDEX(G$4:G9,MATCH(L10&amp;M10,F$4:F9,0)))</f>
        <v>99999976001</v>
      </c>
      <c r="O10" t="str">
        <f t="shared" si="8"/>
        <v>介護施設</v>
      </c>
      <c r="Q10" s="4">
        <v>45011</v>
      </c>
      <c r="S10" t="str">
        <f>$O$1&amp;
976&amp;
REPT("0",3-LEN(ROW($S1)))&amp;ROW($S1)</f>
        <v>99999976001</v>
      </c>
      <c r="T10" t="s">
        <v>50</v>
      </c>
      <c r="U10" t="s">
        <v>50</v>
      </c>
      <c r="V10" t="s">
        <v>446</v>
      </c>
      <c r="AB10" t="str">
        <f>$S$10&amp;"介護施設"</f>
        <v>99999976001介護施設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99999976002</v>
      </c>
      <c r="G11" s="29">
        <f t="shared" si="2"/>
        <v>99999976002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米沢市</v>
      </c>
      <c r="K11" s="31" t="str">
        <f t="shared" si="6"/>
        <v>99999976001関連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99999976001</v>
      </c>
      <c r="N11">
        <f>IF(L11&lt;&gt;"○",M11,INDEX(G$4:G10,MATCH(L11&amp;M11,F$4:F10,0)))</f>
        <v>99999976001</v>
      </c>
      <c r="O11" t="str">
        <f t="shared" si="8"/>
        <v>関連</v>
      </c>
      <c r="Q11" s="4">
        <v>45011</v>
      </c>
      <c r="S11" t="str">
        <f t="shared" ref="S11:S16" si="9">$O$1&amp;
976&amp;
REPT("0",3-LEN(ROW($S2)))&amp;ROW($S2)</f>
        <v>99999976002</v>
      </c>
      <c r="T11" t="s">
        <v>50</v>
      </c>
      <c r="U11" t="s">
        <v>50</v>
      </c>
      <c r="V11" t="s">
        <v>446</v>
      </c>
      <c r="AB11" t="str">
        <f>$S$10&amp;"関連"</f>
        <v>99999976001関連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99999976003</v>
      </c>
      <c r="G12" s="29">
        <f t="shared" si="2"/>
        <v>99999976003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米沢市</v>
      </c>
      <c r="K12" s="31" t="str">
        <f t="shared" si="6"/>
        <v>99999976001関連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99999976001</v>
      </c>
      <c r="N12">
        <f>IF(L12&lt;&gt;"○",M12,INDEX(G$4:G11,MATCH(L12&amp;M12,F$4:F11,0)))</f>
        <v>99999976001</v>
      </c>
      <c r="O12" t="str">
        <f t="shared" si="8"/>
        <v>関連</v>
      </c>
      <c r="Q12" s="4">
        <v>45011</v>
      </c>
      <c r="S12" t="str">
        <f t="shared" si="9"/>
        <v>99999976003</v>
      </c>
      <c r="T12" t="s">
        <v>50</v>
      </c>
      <c r="U12" t="s">
        <v>50</v>
      </c>
      <c r="V12" t="s">
        <v>446</v>
      </c>
      <c r="AB12" t="str">
        <f t="shared" ref="AB12:AB16" si="10">$S$10&amp;"関連"</f>
        <v>99999976001関連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99999976004</v>
      </c>
      <c r="G13" s="29">
        <f t="shared" si="2"/>
        <v>99999976004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米沢市</v>
      </c>
      <c r="K13" s="31" t="str">
        <f t="shared" si="6"/>
        <v>99999976001関連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99999976001</v>
      </c>
      <c r="N13">
        <f>IF(L13&lt;&gt;"○",M13,INDEX(G$4:G12,MATCH(L13&amp;M13,F$4:F12,0)))</f>
        <v>99999976001</v>
      </c>
      <c r="O13" t="str">
        <f t="shared" si="8"/>
        <v>関連</v>
      </c>
      <c r="Q13" s="4">
        <v>45011</v>
      </c>
      <c r="S13" t="str">
        <f t="shared" si="9"/>
        <v>99999976004</v>
      </c>
      <c r="T13" t="s">
        <v>50</v>
      </c>
      <c r="U13" t="s">
        <v>50</v>
      </c>
      <c r="V13" t="s">
        <v>446</v>
      </c>
      <c r="AB13" t="str">
        <f t="shared" si="10"/>
        <v>99999976001関連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99999976005</v>
      </c>
      <c r="G14" s="29">
        <f t="shared" si="2"/>
        <v>99999976005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米沢市</v>
      </c>
      <c r="K14" s="31" t="str">
        <f t="shared" si="6"/>
        <v>99999976001関連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99999976001</v>
      </c>
      <c r="N14">
        <f>IF(L14&lt;&gt;"○",M14,INDEX(G$4:G13,MATCH(L14&amp;M14,F$4:F13,0)))</f>
        <v>99999976001</v>
      </c>
      <c r="O14" t="str">
        <f t="shared" si="8"/>
        <v>関連</v>
      </c>
      <c r="Q14" s="4">
        <v>45011</v>
      </c>
      <c r="S14" t="str">
        <f t="shared" si="9"/>
        <v>99999976005</v>
      </c>
      <c r="T14" t="s">
        <v>50</v>
      </c>
      <c r="U14" t="s">
        <v>50</v>
      </c>
      <c r="V14" t="s">
        <v>446</v>
      </c>
      <c r="AB14" t="str">
        <f t="shared" si="10"/>
        <v>99999976001関連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99999976006</v>
      </c>
      <c r="G15" s="29">
        <f t="shared" si="2"/>
        <v>99999976006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米沢市</v>
      </c>
      <c r="K15" s="31" t="str">
        <f t="shared" si="6"/>
        <v>99999976001関連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99999976001</v>
      </c>
      <c r="N15">
        <f>IF(L15&lt;&gt;"○",M15,INDEX(G$4:G14,MATCH(L15&amp;M15,F$4:F14,0)))</f>
        <v>99999976001</v>
      </c>
      <c r="O15" t="str">
        <f t="shared" si="8"/>
        <v>関連</v>
      </c>
      <c r="Q15" s="4">
        <v>45011</v>
      </c>
      <c r="S15" t="str">
        <f t="shared" si="9"/>
        <v>99999976006</v>
      </c>
      <c r="T15" t="s">
        <v>50</v>
      </c>
      <c r="U15" t="s">
        <v>50</v>
      </c>
      <c r="V15" t="s">
        <v>446</v>
      </c>
      <c r="AB15" t="str">
        <f t="shared" si="10"/>
        <v>99999976001関連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99999976007</v>
      </c>
      <c r="G16" s="29">
        <f t="shared" si="2"/>
        <v>99999976007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米沢市</v>
      </c>
      <c r="K16" s="31" t="str">
        <f t="shared" si="6"/>
        <v>99999976001関連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99999976001</v>
      </c>
      <c r="N16">
        <f>IF(L16&lt;&gt;"○",M16,INDEX(G$4:G15,MATCH(L16&amp;M16,F$4:F15,0)))</f>
        <v>99999976001</v>
      </c>
      <c r="O16" t="str">
        <f t="shared" si="8"/>
        <v>関連</v>
      </c>
      <c r="Q16" s="4">
        <v>45011</v>
      </c>
      <c r="S16" t="str">
        <f t="shared" si="9"/>
        <v>99999976007</v>
      </c>
      <c r="T16" t="s">
        <v>50</v>
      </c>
      <c r="U16" t="s">
        <v>50</v>
      </c>
      <c r="V16" t="s">
        <v>446</v>
      </c>
      <c r="AB16" t="str">
        <f t="shared" si="10"/>
        <v>99999976001関連</v>
      </c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2023/3/26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99999976001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米沢市</v>
      </c>
      <c r="H3" s="10" t="str">
        <f>IF(ROW(G1)&gt;MAX(Main!$C$4:$C$1048576),"",INDEX(Main!K$4:K$1048576,MATCH(ROW(G1),Main!$C$4:$C$1048576,0)))</f>
        <v>99999976001介護施設</v>
      </c>
      <c r="I3" s="1">
        <f>IF(H3&lt;&gt;"",IF(ROW(G1)&gt;MAX(Main!$C$4:$C$1048576),"",INDEX(Main!N$4:N$1048576,MATCH(ROW(G1),Main!$C$4:$C$1048576,0))),"")</f>
        <v>99999976001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クラスターNo.976</v>
      </c>
      <c r="M3" s="4" t="str">
        <f>TEXT(IF(ROW(A1)&gt;MAX(Main!$D$4:$D$1048576),"",INDEX(Main!Q$4:Q$1048576,MATCH(ROW(A1),Main!$D$4:$D$1048576,0))), "yyyy/m/d")</f>
        <v>2023/3/26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99999976001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米沢市</v>
      </c>
      <c r="S3" s="9" t="str">
        <f>IF(ROW(G1)&gt;MAX(Main!$D$4:$D$1048576),"",INDEX(Main!K$4:K$1048576,MATCH(ROW(G1),Main!$D$4:$D$1048576,0)))</f>
        <v>99999976001介護施設</v>
      </c>
      <c r="T3" s="1">
        <f>IF(S3&lt;&gt;"",IF(ROW(G1)&gt;MAX(Main!$D$4:$D$1048576),"",INDEX(Main!N$4:N$1048576,MATCH(ROW(G1),Main!$D$4:$D$1048576,0))),"")</f>
        <v>99999976001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2023/3/26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99999976002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米沢市</v>
      </c>
      <c r="H4" s="10" t="str">
        <f>IF(ROW(G2)&gt;MAX(Main!$C$4:$C$1048576),"",INDEX(Main!K$4:K$1048576,MATCH(ROW(G2),Main!$C$4:$C$1048576,0)))</f>
        <v>99999976001関連</v>
      </c>
      <c r="I4" s="1">
        <f>IF(H4&lt;&gt;"",IF(ROW(G2)&gt;MAX(Main!$C$4:$C$1048576),"",INDEX(Main!N$4:N$1048576,MATCH(ROW(G2),Main!$C$4:$C$1048576,0))),"")</f>
        <v>99999976001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クラスターNo.976</v>
      </c>
      <c r="M4" s="4" t="str">
        <f>TEXT(IF(ROW(A2)&gt;MAX(Main!$D$4:$D$1048576),"",INDEX(Main!Q$4:Q$1048576,MATCH(ROW(A2),Main!$D$4:$D$1048576,0))), "yyyy/m/d")</f>
        <v>2023/3/26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99999976002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米沢市</v>
      </c>
      <c r="S4" s="9" t="str">
        <f>IF(ROW(G2)&gt;MAX(Main!$D$4:$D$1048576),"",INDEX(Main!K$4:K$1048576,MATCH(ROW(G2),Main!$D$4:$D$1048576,0)))</f>
        <v>99999976001関連</v>
      </c>
      <c r="T4" s="1">
        <f>IF(S4&lt;&gt;"",IF(ROW(G2)&gt;MAX(Main!$D$4:$D$1048576),"",INDEX(Main!N$4:N$1048576,MATCH(ROW(G2),Main!$D$4:$D$1048576,0))),"")</f>
        <v>99999976001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2023/3/26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99999976003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米沢市</v>
      </c>
      <c r="H5" s="10" t="str">
        <f>IF(ROW(G3)&gt;MAX(Main!$C$4:$C$1048576),"",INDEX(Main!K$4:K$1048576,MATCH(ROW(G3),Main!$C$4:$C$1048576,0)))</f>
        <v>99999976001関連</v>
      </c>
      <c r="I5" s="1">
        <f>IF(H5&lt;&gt;"",IF(ROW(G3)&gt;MAX(Main!$C$4:$C$1048576),"",INDEX(Main!N$4:N$1048576,MATCH(ROW(G3),Main!$C$4:$C$1048576,0))),"")</f>
        <v>99999976001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クラスターNo.976</v>
      </c>
      <c r="M5" s="4" t="str">
        <f>TEXT(IF(ROW(A3)&gt;MAX(Main!$D$4:$D$1048576),"",INDEX(Main!Q$4:Q$1048576,MATCH(ROW(A3),Main!$D$4:$D$1048576,0))), "yyyy/m/d")</f>
        <v>2023/3/26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99999976003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米沢市</v>
      </c>
      <c r="S5" s="9" t="str">
        <f>IF(ROW(G3)&gt;MAX(Main!$D$4:$D$1048576),"",INDEX(Main!K$4:K$1048576,MATCH(ROW(G3),Main!$D$4:$D$1048576,0)))</f>
        <v>99999976001関連</v>
      </c>
      <c r="T5" s="1">
        <f>IF(S5&lt;&gt;"",IF(ROW(G3)&gt;MAX(Main!$D$4:$D$1048576),"",INDEX(Main!N$4:N$1048576,MATCH(ROW(G3),Main!$D$4:$D$1048576,0))),"")</f>
        <v>99999976001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2023/3/26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99999976004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米沢市</v>
      </c>
      <c r="H6" s="10" t="str">
        <f>IF(ROW(G4)&gt;MAX(Main!$C$4:$C$1048576),"",INDEX(Main!K$4:K$1048576,MATCH(ROW(G4),Main!$C$4:$C$1048576,0)))</f>
        <v>99999976001関連</v>
      </c>
      <c r="I6" s="1">
        <f>IF(H6&lt;&gt;"",IF(ROW(G4)&gt;MAX(Main!$C$4:$C$1048576),"",INDEX(Main!N$4:N$1048576,MATCH(ROW(G4),Main!$C$4:$C$1048576,0))),"")</f>
        <v>99999976001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クラスターNo.976</v>
      </c>
      <c r="M6" s="4" t="str">
        <f>TEXT(IF(ROW(A4)&gt;MAX(Main!$D$4:$D$1048576),"",INDEX(Main!Q$4:Q$1048576,MATCH(ROW(A4),Main!$D$4:$D$1048576,0))), "yyyy/m/d")</f>
        <v>2023/3/26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99999976004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米沢市</v>
      </c>
      <c r="S6" s="9" t="str">
        <f>IF(ROW(G4)&gt;MAX(Main!$D$4:$D$1048576),"",INDEX(Main!K$4:K$1048576,MATCH(ROW(G4),Main!$D$4:$D$1048576,0)))</f>
        <v>99999976001関連</v>
      </c>
      <c r="T6" s="1">
        <f>IF(S6&lt;&gt;"",IF(ROW(G4)&gt;MAX(Main!$D$4:$D$1048576),"",INDEX(Main!N$4:N$1048576,MATCH(ROW(G4),Main!$D$4:$D$1048576,0))),"")</f>
        <v>99999976001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2023/3/26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99999976005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米沢市</v>
      </c>
      <c r="H7" s="10" t="str">
        <f>IF(ROW(G5)&gt;MAX(Main!$C$4:$C$1048576),"",INDEX(Main!K$4:K$1048576,MATCH(ROW(G5),Main!$C$4:$C$1048576,0)))</f>
        <v>99999976001関連</v>
      </c>
      <c r="I7" s="1">
        <f>IF(H7&lt;&gt;"",IF(ROW(G5)&gt;MAX(Main!$C$4:$C$1048576),"",INDEX(Main!N$4:N$1048576,MATCH(ROW(G5),Main!$C$4:$C$1048576,0))),"")</f>
        <v>99999976001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クラスターNo.976</v>
      </c>
      <c r="M7" s="4" t="str">
        <f>TEXT(IF(ROW(A5)&gt;MAX(Main!$D$4:$D$1048576),"",INDEX(Main!Q$4:Q$1048576,MATCH(ROW(A5),Main!$D$4:$D$1048576,0))), "yyyy/m/d")</f>
        <v>2023/3/26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99999976005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米沢市</v>
      </c>
      <c r="S7" s="9" t="str">
        <f>IF(ROW(G5)&gt;MAX(Main!$D$4:$D$1048576),"",INDEX(Main!K$4:K$1048576,MATCH(ROW(G5),Main!$D$4:$D$1048576,0)))</f>
        <v>99999976001関連</v>
      </c>
      <c r="T7" s="1">
        <f>IF(S7&lt;&gt;"",IF(ROW(G5)&gt;MAX(Main!$D$4:$D$1048576),"",INDEX(Main!N$4:N$1048576,MATCH(ROW(G5),Main!$D$4:$D$1048576,0))),"")</f>
        <v>99999976001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2023/3/26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99999976006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米沢市</v>
      </c>
      <c r="H8" s="10" t="str">
        <f>IF(ROW(G6)&gt;MAX(Main!$C$4:$C$1048576),"",INDEX(Main!K$4:K$1048576,MATCH(ROW(G6),Main!$C$4:$C$1048576,0)))</f>
        <v>99999976001関連</v>
      </c>
      <c r="I8" s="1">
        <f>IF(H8&lt;&gt;"",IF(ROW(G6)&gt;MAX(Main!$C$4:$C$1048576),"",INDEX(Main!N$4:N$1048576,MATCH(ROW(G6),Main!$C$4:$C$1048576,0))),"")</f>
        <v>99999976001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クラスターNo.976</v>
      </c>
      <c r="M8" s="4" t="str">
        <f>TEXT(IF(ROW(A6)&gt;MAX(Main!$D$4:$D$1048576),"",INDEX(Main!Q$4:Q$1048576,MATCH(ROW(A6),Main!$D$4:$D$1048576,0))), "yyyy/m/d")</f>
        <v>2023/3/26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99999976006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米沢市</v>
      </c>
      <c r="S8" s="9" t="str">
        <f>IF(ROW(G6)&gt;MAX(Main!$D$4:$D$1048576),"",INDEX(Main!K$4:K$1048576,MATCH(ROW(G6),Main!$D$4:$D$1048576,0)))</f>
        <v>99999976001関連</v>
      </c>
      <c r="T8" s="1">
        <f>IF(S8&lt;&gt;"",IF(ROW(G6)&gt;MAX(Main!$D$4:$D$1048576),"",INDEX(Main!N$4:N$1048576,MATCH(ROW(G6),Main!$D$4:$D$1048576,0))),"")</f>
        <v>99999976001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2023/3/26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99999976007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米沢市</v>
      </c>
      <c r="H9" s="10" t="str">
        <f>IF(ROW(G7)&gt;MAX(Main!$C$4:$C$1048576),"",INDEX(Main!K$4:K$1048576,MATCH(ROW(G7),Main!$C$4:$C$1048576,0)))</f>
        <v>99999976001関連</v>
      </c>
      <c r="I9" s="1">
        <f>IF(H9&lt;&gt;"",IF(ROW(G7)&gt;MAX(Main!$C$4:$C$1048576),"",INDEX(Main!N$4:N$1048576,MATCH(ROW(G7),Main!$C$4:$C$1048576,0))),"")</f>
        <v>99999976001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クラスターNo.976</v>
      </c>
      <c r="M9" s="4" t="str">
        <f>TEXT(IF(ROW(A7)&gt;MAX(Main!$D$4:$D$1048576),"",INDEX(Main!Q$4:Q$1048576,MATCH(ROW(A7),Main!$D$4:$D$1048576,0))), "yyyy/m/d")</f>
        <v>2023/3/26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99999976007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米沢市</v>
      </c>
      <c r="S9" s="9" t="str">
        <f>IF(ROW(G7)&gt;MAX(Main!$D$4:$D$1048576),"",INDEX(Main!K$4:K$1048576,MATCH(ROW(G7),Main!$D$4:$D$1048576,0)))</f>
        <v>99999976001関連</v>
      </c>
      <c r="T9" s="1">
        <f>IF(S9&lt;&gt;"",IF(ROW(G7)&gt;MAX(Main!$D$4:$D$1048576),"",INDEX(Main!N$4:N$1048576,MATCH(ROW(G7),Main!$D$4:$D$1048576,0))),"")</f>
        <v>99999976001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7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99999976001,
            "date": "2023/3/26",
            "label": "クラスターNo.976\n2023/3/26\n米沢市\n-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99999976002,
            "date": "2023/3/26",
            "label": "クラスターNo.976\n2023/3/26\n米沢市\n-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99999976003,
            "date": "2023/3/26",
            "label": "クラスターNo.976\n2023/3/26\n米沢市\n-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99999976004,
            "date": "2023/3/26",
            "label": "クラスターNo.976\n2023/3/26\n米沢市\n-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99999976005,
            "date": "2023/3/26",
            "label": "クラスターNo.976\n2023/3/26\n米沢市\n-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99999976006,
            "date": "2023/3/26",
            "label": "クラスターNo.976\n2023/3/26\n米沢市\n-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99999976007,
            "date": "2023/3/26",
            "label": "クラスターNo.976\n2023/3/26\n米沢市\n- ー"
        },
        "classes": ["multiline-manual", "else"]
    }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7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"99999976001",
            "target": "99999976001",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"99999976002",
            "target": "99999976001",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"99999976003",
            "target": "99999976001",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"99999976004",
            "target": "99999976001",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"99999976005",
            "target": "99999976001",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"99999976006",
            "target": "99999976001",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"99999976007",
            "target": "99999976001",
            "label": "関連"
        }
    }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31.25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"lastUpdate":"2023/3/26 20:27"}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2023-03-26T11:29:29Z</dcterms:modified>
</cp:coreProperties>
</file>