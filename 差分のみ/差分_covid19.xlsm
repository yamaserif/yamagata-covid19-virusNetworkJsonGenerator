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80A34BE7-0AD8-4999-BCAB-36846556A2D2}" xr6:coauthVersionLast="47" xr6:coauthVersionMax="47" xr10:uidLastSave="{00000000-0000-0000-0000-000000000000}"/>
  <bookViews>
    <workbookView xWindow="2115" yWindow="87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8" i="1" l="1"/>
  <c r="AB28" i="1" s="1"/>
  <c r="AB26" i="1"/>
  <c r="S26" i="1"/>
  <c r="S24" i="1"/>
  <c r="AB24" i="1" s="1"/>
  <c r="S22" i="1"/>
  <c r="S21" i="1"/>
  <c r="S20" i="1"/>
  <c r="S19" i="1"/>
  <c r="S18" i="1"/>
  <c r="AB21" i="1"/>
  <c r="AB20" i="1"/>
  <c r="AB19" i="1"/>
  <c r="S17" i="1"/>
  <c r="AB18" i="1" s="1"/>
  <c r="S15" i="1"/>
  <c r="G15" i="1" s="1"/>
  <c r="J15" i="1" s="1"/>
  <c r="S14" i="1"/>
  <c r="S13" i="1"/>
  <c r="G13" i="1" s="1"/>
  <c r="S12" i="1"/>
  <c r="S11" i="1"/>
  <c r="S10" i="1"/>
  <c r="AB10" i="1" s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1" i="1" l="1"/>
  <c r="AB22" i="1"/>
  <c r="AB17" i="1"/>
  <c r="K17" i="1" s="1"/>
  <c r="M17" i="1" s="1" a="1"/>
  <c r="M17" i="1" s="1"/>
  <c r="O17" i="1" s="1"/>
  <c r="AB12" i="1"/>
  <c r="AB13" i="1"/>
  <c r="AB14" i="1"/>
  <c r="AB15" i="1"/>
  <c r="K15" i="1" s="1"/>
  <c r="M15" i="1" s="1" a="1"/>
  <c r="M15" i="1" s="1"/>
  <c r="O15" i="1" s="1"/>
  <c r="K24" i="1"/>
  <c r="M24" i="1" s="1" a="1"/>
  <c r="M24" i="1" s="1"/>
  <c r="O24" i="1" s="1"/>
  <c r="K13" i="1"/>
  <c r="G20" i="1"/>
  <c r="H20" i="1" s="1"/>
  <c r="K23" i="1"/>
  <c r="K26" i="1"/>
  <c r="M26" i="1" s="1" a="1"/>
  <c r="M26" i="1" s="1"/>
  <c r="O26" i="1" s="1"/>
  <c r="K27" i="1"/>
  <c r="K29" i="1"/>
  <c r="F59" i="1"/>
  <c r="K25" i="1"/>
  <c r="M25" i="1" s="1" a="1"/>
  <c r="M25" i="1" s="1"/>
  <c r="O25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I20" i="1" l="1"/>
  <c r="J20" i="1"/>
  <c r="K20" i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66" i="3" l="1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21" i="5" a="1"/>
  <c r="C16" i="4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5" i="5" a="1"/>
  <c r="C20" i="4" a="1"/>
  <c r="C20" i="4" l="1"/>
  <c r="C25" i="5"/>
  <c r="C26" i="5" a="1"/>
  <c r="C21" i="4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6" i="5" a="1"/>
  <c r="C31" i="4" a="1"/>
  <c r="C36" i="5" l="1"/>
  <c r="C31" i="4"/>
  <c r="C37" i="5" a="1"/>
  <c r="C32" i="4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44" i="5" a="1"/>
  <c r="C39" i="4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2" i="4" a="1"/>
  <c r="C67" i="5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8" i="5" a="1"/>
  <c r="C73" i="4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83" i="5" a="1"/>
  <c r="C78" i="4" a="1"/>
  <c r="C83" i="5" l="1"/>
  <c r="C78" i="4"/>
  <c r="C79" i="4" a="1"/>
  <c r="C84" i="5" a="1"/>
  <c r="C79" i="4" l="1"/>
  <c r="C84" i="5"/>
  <c r="C85" i="5" a="1"/>
  <c r="C80" i="4" a="1"/>
  <c r="C85" i="5" l="1"/>
  <c r="C80" i="4"/>
  <c r="C86" i="5" a="1"/>
  <c r="C81" i="4" a="1"/>
  <c r="C86" i="5" l="1"/>
  <c r="C81" i="4"/>
  <c r="C87" i="5" a="1"/>
  <c r="C82" i="4" a="1"/>
  <c r="C82" i="4" l="1"/>
  <c r="C87" i="5"/>
  <c r="C88" i="5" a="1"/>
  <c r="C83" i="4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103" i="5" a="1"/>
  <c r="C98" i="4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<sst xmlns="http://schemas.openxmlformats.org/spreadsheetml/2006/main" count="1291" uniqueCount="449">
  <si>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</si>
  <si>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</si>
  <si>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</si>
  <si>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</si>
  <si>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</si>
  <si>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</si>
  <si>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</si>
  <si>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</si>
  <si>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</si>
  <si>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</si>
  <si>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</si>
  <si>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</si>
  <si>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</si>
  <si>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</si>
  <si>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</si>
  <si>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</si>
  <si>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</si>
  <si>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</si>
  <si>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</si>
  <si>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</si>
  <si>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</si>
  <si>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</si>
  <si>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</si>
  <si>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</si>
  <si>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</si>
  <si>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</si>
  <si>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</si>
  <si>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</si>
  <si>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</si>
  <si>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</si>
  <si>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</si>
  <si>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</si>
  <si>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</si>
  <si>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</si>
  <si>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</si>
  <si>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</si>
  <si>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</si>
  <si>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</si>
  <si>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</si>
  <si>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</si>
  <si>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</si>
  <si>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</si>
  <si>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</si>
  <si>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</si>
  <si>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</si>
  <si>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</si>
  <si>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</si>
  <si>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</si>
  <si>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</si>
  <si>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</si>
  <si>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</si>
  <si>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</si>
  <si>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</si>
  <si>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</si>
  <si>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</si>
  <si>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</si>
  <si>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</si>
  <si>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</si>
  <si>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</si>
  <si>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</si>
  <si>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</si>
  <si>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</si>
  <si>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</si>
  <si>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</si>
  <si>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</si>
  <si>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</si>
  <si>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</si>
  <si>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</si>
  <si>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</si>
  <si>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</si>
  <si>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</si>
  <si>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</si>
  <si>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</si>
  <si>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</si>
  <si>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</si>
  <si>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</si>
  <si>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</si>
  <si>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</si>
  <si>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</si>
  <si>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</si>
  <si>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</si>
  <si>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</si>
  <si>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</si>
  <si>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</si>
  <si>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</si>
  <si>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</si>
  <si>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</si>
  <si>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</si>
  <si>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</si>
  <si>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</si>
  <si>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</si>
  <si>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</si>
  <si>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</si>
  <si>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</si>
  <si>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</si>
  <si>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</si>
  <si>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</si>
  <si>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</si>
  <si>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</si>
  <si>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</si>
  <si>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</si>
  <si>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</si>
  <si>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</si>
  <si>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</si>
  <si>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</si>
  <si>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</si>
  <si>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</si>
  <si>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</si>
  <si>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</si>
  <si>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</si>
  <si>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</si>
  <si>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</si>
  <si>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</si>
  <si>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</si>
  <si>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</si>
  <si>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</si>
  <si>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</si>
  <si>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</si>
  <si>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</si>
  <si>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</si>
  <si>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</si>
  <si>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</si>
  <si>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</si>
  <si>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</si>
  <si>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</si>
  <si>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</si>
  <si>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</si>
  <si>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</si>
  <si>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</si>
  <si>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</si>
  <si>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</si>
  <si>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</si>
  <si>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</si>
  <si>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</si>
  <si>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</si>
  <si>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</si>
  <si>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</si>
  <si>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</si>
  <si>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</si>
  <si>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</si>
  <si>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</si>
  <si>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</si>
  <si>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</si>
  <si>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</si>
  <si>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</si>
  <si>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</si>
  <si>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</si>
  <si>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</si>
  <si>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</si>
  <si>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</si>
  <si>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</si>
  <si>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</si>
  <si>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</si>
  <si>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</si>
  <si>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</si>
  <si>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</si>
  <si>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</si>
  <si>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</si>
  <si>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</si>
  <si>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</si>
  <si>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</si>
  <si>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</si>
  <si>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</si>
  <si>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</si>
  <si>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</si>
  <si>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</si>
  <si>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</si>
  <si>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</si>
  <si>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</si>
  <si>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</si>
  <si>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</si>
  <si>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</si>
  <si>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</si>
  <si>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</si>
  <si>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</si>
  <si>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</si>
  <si>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</si>
  <si>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</si>
  <si>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</si>
  <si>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</si>
  <si>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</si>
  <si>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</si>
  <si>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</si>
  <si>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</si>
  <si>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</si>
  <si>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</si>
  <si>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</si>
  <si>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</si>
  <si>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</si>
  <si>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</si>
  <si>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</si>
  <si>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</si>
  <si>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</si>
  <si>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</si>
  <si>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</si>
  <si>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</si>
  <si>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</si>
  <si>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</si>
  <si>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</si>
  <si>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</si>
  <si>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</si>
  <si>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</si>
  <si>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</si>
  <si>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</si>
  <si>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</si>
  <si>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</si>
  <si>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</si>
  <si>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</si>
  <si>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</si>
  <si>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</si>
  <si>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</si>
  <si>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</si>
  <si>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</si>
  <si>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</si>
  <si>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</si>
  <si>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</si>
  <si>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</si>
  <si>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</si>
  <si>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</si>
  <si>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</si>
  <si>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</si>
  <si>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</si>
  <si>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</si>
  <si>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</si>
  <si>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</si>
  <si>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</si>
  <si>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</si>
  <si>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</si>
  <si>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</si>
  <si>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</si>
  <si>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</si>
  <si>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</si>
  <si>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</si>
  <si>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</si>
  <si>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</si>
  <si>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</si>
  <si>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</si>
  <si>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</si>
  <si>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</si>
  <si>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</si>
  <si>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</si>
  <si>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</si>
  <si>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</si>
  <si>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</si>
  <si>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</si>
  <si>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</si>
  <si>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</si>
  <si>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</si>
  <si>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</si>
  <si>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</si>
  <si>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</si>
  <si>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</si>
  <si>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</si>
  <si>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</si>
  <si>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</si>
  <si>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</si>
  <si>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</si>
  <si>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</si>
  <si>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</si>
  <si>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</si>
  <si>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</si>
  <si>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</si>
  <si>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</si>
  <si>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</si>
  <si>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</si>
  <si>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</si>
  <si>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</si>
  <si>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</si>
  <si>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</si>
  <si>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</si>
  <si>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</si>
  <si>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</si>
  <si>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</si>
  <si>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</si>
  <si>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</si>
  <si>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</si>
  <si>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</si>
  <si>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</si>
  <si>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</si>
  <si>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</si>
  <si>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</si>
  <si>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</si>
  <si>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</si>
  <si>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</si>
  <si>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</si>
  <si>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</si>
  <si>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</si>
  <si>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</si>
  <si>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</si>
  <si>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</si>
  <si>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</si>
  <si>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</si>
  <si>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</si>
  <si>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</si>
  <si>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</si>
  <si>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</si>
  <si>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</si>
  <si>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</si>
  <si>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</si>
  <si>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</si>
  <si>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</si>
  <si>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</si>
  <si>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</si>
  <si>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</si>
  <si>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</si>
  <si>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</si>
  <si>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</si>
  <si>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</si>
  <si>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</si>
  <si>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</si>
  <si>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</si>
  <si>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</si>
  <si>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</si>
  <si>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</si>
  <si>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</si>
  <si>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</si>
  <si>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</si>
  <si>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</si>
  <si>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</si>
  <si>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</si>
  <si>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</si>
  <si>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</si>
  <si>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</si>
  <si>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</si>
  <si>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</si>
  <si>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</si>
  <si>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</si>
  <si>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</si>
  <si>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</si>
  <si>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</si>
  <si>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</si>
  <si>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</si>
  <si>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</si>
  <si>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</si>
  <si>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</si>
  <si>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</si>
  <si>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</si>
  <si>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</si>
  <si>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</si>
  <si>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</si>
  <si>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</si>
  <si>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</si>
  <si>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</si>
  <si>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</si>
  <si>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</si>
  <si>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</si>
  <si>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</si>
  <si>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</si>
  <si>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</si>
  <si>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</si>
  <si>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</si>
  <si>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</si>
  <si>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</si>
  <si>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</si>
  <si>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</si>
  <si>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</si>
  <si>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</si>
  <si>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</si>
  <si>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</si>
  <si>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</si>
  <si>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</si>
  <si>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</si>
  <si>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</si>
  <si>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</si>
  <si>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</si>
  <si>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</si>
  <si>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</si>
  <si>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</si>
  <si>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</si>
  <si>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</si>
  <si>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</si>
  <si>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</si>
  <si>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</si>
  <si>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</si>
  <si>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</si>
  <si>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</si>
  <si>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</si>
  <si>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</si>
  <si>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</si>
  <si>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</si>
  <si>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</si>
  <si>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</si>
  <si>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</si>
  <si>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</si>
  <si>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</si>
  <si>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</si>
  <si>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</si>
  <si>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</si>
  <si>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</si>
  <si>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</si>
  <si>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</si>
  <si>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</si>
  <si>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</si>
  <si>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</si>
  <si>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</si>
  <si>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</si>
  <si>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</si>
  <si>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</si>
  <si>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</si>
  <si>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</si>
  <si>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</si>
  <si>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</si>
  <si>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</si>
  <si>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</si>
  <si>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</si>
  <si>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</si>
  <si>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</si>
  <si>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</si>
  <si>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</si>
  <si>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</si>
  <si>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</si>
  <si>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</si>
  <si>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</si>
  <si>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</si>
  <si>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</si>
  <si>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</si>
  <si>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</si>
  <si>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</si>
  <si>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</si>
  <si>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</si>
  <si>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</si>
  <si>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</si>
  <si>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</si>
  <si>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</si>
  <si>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</si>
  <si>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</si>
  <si>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</si>
  <si>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</si>
  <si>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</si>
  <si>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</si>
  <si>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</si>
  <si>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</si>
  <si>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</si>
  <si>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</si>
  <si>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</si>
  <si>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</si>
  <si>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</si>
  <si>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</si>
  <si>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</si>
  <si>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</si>
  <si>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</si>
  <si>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</si>
  <si>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</si>
  <si>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</si>
  <si>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</si>
  <si>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</si>
  <si>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</si>
  <si>
    <t>遊佐町</t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</si>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</sst>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7" activePane="bottomLeft" state="frozen"/>
      <selection activeCell="E20" sqref="E20"/>
      <selection pane="bottomLeft" activeCell="S31" sqref="S3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99999910001</v>
      </c>
      <c r="G10" s="29">
        <f t="shared" si="2"/>
        <v>99999910001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99999910001障がい者施設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99999910001</v>
      </c>
      <c r="N10">
        <f>IF(L10&lt;&gt;"○",M10,INDEX(G$4:G9,MATCH(L10&amp;M10,F$4:F9,0)))</f>
        <v>99999910001</v>
      </c>
      <c r="O10" t="str">
        <f t="shared" si="8"/>
        <v>障がい者施設</v>
      </c>
      <c r="Q10" s="4">
        <v>44937</v>
      </c>
      <c r="S10" t="str">
        <f>$O$1&amp;
910&amp;
REPT("0",3-LEN(ROW($S1)))&amp;ROW($S1)</f>
        <v>99999910001</v>
      </c>
      <c r="T10" t="s">
        <v>50</v>
      </c>
      <c r="U10" t="s">
        <v>50</v>
      </c>
      <c r="V10" t="s">
        <v>446</v>
      </c>
      <c r="AB10" t="str">
        <f>$S$10&amp;"障がい者施設"</f>
        <v>99999910001障がい者施設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99999910002</v>
      </c>
      <c r="G11" s="29">
        <f t="shared" si="2"/>
        <v>99999910002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99999910001関連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99999910001</v>
      </c>
      <c r="N11">
        <f>IF(L11&lt;&gt;"○",M11,INDEX(G$4:G10,MATCH(L11&amp;M11,F$4:F10,0)))</f>
        <v>99999910001</v>
      </c>
      <c r="O11" t="str">
        <f t="shared" si="8"/>
        <v>関連</v>
      </c>
      <c r="Q11" s="4">
        <v>44937</v>
      </c>
      <c r="S11" t="str">
        <f t="shared" ref="S11:S15" si="9">$O$1&amp;
910&amp;
REPT("0",3-LEN(ROW($S2)))&amp;ROW($S2)</f>
        <v>99999910002</v>
      </c>
      <c r="T11" t="s">
        <v>50</v>
      </c>
      <c r="U11" t="s">
        <v>50</v>
      </c>
      <c r="V11" t="s">
        <v>446</v>
      </c>
      <c r="AB11" t="str">
        <f>$S$10&amp;"関連"</f>
        <v>99999910001関連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99999910003</v>
      </c>
      <c r="G12" s="29">
        <f t="shared" si="2"/>
        <v>99999910003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99999910001関連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99999910001</v>
      </c>
      <c r="N12">
        <f>IF(L12&lt;&gt;"○",M12,INDEX(G$4:G11,MATCH(L12&amp;M12,F$4:F11,0)))</f>
        <v>99999910001</v>
      </c>
      <c r="O12" t="str">
        <f t="shared" si="8"/>
        <v>関連</v>
      </c>
      <c r="Q12" s="4">
        <v>44937</v>
      </c>
      <c r="S12" t="str">
        <f t="shared" si="9"/>
        <v>99999910003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99999910001関連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99999910004</v>
      </c>
      <c r="G13" s="29">
        <f t="shared" si="2"/>
        <v>99999910004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99999910001関連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99999910001</v>
      </c>
      <c r="N13">
        <f>IF(L13&lt;&gt;"○",M13,INDEX(G$4:G12,MATCH(L13&amp;M13,F$4:F12,0)))</f>
        <v>99999910001</v>
      </c>
      <c r="O13" t="str">
        <f t="shared" si="8"/>
        <v>関連</v>
      </c>
      <c r="Q13" s="4">
        <v>44937</v>
      </c>
      <c r="S13" t="str">
        <f t="shared" si="9"/>
        <v>99999910004</v>
      </c>
      <c r="T13" t="s">
        <v>50</v>
      </c>
      <c r="U13" t="s">
        <v>50</v>
      </c>
      <c r="V13" t="s">
        <v>446</v>
      </c>
      <c r="AB13" t="str">
        <f t="shared" si="10"/>
        <v>99999910001関連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99999910005</v>
      </c>
      <c r="G14" s="29">
        <f t="shared" si="2"/>
        <v>99999910005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99999910001関連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99999910001</v>
      </c>
      <c r="N14">
        <f>IF(L14&lt;&gt;"○",M14,INDEX(G$4:G13,MATCH(L14&amp;M14,F$4:F13,0)))</f>
        <v>99999910001</v>
      </c>
      <c r="O14" t="str">
        <f t="shared" si="8"/>
        <v>関連</v>
      </c>
      <c r="Q14" s="4">
        <v>44937</v>
      </c>
      <c r="S14" t="str">
        <f t="shared" si="9"/>
        <v>99999910005</v>
      </c>
      <c r="T14" t="s">
        <v>50</v>
      </c>
      <c r="U14" t="s">
        <v>50</v>
      </c>
      <c r="V14" t="s">
        <v>446</v>
      </c>
      <c r="AB14" t="str">
        <f t="shared" si="10"/>
        <v>99999910001関連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99999910006</v>
      </c>
      <c r="G15" s="29">
        <f t="shared" si="2"/>
        <v>99999910006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99999910001関連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99999910001</v>
      </c>
      <c r="N15">
        <f>IF(L15&lt;&gt;"○",M15,INDEX(G$4:G14,MATCH(L15&amp;M15,F$4:F14,0)))</f>
        <v>99999910001</v>
      </c>
      <c r="O15" t="str">
        <f t="shared" si="8"/>
        <v>関連</v>
      </c>
      <c r="Q15" s="4">
        <v>44937</v>
      </c>
      <c r="S15" t="str">
        <f t="shared" si="9"/>
        <v>99999910006</v>
      </c>
      <c r="T15" t="s">
        <v>50</v>
      </c>
      <c r="U15" t="s">
        <v>50</v>
      </c>
      <c r="V15" t="s">
        <v>446</v>
      </c>
      <c r="AB15" t="str">
        <f t="shared" si="10"/>
        <v>99999910001関連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28" x14ac:dyDescent="0.4">
      <c r="B17" t="s">
        <v>21</v>
      </c>
      <c r="C17">
        <f>IF(G17="","",MAX(C$4:C16)+1)</f>
        <v>7</v>
      </c>
      <c r="D17">
        <f>IF(AND(N17=""),"",MAX(D$4:D16)+1)</f>
        <v>7</v>
      </c>
      <c r="F17" s="26" t="str">
        <f t="shared" si="1"/>
        <v>99999911001</v>
      </c>
      <c r="G17" s="29">
        <f t="shared" si="2"/>
        <v>99999911001</v>
      </c>
      <c r="H17" s="20" t="str">
        <f t="shared" si="3"/>
        <v>-</v>
      </c>
      <c r="I17" s="20" t="str">
        <f t="shared" si="4"/>
        <v>ー</v>
      </c>
      <c r="J17" s="20" t="str">
        <f t="shared" si="5"/>
        <v>遊佐町</v>
      </c>
      <c r="K17" s="31" t="str">
        <f t="shared" si="6"/>
        <v>99999911001介護施設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99999911001</v>
      </c>
      <c r="N17">
        <f>IF(L17&lt;&gt;"○",M17,INDEX(G$4:G16,MATCH(L17&amp;M17,F$4:F16,0)))</f>
        <v>99999911001</v>
      </c>
      <c r="O17" t="str">
        <f t="shared" si="8"/>
        <v>介護施設</v>
      </c>
      <c r="Q17" s="4">
        <v>44937</v>
      </c>
      <c r="S17" t="str">
        <f>$O$1&amp;
911&amp;
REPT("0",3-LEN(ROW($S1)))&amp;ROW($S1)</f>
        <v>99999911001</v>
      </c>
      <c r="T17" t="s">
        <v>50</v>
      </c>
      <c r="U17" t="s">
        <v>50</v>
      </c>
      <c r="V17" t="s">
        <v>447</v>
      </c>
      <c r="AB17" t="str">
        <f>$S$17&amp;"介護施設"</f>
        <v>99999911001介護施設</v>
      </c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99999911002</v>
      </c>
      <c r="G18" s="29">
        <f t="shared" si="2"/>
        <v>99999911002</v>
      </c>
      <c r="H18" s="20" t="str">
        <f t="shared" si="3"/>
        <v>-</v>
      </c>
      <c r="I18" s="20" t="str">
        <f t="shared" si="4"/>
        <v>ー</v>
      </c>
      <c r="J18" s="20" t="str">
        <f t="shared" si="5"/>
        <v>遊佐町</v>
      </c>
      <c r="K18" s="31" t="str">
        <f t="shared" si="6"/>
        <v>99999911001関連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99999911001</v>
      </c>
      <c r="N18">
        <f>IF(L18&lt;&gt;"○",M18,INDEX(G$4:G17,MATCH(L18&amp;M18,F$4:F17,0)))</f>
        <v>99999911001</v>
      </c>
      <c r="O18" t="str">
        <f t="shared" si="8"/>
        <v>関連</v>
      </c>
      <c r="Q18" s="4">
        <v>44937</v>
      </c>
      <c r="S18" t="str">
        <f t="shared" ref="S18:S22" si="11">$O$1&amp;
911&amp;
REPT("0",3-LEN(ROW($S2)))&amp;ROW($S2)</f>
        <v>99999911002</v>
      </c>
      <c r="T18" t="s">
        <v>50</v>
      </c>
      <c r="U18" t="s">
        <v>50</v>
      </c>
      <c r="V18" t="s">
        <v>447</v>
      </c>
      <c r="AB18" t="str">
        <f>$S$17&amp;"関連"</f>
        <v>99999911001関連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99999911003</v>
      </c>
      <c r="G19" s="29">
        <f t="shared" si="2"/>
        <v>99999911003</v>
      </c>
      <c r="H19" s="20" t="str">
        <f t="shared" si="3"/>
        <v>-</v>
      </c>
      <c r="I19" s="20" t="str">
        <f t="shared" si="4"/>
        <v>ー</v>
      </c>
      <c r="J19" s="20" t="str">
        <f t="shared" si="5"/>
        <v>遊佐町</v>
      </c>
      <c r="K19" s="31" t="str">
        <f t="shared" si="6"/>
        <v>99999911001関連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99999911001</v>
      </c>
      <c r="N19">
        <f>IF(L19&lt;&gt;"○",M19,INDEX(G$4:G18,MATCH(L19&amp;M19,F$4:F18,0)))</f>
        <v>99999911001</v>
      </c>
      <c r="O19" t="str">
        <f t="shared" si="8"/>
        <v>関連</v>
      </c>
      <c r="Q19" s="4">
        <v>44937</v>
      </c>
      <c r="S19" t="str">
        <f t="shared" si="11"/>
        <v>99999911003</v>
      </c>
      <c r="T19" t="s">
        <v>50</v>
      </c>
      <c r="U19" t="s">
        <v>50</v>
      </c>
      <c r="V19" t="s">
        <v>447</v>
      </c>
      <c r="AB19" t="str">
        <f t="shared" ref="AB19:AB22" si="12">$S$17&amp;"関連"</f>
        <v>99999911001関連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99999911004</v>
      </c>
      <c r="G20" s="29">
        <f t="shared" si="2"/>
        <v>99999911004</v>
      </c>
      <c r="H20" s="20" t="str">
        <f t="shared" si="3"/>
        <v>-</v>
      </c>
      <c r="I20" s="20" t="str">
        <f t="shared" si="4"/>
        <v>ー</v>
      </c>
      <c r="J20" s="20" t="str">
        <f t="shared" si="5"/>
        <v>遊佐町</v>
      </c>
      <c r="K20" s="31" t="str">
        <f t="shared" si="6"/>
        <v>99999911001関連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99999911001</v>
      </c>
      <c r="N20">
        <f>IF(L20&lt;&gt;"○",M20,INDEX(G$4:G19,MATCH(L20&amp;M20,F$4:F19,0)))</f>
        <v>99999911001</v>
      </c>
      <c r="O20" t="str">
        <f t="shared" si="8"/>
        <v>関連</v>
      </c>
      <c r="Q20" s="4">
        <v>44937</v>
      </c>
      <c r="S20" t="str">
        <f t="shared" si="11"/>
        <v>99999911004</v>
      </c>
      <c r="T20" t="s">
        <v>50</v>
      </c>
      <c r="U20" t="s">
        <v>50</v>
      </c>
      <c r="V20" t="s">
        <v>447</v>
      </c>
      <c r="AB20" t="str">
        <f t="shared" si="12"/>
        <v>99999911001関連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99999911005</v>
      </c>
      <c r="G21" s="29">
        <f t="shared" si="2"/>
        <v>99999911005</v>
      </c>
      <c r="H21" s="20" t="str">
        <f t="shared" si="3"/>
        <v>-</v>
      </c>
      <c r="I21" s="20" t="str">
        <f t="shared" si="4"/>
        <v>ー</v>
      </c>
      <c r="J21" s="20" t="str">
        <f t="shared" si="5"/>
        <v>遊佐町</v>
      </c>
      <c r="K21" s="31" t="str">
        <f t="shared" si="6"/>
        <v>99999911001関連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99999911001</v>
      </c>
      <c r="N21">
        <f>IF(L21&lt;&gt;"○",M21,INDEX(G$4:G20,MATCH(L21&amp;M21,F$4:F20,0)))</f>
        <v>99999911001</v>
      </c>
      <c r="O21" t="str">
        <f t="shared" si="8"/>
        <v>関連</v>
      </c>
      <c r="Q21" s="4">
        <v>44937</v>
      </c>
      <c r="S21" t="str">
        <f t="shared" si="11"/>
        <v>99999911005</v>
      </c>
      <c r="T21" t="s">
        <v>50</v>
      </c>
      <c r="U21" t="s">
        <v>50</v>
      </c>
      <c r="V21" t="s">
        <v>447</v>
      </c>
      <c r="AB21" t="str">
        <f t="shared" si="12"/>
        <v>99999911001関連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99999911006</v>
      </c>
      <c r="G22" s="29">
        <f t="shared" si="2"/>
        <v>99999911006</v>
      </c>
      <c r="H22" s="20" t="str">
        <f t="shared" si="3"/>
        <v>-</v>
      </c>
      <c r="I22" s="20" t="str">
        <f t="shared" si="4"/>
        <v>ー</v>
      </c>
      <c r="J22" s="20" t="str">
        <f t="shared" si="5"/>
        <v>遊佐町</v>
      </c>
      <c r="K22" s="31" t="str">
        <f t="shared" si="6"/>
        <v>99999911001関連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99999911001</v>
      </c>
      <c r="N22">
        <f>IF(L22&lt;&gt;"○",M22,INDEX(G$4:G21,MATCH(L22&amp;M22,F$4:F21,0)))</f>
        <v>99999911001</v>
      </c>
      <c r="O22" t="str">
        <f t="shared" si="8"/>
        <v>関連</v>
      </c>
      <c r="Q22" s="4">
        <v>44937</v>
      </c>
      <c r="S22" t="str">
        <f t="shared" si="11"/>
        <v>99999911006</v>
      </c>
      <c r="T22" t="s">
        <v>50</v>
      </c>
      <c r="U22" t="s">
        <v>50</v>
      </c>
      <c r="V22" t="s">
        <v>447</v>
      </c>
      <c r="AB22" t="str">
        <f t="shared" si="12"/>
        <v>99999911001関連</v>
      </c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>
        <f>IF(G24="","",MAX(C$4:C23)+1)</f>
        <v>13</v>
      </c>
      <c r="D24">
        <f>IF(AND(N24=""),"",MAX(D$4:D23)+1)</f>
        <v>13</v>
      </c>
      <c r="F24" s="26" t="str">
        <f t="shared" si="1"/>
        <v>99999912001</v>
      </c>
      <c r="G24" s="29">
        <f t="shared" si="2"/>
        <v>99999912001</v>
      </c>
      <c r="H24" s="20" t="str">
        <f t="shared" si="3"/>
        <v>-</v>
      </c>
      <c r="I24" s="20" t="str">
        <f t="shared" si="4"/>
        <v>ー</v>
      </c>
      <c r="J24" s="20" t="str">
        <f t="shared" si="5"/>
        <v>山形市</v>
      </c>
      <c r="K24" s="31" t="str">
        <f t="shared" si="6"/>
        <v>99999912001医療機関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99999912001</v>
      </c>
      <c r="N24">
        <f>IF(L24&lt;&gt;"○",M24,INDEX(G$4:G23,MATCH(L24&amp;M24,F$4:F23,0)))</f>
        <v>99999912001</v>
      </c>
      <c r="O24" t="str">
        <f t="shared" si="8"/>
        <v>医療機関</v>
      </c>
      <c r="Q24" s="4">
        <v>44937</v>
      </c>
      <c r="S24" t="str">
        <f>$O$1&amp;
912&amp;
REPT("0",3-LEN(ROW($S1)))&amp;ROW($S1)</f>
        <v>99999912001</v>
      </c>
      <c r="T24" t="s">
        <v>50</v>
      </c>
      <c r="U24" t="s">
        <v>50</v>
      </c>
      <c r="V24" t="s">
        <v>448</v>
      </c>
      <c r="AB24" t="str">
        <f>$S$24&amp;"医療機関"</f>
        <v>99999912001医療機関</v>
      </c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>
        <f>IF(G26="","",MAX(C$4:C25)+1)</f>
        <v>14</v>
      </c>
      <c r="D26">
        <f>IF(AND(N26=""),"",MAX(D$4:D25)+1)</f>
        <v>14</v>
      </c>
      <c r="F26" s="26" t="str">
        <f t="shared" si="1"/>
        <v>99999913001</v>
      </c>
      <c r="G26" s="29">
        <f t="shared" si="2"/>
        <v>99999913001</v>
      </c>
      <c r="H26" s="20" t="str">
        <f t="shared" si="3"/>
        <v>-</v>
      </c>
      <c r="I26" s="20" t="str">
        <f t="shared" si="4"/>
        <v>ー</v>
      </c>
      <c r="J26" s="20" t="str">
        <f t="shared" si="5"/>
        <v>山形市</v>
      </c>
      <c r="K26" s="31" t="str">
        <f t="shared" si="6"/>
        <v>99999913001介護施設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99999913001</v>
      </c>
      <c r="N26">
        <f>IF(L26&lt;&gt;"○",M26,INDEX(G$4:G25,MATCH(L26&amp;M26,F$4:F25,0)))</f>
        <v>99999913001</v>
      </c>
      <c r="O26" t="str">
        <f t="shared" si="8"/>
        <v>介護施設</v>
      </c>
      <c r="Q26" s="4">
        <v>44937</v>
      </c>
      <c r="S26" t="str">
        <f>$O$1&amp;
913&amp;
REPT("0",3-LEN(ROW($S1)))&amp;ROW($S1)</f>
        <v>99999913001</v>
      </c>
      <c r="T26" t="s">
        <v>50</v>
      </c>
      <c r="U26" t="s">
        <v>50</v>
      </c>
      <c r="V26" t="s">
        <v>448</v>
      </c>
      <c r="AB26" t="str">
        <f>$S$26&amp;"介護施設"</f>
        <v>99999913001介護施設</v>
      </c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>
        <f>IF(G28="","",MAX(C$4:C27)+1)</f>
        <v>15</v>
      </c>
      <c r="D28">
        <f>IF(AND(N28=""),"",MAX(D$4:D27)+1)</f>
        <v>15</v>
      </c>
      <c r="F28" s="26" t="str">
        <f t="shared" si="1"/>
        <v>99999914001</v>
      </c>
      <c r="G28" s="29">
        <f t="shared" si="2"/>
        <v>99999914001</v>
      </c>
      <c r="H28" s="20" t="str">
        <f t="shared" si="3"/>
        <v>-</v>
      </c>
      <c r="I28" s="20" t="str">
        <f t="shared" si="4"/>
        <v>ー</v>
      </c>
      <c r="J28" s="20" t="str">
        <f t="shared" si="5"/>
        <v>山形市</v>
      </c>
      <c r="K28" s="31" t="str">
        <f t="shared" si="6"/>
        <v>99999914001医療機関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99999914001</v>
      </c>
      <c r="N28">
        <f>IF(L28&lt;&gt;"○",M28,INDEX(G$4:G27,MATCH(L28&amp;M28,F$4:F27,0)))</f>
        <v>99999914001</v>
      </c>
      <c r="O28" t="str">
        <f t="shared" si="8"/>
        <v>医療機関</v>
      </c>
      <c r="Q28" s="4">
        <v>44937</v>
      </c>
      <c r="S28" t="str">
        <f>$O$1&amp;
914&amp;
REPT("0",3-LEN(ROW($S1)))&amp;ROW($S1)</f>
        <v>99999914001</v>
      </c>
      <c r="T28" t="s">
        <v>50</v>
      </c>
      <c r="U28" t="s">
        <v>50</v>
      </c>
      <c r="V28" t="s">
        <v>448</v>
      </c>
      <c r="AB28" t="str">
        <f>$S$28&amp;"医療機関"</f>
        <v>99999914001医療機関</v>
      </c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2023/1/11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99999910001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99999910001障がい者施設</v>
      </c>
      <c r="I3" s="1">
        <f>IF(H3&lt;&gt;"",IF(ROW(G1)&gt;MAX(Main!$C$4:$C$1048576),"",INDEX(Main!N$4:N$1048576,MATCH(ROW(G1),Main!$C$4:$C$1048576,0))),"")</f>
        <v>99999910001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障がい者施設</v>
      </c>
      <c r="K3" s="27" t="str">
        <f t="shared" ref="K3:K66" si="1">IF(ISERROR(FIND($Y$1, $C3)), $C3&amp;
"例目",
"クラスターNo."&amp;LEFT(REPLACE($C3, 1, LEN($Y$1), ""), LEN($C3)-3-LEN($Y$1)))</f>
        <v>クラスターNo.910</v>
      </c>
      <c r="M3" s="4" t="str">
        <f>TEXT(IF(ROW(A1)&gt;MAX(Main!$D$4:$D$1048576),"",INDEX(Main!Q$4:Q$1048576,MATCH(ROW(A1),Main!$D$4:$D$1048576,0))), "yyyy/m/d")</f>
        <v>2023/1/11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99999910001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99999910001障がい者施設</v>
      </c>
      <c r="T3" s="1">
        <f>IF(S3&lt;&gt;"",IF(ROW(G1)&gt;MAX(Main!$D$4:$D$1048576),"",INDEX(Main!N$4:N$1048576,MATCH(ROW(G1),Main!$D$4:$D$1048576,0))),"")</f>
        <v>99999910001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障がい者施設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2023/1/11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99999910002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99999910001関連</v>
      </c>
      <c r="I4" s="1">
        <f>IF(H4&lt;&gt;"",IF(ROW(G2)&gt;MAX(Main!$C$4:$C$1048576),"",INDEX(Main!N$4:N$1048576,MATCH(ROW(G2),Main!$C$4:$C$1048576,0))),"")</f>
        <v>99999910001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クラスターNo.910</v>
      </c>
      <c r="M4" s="4" t="str">
        <f>TEXT(IF(ROW(A2)&gt;MAX(Main!$D$4:$D$1048576),"",INDEX(Main!Q$4:Q$1048576,MATCH(ROW(A2),Main!$D$4:$D$1048576,0))), "yyyy/m/d")</f>
        <v>2023/1/11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99999910002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99999910001関連</v>
      </c>
      <c r="T4" s="1">
        <f>IF(S4&lt;&gt;"",IF(ROW(G2)&gt;MAX(Main!$D$4:$D$1048576),"",INDEX(Main!N$4:N$1048576,MATCH(ROW(G2),Main!$D$4:$D$1048576,0))),"")</f>
        <v>99999910001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2023/1/11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99999910003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99999910001関連</v>
      </c>
      <c r="I5" s="1">
        <f>IF(H5&lt;&gt;"",IF(ROW(G3)&gt;MAX(Main!$C$4:$C$1048576),"",INDEX(Main!N$4:N$1048576,MATCH(ROW(G3),Main!$C$4:$C$1048576,0))),"")</f>
        <v>99999910001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クラスターNo.910</v>
      </c>
      <c r="M5" s="4" t="str">
        <f>TEXT(IF(ROW(A3)&gt;MAX(Main!$D$4:$D$1048576),"",INDEX(Main!Q$4:Q$1048576,MATCH(ROW(A3),Main!$D$4:$D$1048576,0))), "yyyy/m/d")</f>
        <v>2023/1/11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99999910003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99999910001関連</v>
      </c>
      <c r="T5" s="1">
        <f>IF(S5&lt;&gt;"",IF(ROW(G3)&gt;MAX(Main!$D$4:$D$1048576),"",INDEX(Main!N$4:N$1048576,MATCH(ROW(G3),Main!$D$4:$D$1048576,0))),"")</f>
        <v>99999910001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2023/1/11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99999910004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99999910001関連</v>
      </c>
      <c r="I6" s="1">
        <f>IF(H6&lt;&gt;"",IF(ROW(G4)&gt;MAX(Main!$C$4:$C$1048576),"",INDEX(Main!N$4:N$1048576,MATCH(ROW(G4),Main!$C$4:$C$1048576,0))),"")</f>
        <v>99999910001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クラスターNo.910</v>
      </c>
      <c r="M6" s="4" t="str">
        <f>TEXT(IF(ROW(A4)&gt;MAX(Main!$D$4:$D$1048576),"",INDEX(Main!Q$4:Q$1048576,MATCH(ROW(A4),Main!$D$4:$D$1048576,0))), "yyyy/m/d")</f>
        <v>2023/1/11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99999910004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99999910001関連</v>
      </c>
      <c r="T6" s="1">
        <f>IF(S6&lt;&gt;"",IF(ROW(G4)&gt;MAX(Main!$D$4:$D$1048576),"",INDEX(Main!N$4:N$1048576,MATCH(ROW(G4),Main!$D$4:$D$1048576,0))),"")</f>
        <v>99999910001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2023/1/11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99999910005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99999910001関連</v>
      </c>
      <c r="I7" s="1">
        <f>IF(H7&lt;&gt;"",IF(ROW(G5)&gt;MAX(Main!$C$4:$C$1048576),"",INDEX(Main!N$4:N$1048576,MATCH(ROW(G5),Main!$C$4:$C$1048576,0))),"")</f>
        <v>99999910001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クラスターNo.910</v>
      </c>
      <c r="M7" s="4" t="str">
        <f>TEXT(IF(ROW(A5)&gt;MAX(Main!$D$4:$D$1048576),"",INDEX(Main!Q$4:Q$1048576,MATCH(ROW(A5),Main!$D$4:$D$1048576,0))), "yyyy/m/d")</f>
        <v>2023/1/11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99999910005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99999910001関連</v>
      </c>
      <c r="T7" s="1">
        <f>IF(S7&lt;&gt;"",IF(ROW(G5)&gt;MAX(Main!$D$4:$D$1048576),"",INDEX(Main!N$4:N$1048576,MATCH(ROW(G5),Main!$D$4:$D$1048576,0))),"")</f>
        <v>99999910001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2023/1/11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99999910006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99999910001関連</v>
      </c>
      <c r="I8" s="1">
        <f>IF(H8&lt;&gt;"",IF(ROW(G6)&gt;MAX(Main!$C$4:$C$1048576),"",INDEX(Main!N$4:N$1048576,MATCH(ROW(G6),Main!$C$4:$C$1048576,0))),"")</f>
        <v>99999910001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クラスターNo.910</v>
      </c>
      <c r="M8" s="4" t="str">
        <f>TEXT(IF(ROW(A6)&gt;MAX(Main!$D$4:$D$1048576),"",INDEX(Main!Q$4:Q$1048576,MATCH(ROW(A6),Main!$D$4:$D$1048576,0))), "yyyy/m/d")</f>
        <v>2023/1/11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99999910006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99999910001関連</v>
      </c>
      <c r="T8" s="1">
        <f>IF(S8&lt;&gt;"",IF(ROW(G6)&gt;MAX(Main!$D$4:$D$1048576),"",INDEX(Main!N$4:N$1048576,MATCH(ROW(G6),Main!$D$4:$D$1048576,0))),"")</f>
        <v>99999910001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2023/1/11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99999911001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遊佐町</v>
      </c>
      <c r="H9" s="10" t="str">
        <f>IF(ROW(G7)&gt;MAX(Main!$C$4:$C$1048576),"",INDEX(Main!K$4:K$1048576,MATCH(ROW(G7),Main!$C$4:$C$1048576,0)))</f>
        <v>99999911001介護施設</v>
      </c>
      <c r="I9" s="1">
        <f>IF(H9&lt;&gt;"",IF(ROW(G7)&gt;MAX(Main!$C$4:$C$1048576),"",INDEX(Main!N$4:N$1048576,MATCH(ROW(G7),Main!$C$4:$C$1048576,0))),"")</f>
        <v>99999911001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介護施設</v>
      </c>
      <c r="K9" s="27" t="str">
        <f t="shared" si="1"/>
        <v>クラスターNo.911</v>
      </c>
      <c r="M9" s="4" t="str">
        <f>TEXT(IF(ROW(A7)&gt;MAX(Main!$D$4:$D$1048576),"",INDEX(Main!Q$4:Q$1048576,MATCH(ROW(A7),Main!$D$4:$D$1048576,0))), "yyyy/m/d")</f>
        <v>2023/1/11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99999911001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遊佐町</v>
      </c>
      <c r="S9" s="9" t="str">
        <f>IF(ROW(G7)&gt;MAX(Main!$D$4:$D$1048576),"",INDEX(Main!K$4:K$1048576,MATCH(ROW(G7),Main!$D$4:$D$1048576,0)))</f>
        <v>99999911001介護施設</v>
      </c>
      <c r="T9" s="1">
        <f>IF(S9&lt;&gt;"",IF(ROW(G7)&gt;MAX(Main!$D$4:$D$1048576),"",INDEX(Main!N$4:N$1048576,MATCH(ROW(G7),Main!$D$4:$D$1048576,0))),"")</f>
        <v>99999911001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介護施設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2023/1/11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99999911002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遊佐町</v>
      </c>
      <c r="H10" s="10" t="str">
        <f>IF(ROW(G8)&gt;MAX(Main!$C$4:$C$1048576),"",INDEX(Main!K$4:K$1048576,MATCH(ROW(G8),Main!$C$4:$C$1048576,0)))</f>
        <v>99999911001関連</v>
      </c>
      <c r="I10" s="1">
        <f>IF(H10&lt;&gt;"",IF(ROW(G8)&gt;MAX(Main!$C$4:$C$1048576),"",INDEX(Main!N$4:N$1048576,MATCH(ROW(G8),Main!$C$4:$C$1048576,0))),"")</f>
        <v>99999911001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クラスターNo.911</v>
      </c>
      <c r="M10" s="4" t="str">
        <f>TEXT(IF(ROW(A8)&gt;MAX(Main!$D$4:$D$1048576),"",INDEX(Main!Q$4:Q$1048576,MATCH(ROW(A8),Main!$D$4:$D$1048576,0))), "yyyy/m/d")</f>
        <v>2023/1/11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99999911002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遊佐町</v>
      </c>
      <c r="S10" s="9" t="str">
        <f>IF(ROW(G8)&gt;MAX(Main!$D$4:$D$1048576),"",INDEX(Main!K$4:K$1048576,MATCH(ROW(G8),Main!$D$4:$D$1048576,0)))</f>
        <v>99999911001関連</v>
      </c>
      <c r="T10" s="1">
        <f>IF(S10&lt;&gt;"",IF(ROW(G8)&gt;MAX(Main!$D$4:$D$1048576),"",INDEX(Main!N$4:N$1048576,MATCH(ROW(G8),Main!$D$4:$D$1048576,0))),"")</f>
        <v>99999911001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2023/1/11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99999911003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遊佐町</v>
      </c>
      <c r="H11" s="10" t="str">
        <f>IF(ROW(G9)&gt;MAX(Main!$C$4:$C$1048576),"",INDEX(Main!K$4:K$1048576,MATCH(ROW(G9),Main!$C$4:$C$1048576,0)))</f>
        <v>99999911001関連</v>
      </c>
      <c r="I11" s="1">
        <f>IF(H11&lt;&gt;"",IF(ROW(G9)&gt;MAX(Main!$C$4:$C$1048576),"",INDEX(Main!N$4:N$1048576,MATCH(ROW(G9),Main!$C$4:$C$1048576,0))),"")</f>
        <v>99999911001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クラスターNo.911</v>
      </c>
      <c r="M11" s="4" t="str">
        <f>TEXT(IF(ROW(A9)&gt;MAX(Main!$D$4:$D$1048576),"",INDEX(Main!Q$4:Q$1048576,MATCH(ROW(A9),Main!$D$4:$D$1048576,0))), "yyyy/m/d")</f>
        <v>2023/1/11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99999911003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遊佐町</v>
      </c>
      <c r="S11" s="9" t="str">
        <f>IF(ROW(G9)&gt;MAX(Main!$D$4:$D$1048576),"",INDEX(Main!K$4:K$1048576,MATCH(ROW(G9),Main!$D$4:$D$1048576,0)))</f>
        <v>99999911001関連</v>
      </c>
      <c r="T11" s="1">
        <f>IF(S11&lt;&gt;"",IF(ROW(G9)&gt;MAX(Main!$D$4:$D$1048576),"",INDEX(Main!N$4:N$1048576,MATCH(ROW(G9),Main!$D$4:$D$1048576,0))),"")</f>
        <v>99999911001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2023/1/11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99999911004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遊佐町</v>
      </c>
      <c r="H12" s="10" t="str">
        <f>IF(ROW(G10)&gt;MAX(Main!$C$4:$C$1048576),"",INDEX(Main!K$4:K$1048576,MATCH(ROW(G10),Main!$C$4:$C$1048576,0)))</f>
        <v>99999911001関連</v>
      </c>
      <c r="I12" s="1">
        <f>IF(H12&lt;&gt;"",IF(ROW(G10)&gt;MAX(Main!$C$4:$C$1048576),"",INDEX(Main!N$4:N$1048576,MATCH(ROW(G10),Main!$C$4:$C$1048576,0))),"")</f>
        <v>99999911001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クラスターNo.911</v>
      </c>
      <c r="M12" s="4" t="str">
        <f>TEXT(IF(ROW(A10)&gt;MAX(Main!$D$4:$D$1048576),"",INDEX(Main!Q$4:Q$1048576,MATCH(ROW(A10),Main!$D$4:$D$1048576,0))), "yyyy/m/d")</f>
        <v>2023/1/11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99999911004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遊佐町</v>
      </c>
      <c r="S12" s="9" t="str">
        <f>IF(ROW(G10)&gt;MAX(Main!$D$4:$D$1048576),"",INDEX(Main!K$4:K$1048576,MATCH(ROW(G10),Main!$D$4:$D$1048576,0)))</f>
        <v>99999911001関連</v>
      </c>
      <c r="T12" s="1">
        <f>IF(S12&lt;&gt;"",IF(ROW(G10)&gt;MAX(Main!$D$4:$D$1048576),"",INDEX(Main!N$4:N$1048576,MATCH(ROW(G10),Main!$D$4:$D$1048576,0))),"")</f>
        <v>99999911001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2023/1/11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99999911005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遊佐町</v>
      </c>
      <c r="H13" s="10" t="str">
        <f>IF(ROW(G11)&gt;MAX(Main!$C$4:$C$1048576),"",INDEX(Main!K$4:K$1048576,MATCH(ROW(G11),Main!$C$4:$C$1048576,0)))</f>
        <v>99999911001関連</v>
      </c>
      <c r="I13" s="1">
        <f>IF(H13&lt;&gt;"",IF(ROW(G11)&gt;MAX(Main!$C$4:$C$1048576),"",INDEX(Main!N$4:N$1048576,MATCH(ROW(G11),Main!$C$4:$C$1048576,0))),"")</f>
        <v>99999911001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クラスターNo.911</v>
      </c>
      <c r="M13" s="4" t="str">
        <f>TEXT(IF(ROW(A11)&gt;MAX(Main!$D$4:$D$1048576),"",INDEX(Main!Q$4:Q$1048576,MATCH(ROW(A11),Main!$D$4:$D$1048576,0))), "yyyy/m/d")</f>
        <v>2023/1/11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99999911005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遊佐町</v>
      </c>
      <c r="S13" s="9" t="str">
        <f>IF(ROW(G11)&gt;MAX(Main!$D$4:$D$1048576),"",INDEX(Main!K$4:K$1048576,MATCH(ROW(G11),Main!$D$4:$D$1048576,0)))</f>
        <v>99999911001関連</v>
      </c>
      <c r="T13" s="1">
        <f>IF(S13&lt;&gt;"",IF(ROW(G11)&gt;MAX(Main!$D$4:$D$1048576),"",INDEX(Main!N$4:N$1048576,MATCH(ROW(G11),Main!$D$4:$D$1048576,0))),"")</f>
        <v>99999911001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2023/1/11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99999911006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遊佐町</v>
      </c>
      <c r="H14" s="10" t="str">
        <f>IF(ROW(G12)&gt;MAX(Main!$C$4:$C$1048576),"",INDEX(Main!K$4:K$1048576,MATCH(ROW(G12),Main!$C$4:$C$1048576,0)))</f>
        <v>99999911001関連</v>
      </c>
      <c r="I14" s="1">
        <f>IF(H14&lt;&gt;"",IF(ROW(G12)&gt;MAX(Main!$C$4:$C$1048576),"",INDEX(Main!N$4:N$1048576,MATCH(ROW(G12),Main!$C$4:$C$1048576,0))),"")</f>
        <v>99999911001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クラスターNo.911</v>
      </c>
      <c r="M14" s="4" t="str">
        <f>TEXT(IF(ROW(A12)&gt;MAX(Main!$D$4:$D$1048576),"",INDEX(Main!Q$4:Q$1048576,MATCH(ROW(A12),Main!$D$4:$D$1048576,0))), "yyyy/m/d")</f>
        <v>2023/1/11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99999911006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遊佐町</v>
      </c>
      <c r="S14" s="9" t="str">
        <f>IF(ROW(G12)&gt;MAX(Main!$D$4:$D$1048576),"",INDEX(Main!K$4:K$1048576,MATCH(ROW(G12),Main!$D$4:$D$1048576,0)))</f>
        <v>99999911001関連</v>
      </c>
      <c r="T14" s="1">
        <f>IF(S14&lt;&gt;"",IF(ROW(G12)&gt;MAX(Main!$D$4:$D$1048576),"",INDEX(Main!N$4:N$1048576,MATCH(ROW(G12),Main!$D$4:$D$1048576,0))),"")</f>
        <v>99999911001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2023/1/11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99999912001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山形市</v>
      </c>
      <c r="H15" s="10" t="str">
        <f>IF(ROW(G13)&gt;MAX(Main!$C$4:$C$1048576),"",INDEX(Main!K$4:K$1048576,MATCH(ROW(G13),Main!$C$4:$C$1048576,0)))</f>
        <v>99999912001医療機関</v>
      </c>
      <c r="I15" s="1">
        <f>IF(H15&lt;&gt;"",IF(ROW(G13)&gt;MAX(Main!$C$4:$C$1048576),"",INDEX(Main!N$4:N$1048576,MATCH(ROW(G13),Main!$C$4:$C$1048576,0))),"")</f>
        <v>99999912001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医療機関</v>
      </c>
      <c r="K15" s="27" t="str">
        <f t="shared" si="1"/>
        <v>クラスターNo.912</v>
      </c>
      <c r="M15" s="4" t="str">
        <f>TEXT(IF(ROW(A13)&gt;MAX(Main!$D$4:$D$1048576),"",INDEX(Main!Q$4:Q$1048576,MATCH(ROW(A13),Main!$D$4:$D$1048576,0))), "yyyy/m/d")</f>
        <v>2023/1/11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99999912001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山形市</v>
      </c>
      <c r="S15" s="9" t="str">
        <f>IF(ROW(G13)&gt;MAX(Main!$D$4:$D$1048576),"",INDEX(Main!K$4:K$1048576,MATCH(ROW(G13),Main!$D$4:$D$1048576,0)))</f>
        <v>99999912001医療機関</v>
      </c>
      <c r="T15" s="1">
        <f>IF(S15&lt;&gt;"",IF(ROW(G13)&gt;MAX(Main!$D$4:$D$1048576),"",INDEX(Main!N$4:N$1048576,MATCH(ROW(G13),Main!$D$4:$D$1048576,0))),"")</f>
        <v>99999912001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医療機関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2023/1/11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99999913001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山形市</v>
      </c>
      <c r="H16" s="10" t="str">
        <f>IF(ROW(G14)&gt;MAX(Main!$C$4:$C$1048576),"",INDEX(Main!K$4:K$1048576,MATCH(ROW(G14),Main!$C$4:$C$1048576,0)))</f>
        <v>99999913001介護施設</v>
      </c>
      <c r="I16" s="1">
        <f>IF(H16&lt;&gt;"",IF(ROW(G14)&gt;MAX(Main!$C$4:$C$1048576),"",INDEX(Main!N$4:N$1048576,MATCH(ROW(G14),Main!$C$4:$C$1048576,0))),"")</f>
        <v>99999913001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介護施設</v>
      </c>
      <c r="K16" s="27" t="str">
        <f t="shared" si="1"/>
        <v>クラスターNo.913</v>
      </c>
      <c r="M16" s="4" t="str">
        <f>TEXT(IF(ROW(A14)&gt;MAX(Main!$D$4:$D$1048576),"",INDEX(Main!Q$4:Q$1048576,MATCH(ROW(A14),Main!$D$4:$D$1048576,0))), "yyyy/m/d")</f>
        <v>2023/1/11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99999913001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山形市</v>
      </c>
      <c r="S16" s="9" t="str">
        <f>IF(ROW(G14)&gt;MAX(Main!$D$4:$D$1048576),"",INDEX(Main!K$4:K$1048576,MATCH(ROW(G14),Main!$D$4:$D$1048576,0)))</f>
        <v>99999913001介護施設</v>
      </c>
      <c r="T16" s="1">
        <f>IF(S16&lt;&gt;"",IF(ROW(G14)&gt;MAX(Main!$D$4:$D$1048576),"",INDEX(Main!N$4:N$1048576,MATCH(ROW(G14),Main!$D$4:$D$1048576,0))),"")</f>
        <v>99999913001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介護施設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2023/1/11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99999914001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山形市</v>
      </c>
      <c r="H17" s="10" t="str">
        <f>IF(ROW(G15)&gt;MAX(Main!$C$4:$C$1048576),"",INDEX(Main!K$4:K$1048576,MATCH(ROW(G15),Main!$C$4:$C$1048576,0)))</f>
        <v>99999914001医療機関</v>
      </c>
      <c r="I17" s="1">
        <f>IF(H17&lt;&gt;"",IF(ROW(G15)&gt;MAX(Main!$C$4:$C$1048576),"",INDEX(Main!N$4:N$1048576,MATCH(ROW(G15),Main!$C$4:$C$1048576,0))),"")</f>
        <v>99999914001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医療機関</v>
      </c>
      <c r="K17" s="27" t="str">
        <f t="shared" si="1"/>
        <v>クラスターNo.914</v>
      </c>
      <c r="M17" s="4" t="str">
        <f>TEXT(IF(ROW(A15)&gt;MAX(Main!$D$4:$D$1048576),"",INDEX(Main!Q$4:Q$1048576,MATCH(ROW(A15),Main!$D$4:$D$1048576,0))), "yyyy/m/d")</f>
        <v>2023/1/11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99999914001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山形市</v>
      </c>
      <c r="S17" s="9" t="str">
        <f>IF(ROW(G15)&gt;MAX(Main!$D$4:$D$1048576),"",INDEX(Main!K$4:K$1048576,MATCH(ROW(G15),Main!$D$4:$D$1048576,0)))</f>
        <v>99999914001医療機関</v>
      </c>
      <c r="T17" s="1">
        <f>IF(S17&lt;&gt;"",IF(ROW(G15)&gt;MAX(Main!$D$4:$D$1048576),"",INDEX(Main!N$4:N$1048576,MATCH(ROW(G15),Main!$D$4:$D$1048576,0))),"")</f>
        <v>99999914001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医療機関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15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99999910001,
            "date": "2023/1/11",
            "label": "クラスターNo.910\n2023/1/11\n鶴岡市\n-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99999910002,
            "date": "2023/1/11",
            "label": "クラスターNo.910\n2023/1/11\n鶴岡市\n-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99999910003,
            "date": "2023/1/11",
            "label": "クラスターNo.910\n2023/1/11\n鶴岡市\n-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99999910004,
            "date": "2023/1/11",
            "label": "クラスターNo.910\n2023/1/11\n鶴岡市\n-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99999910005,
            "date": "2023/1/11",
            "label": "クラスターNo.910\n2023/1/11\n鶴岡市\n-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99999910006,
            "date": "2023/1/11",
            "label": "クラスターNo.910\n2023/1/11\n鶴岡市\n- ー"
        },
        "classes": ["multiline-manual", "else"]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99999911001,
            "date": "2023/1/11",
            "label": "クラスターNo.911\n2023/1/11\n遊佐町\n-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99999911002,
            "date": "2023/1/11",
            "label": "クラスターNo.911\n2023/1/11\n遊佐町\n-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99999911003,
            "date": "2023/1/11",
            "label": "クラスターNo.911\n2023/1/11\n遊佐町\n-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99999911004,
            "date": "2023/1/11",
            "label": "クラスターNo.911\n2023/1/11\n遊佐町\n-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99999911005,
            "date": "2023/1/11",
            "label": "クラスターNo.911\n2023/1/11\n遊佐町\n-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99999911006,
            "date": "2023/1/11",
            "label": "クラスターNo.911\n2023/1/11\n遊佐町\n-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99999912001,
            "date": "2023/1/11",
            "label": "クラスターNo.912\n2023/1/11\n山形市\n-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99999913001,
            "date": "2023/1/11",
            "label": "クラスターNo.913\n2023/1/11\n山形市\n-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99999914001,
            "date": "2023/1/11",
            "label": "クラスターNo.914\n2023/1/11\n山形市\n- ー"
        },
        "classes": ["multiline-manual", "else"]
    }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15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"99999910001",
            "target": "99999910001",
            "label": "障がい者施設"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"99999910002",
            "target": "99999910001",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"99999910003",
            "target": "99999910001",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"99999910004",
            "target": "99999910001",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"99999910005",
            "target": "99999910001",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"99999910006",
            "target": "99999910001",
            "label": "関連"
        }
    },
</v>
      </c>
    </row>
    <row r="18" spans="2:3" ht="131.25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"99999911001",
            "target": "99999911001",
            "label": "介護施設"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"99999911002",
            "target": "99999911001",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"99999911003",
            "target": "99999911001",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"99999911004",
            "target": "99999911001",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"99999911005",
            "target": "99999911001",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"99999911006",
            "target": "99999911001",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"99999912001",
            "target": "99999912001",
            "label": "医療機関"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"99999913001",
            "target": "99999913001",
            "label": "介護施設"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"99999914001",
            "target": "99999914001",
            "label": "医療機関"
        }
    }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"lastUpdate":"2023/1/11 23:03"}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2023-01-11T14:05:07Z</dcterms:modified>
</cp:coreProperties>
</file>