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71981478-2644-4DA1-A4F9-B6764C57BB06}" xr6:coauthVersionLast="47" xr6:coauthVersionMax="47" xr10:uidLastSave="{00000000-0000-0000-0000-000000000000}"/>
  <bookViews>
    <workbookView xWindow="3240" yWindow="1755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4" i="1" l="1"/>
  <c r="G24" i="1" s="1"/>
  <c r="H24" i="1" s="1"/>
  <c r="S23" i="1"/>
  <c r="G23" i="1" s="1"/>
  <c r="S22" i="1"/>
  <c r="G22" i="1" s="1"/>
  <c r="I22" i="1" s="1"/>
  <c r="S21" i="1"/>
  <c r="G21" i="1" s="1"/>
  <c r="S20" i="1"/>
  <c r="S19" i="1"/>
  <c r="AB24" i="1"/>
  <c r="S18" i="1"/>
  <c r="AB23" i="1" s="1"/>
  <c r="S16" i="1"/>
  <c r="G16" i="1" s="1"/>
  <c r="I16" i="1" s="1"/>
  <c r="S15" i="1"/>
  <c r="G15" i="1" s="1"/>
  <c r="J15" i="1" s="1"/>
  <c r="S14" i="1"/>
  <c r="S13" i="1"/>
  <c r="G13" i="1" s="1"/>
  <c r="S12" i="1"/>
  <c r="S11" i="1"/>
  <c r="G11" i="1" s="1"/>
  <c r="I11" i="1" s="1"/>
  <c r="S10" i="1"/>
  <c r="AB13" i="1" s="1"/>
  <c r="AB15" i="1"/>
  <c r="AB14" i="1"/>
  <c r="AB12" i="1"/>
  <c r="AB11" i="1"/>
  <c r="G27" i="1"/>
  <c r="F27" i="1" s="1"/>
  <c r="G25" i="1"/>
  <c r="I25" i="1" s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8" i="1" l="1"/>
  <c r="AB16" i="1"/>
  <c r="AB19" i="1"/>
  <c r="AB20" i="1"/>
  <c r="AB21" i="1"/>
  <c r="K21" i="1" s="1"/>
  <c r="M21" i="1" s="1" a="1"/>
  <c r="M21" i="1" s="1"/>
  <c r="O21" i="1" s="1"/>
  <c r="AB10" i="1"/>
  <c r="AB22" i="1"/>
  <c r="K22" i="1" s="1"/>
  <c r="L22" i="1" s="1"/>
  <c r="K11" i="1"/>
  <c r="L11" i="1" s="1"/>
  <c r="K30" i="1"/>
  <c r="K15" i="1"/>
  <c r="M15" i="1" s="1" a="1"/>
  <c r="M15" i="1" s="1"/>
  <c r="O15" i="1" s="1"/>
  <c r="K16" i="1"/>
  <c r="L16" i="1" s="1"/>
  <c r="G19" i="1"/>
  <c r="F19" i="1" s="1"/>
  <c r="K25" i="1"/>
  <c r="M25" i="1" s="1" a="1"/>
  <c r="M25" i="1" s="1"/>
  <c r="O25" i="1" s="1"/>
  <c r="K13" i="1"/>
  <c r="K24" i="1"/>
  <c r="M24" i="1" s="1" a="1"/>
  <c r="M24" i="1" s="1"/>
  <c r="O24" i="1" s="1"/>
  <c r="G18" i="1"/>
  <c r="F18" i="1" s="1"/>
  <c r="K23" i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30" i="5" a="1"/>
  <c r="C25" i="4" a="1"/>
  <c r="C30" i="5" l="1"/>
  <c r="C25" i="4"/>
  <c r="C31" i="5" a="1"/>
  <c r="C26" i="4" a="1"/>
  <c r="C26" i="4" l="1"/>
  <c r="C31" i="5"/>
  <c r="C27" i="4" a="1"/>
  <c r="C32" i="5" a="1"/>
  <c r="C32" i="5" l="1"/>
  <c r="C27" i="4"/>
  <c r="C28" i="4" a="1"/>
  <c r="C33" i="5" a="1"/>
  <c r="C28" i="4" l="1"/>
  <c r="C33" i="5"/>
  <c r="C34" i="5" a="1"/>
  <c r="C29" i="4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4" i="4" a="1"/>
  <c r="C39" i="5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53" i="5" a="1"/>
  <c r="C48" i="4" a="1"/>
  <c r="C48" i="4" l="1"/>
  <c r="C53" i="5"/>
  <c r="C54" i="5" a="1"/>
  <c r="C49" i="4" a="1"/>
  <c r="C54" i="5" l="1"/>
  <c r="C49" i="4"/>
  <c r="C55" i="5" a="1"/>
  <c r="C50" i="4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62" i="5" a="1"/>
  <c r="C57" i="4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0" i="4" a="1"/>
  <c r="C75" i="5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84" i="5" a="1"/>
  <c r="C79" i="4" a="1"/>
  <c r="C79" i="4" l="1"/>
  <c r="C84" i="5"/>
  <c r="C80" i="4" a="1"/>
  <c r="C85" i="5" a="1"/>
  <c r="C85" i="5" l="1"/>
  <c r="C80" i="4"/>
  <c r="C86" i="5" a="1"/>
  <c r="C81" i="4" a="1"/>
  <c r="C86" i="5" l="1"/>
  <c r="C81" i="4"/>
  <c r="C82" i="4" a="1"/>
  <c r="C87" i="5" a="1"/>
  <c r="C82" i="4" l="1"/>
  <c r="C87" i="5"/>
  <c r="C88" i="5" a="1"/>
  <c r="C83" i="4" a="1"/>
  <c r="C88" i="5" l="1"/>
  <c r="C83" i="4"/>
  <c r="C89" i="5" a="1"/>
  <c r="C84" i="4" a="1"/>
  <c r="C84" i="4" l="1"/>
  <c r="C89" i="5"/>
  <c r="C85" i="4" a="1"/>
  <c r="C90" i="5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1" i="4" a="1"/>
  <c r="C96" i="5" a="1"/>
  <c r="C91" i="4" l="1"/>
  <c r="C96" i="5"/>
  <c r="C92" i="4" a="1"/>
  <c r="C97" i="5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103" i="5" a="1"/>
  <c r="C98" i="4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4" i="4" a="1"/>
  <c r="C139" i="5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7" i="5" a="1"/>
  <c r="C172" i="4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81" i="5" a="1"/>
  <c r="C176" i="4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86" i="4" a="1"/>
  <c r="C191" i="5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<sst xmlns="http://schemas.openxmlformats.org/spreadsheetml/2006/main" count="1288" uniqueCount="447">
  <si>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</si>
  <si>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</si>
  <si>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</si>
  <si>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</si>
  <si>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</si>
  <si>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</si>
  <si>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</si>
  <si>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</si>
  <si>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</si>
  <si>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</si>
  <si>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</si>
  <si>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</si>
  <si>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</si>
  <si>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</si>
  <si>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</si>
  <si>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</si>
  <si>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</si>
  <si>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</si>
  <si>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</si>
  <si>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</si>
  <si>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</si>
  <si>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</si>
  <si>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</si>
  <si>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</si>
  <si>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</si>
  <si>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</si>
  <si>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</si>
  <si>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</si>
  <si>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</si>
  <si>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</si>
  <si>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</si>
  <si>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</si>
  <si>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</si>
  <si>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</si>
  <si>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</si>
  <si>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</si>
  <si>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</si>
  <si>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</si>
  <si>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</si>
  <si>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</si>
  <si>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</si>
  <si>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</si>
  <si>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</si>
  <si>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</si>
  <si>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</si>
  <si>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</si>
  <si>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</si>
  <si>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</si>
  <si>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</si>
  <si>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</si>
  <si>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</si>
  <si>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</si>
  <si>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</si>
  <si>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</si>
  <si>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</si>
  <si>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</si>
  <si>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</si>
  <si>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</si>
  <si>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</si>
  <si>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</si>
  <si>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</si>
  <si>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</si>
  <si>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</si>
  <si>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</si>
  <si>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</si>
  <si>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</si>
  <si>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</si>
  <si>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</si>
  <si>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</si>
  <si>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</si>
  <si>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</si>
  <si>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</si>
  <si>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</si>
  <si>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</si>
  <si>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</si>
  <si>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</si>
  <si>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</si>
  <si>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</si>
  <si>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</si>
  <si>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</si>
  <si>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</si>
  <si>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</si>
  <si>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</si>
  <si>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</si>
  <si>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</si>
  <si>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</si>
  <si>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</si>
  <si>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</si>
  <si>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</si>
  <si>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</si>
  <si>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</si>
  <si>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</si>
  <si>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</si>
  <si>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</si>
  <si>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</si>
  <si>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</si>
  <si>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</si>
  <si>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</si>
  <si>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</si>
  <si>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</si>
  <si>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</si>
  <si>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</si>
  <si>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</si>
  <si>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</si>
  <si>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</si>
  <si>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</si>
  <si>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</si>
  <si>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</si>
  <si>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</si>
  <si>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</si>
  <si>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</si>
  <si>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</si>
  <si>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</si>
  <si>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</si>
  <si>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</si>
  <si>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</si>
  <si>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</si>
  <si>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</si>
  <si>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</si>
  <si>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</si>
  <si>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</si>
  <si>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</si>
  <si>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</si>
  <si>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</si>
  <si>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</si>
  <si>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</si>
  <si>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</si>
  <si>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</si>
  <si>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</si>
  <si>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</si>
  <si>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</si>
  <si>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</si>
  <si>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</si>
  <si>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</si>
  <si>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</si>
  <si>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</si>
  <si>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</si>
  <si>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</si>
  <si>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</si>
  <si>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</si>
  <si>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</si>
  <si>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</si>
  <si>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</si>
  <si>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</si>
  <si>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</si>
  <si>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</si>
  <si>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</si>
  <si>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</si>
  <si>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</si>
  <si>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</si>
  <si>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</si>
  <si>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</si>
  <si>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</si>
  <si>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</si>
  <si>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</si>
  <si>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</si>
  <si>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</si>
  <si>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</si>
  <si>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</si>
  <si>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</si>
  <si>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</si>
  <si>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</si>
  <si>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</si>
  <si>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</si>
  <si>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</si>
  <si>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</si>
  <si>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</si>
  <si>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</si>
  <si>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</si>
  <si>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</si>
  <si>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</si>
  <si>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</si>
  <si>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</si>
  <si>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</si>
  <si>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</si>
  <si>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</si>
  <si>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</si>
  <si>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</si>
  <si>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</si>
  <si>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</si>
  <si>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</si>
  <si>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</si>
  <si>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</si>
  <si>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</si>
  <si>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</si>
  <si>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</si>
  <si>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</si>
  <si>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</si>
  <si>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</si>
  <si>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</si>
  <si>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</si>
  <si>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</si>
  <si>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</si>
  <si>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</si>
  <si>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</si>
  <si>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</si>
  <si>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</si>
  <si>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</si>
  <si>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</si>
  <si>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</si>
  <si>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</si>
  <si>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</si>
  <si>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</si>
  <si>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</si>
  <si>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</si>
  <si>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</si>
  <si>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</si>
  <si>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</si>
  <si>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</si>
  <si>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</si>
  <si>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</si>
  <si>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</si>
  <si>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</si>
  <si>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</si>
  <si>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</si>
  <si>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</si>
  <si>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</si>
  <si>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</si>
  <si>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</si>
  <si>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</si>
  <si>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</si>
  <si>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</si>
  <si>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</si>
  <si>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</si>
  <si>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</si>
  <si>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</si>
  <si>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</si>
  <si>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</si>
  <si>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</si>
  <si>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</si>
  <si>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</si>
  <si>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</si>
  <si>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</si>
  <si>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</si>
  <si>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</si>
  <si>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</si>
  <si>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</si>
  <si>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</si>
  <si>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</si>
  <si>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</si>
  <si>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</si>
  <si>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</si>
  <si>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</si>
  <si>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</si>
  <si>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</si>
  <si>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</si>
  <si>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</si>
  <si>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</si>
  <si>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</si>
  <si>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</si>
  <si>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</si>
  <si>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</si>
  <si>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</si>
  <si>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</si>
  <si>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</si>
  <si>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</si>
  <si>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</si>
  <si>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</si>
  <si>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</si>
  <si>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</si>
  <si>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</si>
  <si>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</si>
  <si>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</si>
  <si>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</si>
  <si>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</si>
  <si>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</si>
  <si>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</si>
  <si>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</si>
  <si>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</si>
  <si>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</si>
  <si>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</si>
  <si>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</si>
  <si>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</si>
  <si>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</si>
  <si>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</si>
  <si>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</si>
  <si>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</si>
  <si>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</si>
  <si>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</si>
  <si>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</si>
  <si>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</si>
  <si>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</si>
  <si>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</si>
  <si>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</si>
  <si>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</si>
  <si>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</si>
  <si>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</si>
  <si>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</si>
  <si>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</si>
  <si>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</si>
  <si>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</si>
  <si>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</si>
  <si>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</si>
  <si>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</si>
  <si>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</si>
  <si>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</si>
  <si>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</si>
  <si>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</si>
  <si>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</si>
  <si>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</si>
  <si>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</si>
  <si>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</si>
  <si>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</si>
  <si>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</si>
  <si>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</si>
  <si>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</si>
  <si>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</si>
  <si>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</si>
  <si>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</si>
  <si>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</si>
  <si>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</si>
  <si>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</si>
  <si>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</si>
  <si>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</si>
  <si>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</si>
  <si>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</si>
  <si>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</si>
  <si>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</si>
  <si>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</si>
  <si>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</si>
  <si>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</si>
  <si>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</si>
  <si>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</si>
  <si>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</si>
  <si>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</si>
  <si>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</si>
  <si>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</si>
  <si>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</si>
  <si>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</si>
  <si>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</si>
  <si>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</si>
  <si>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</si>
  <si>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</si>
  <si>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</si>
  <si>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</si>
  <si>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</si>
  <si>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</si>
  <si>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</si>
  <si>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</si>
  <si>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</si>
  <si>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</si>
  <si>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</si>
  <si>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</si>
  <si>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</si>
  <si>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</si>
  <si>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</si>
  <si>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</si>
  <si>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</si>
  <si>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</si>
  <si>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</si>
  <si>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</si>
  <si>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</si>
  <si>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</si>
  <si>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</si>
  <si>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</si>
  <si>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</si>
  <si>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</si>
  <si>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</si>
  <si>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</si>
  <si>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</si>
  <si>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</si>
  <si>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</si>
  <si>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</si>
  <si>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</si>
  <si>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</si>
  <si>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</si>
  <si>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</si>
  <si>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</si>
  <si>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</si>
  <si>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</si>
  <si>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</si>
  <si>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</si>
  <si>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</si>
  <si>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</si>
  <si>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</si>
  <si>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</si>
  <si>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</si>
  <si>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</si>
  <si>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</si>
  <si>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</si>
  <si>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</si>
  <si>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</si>
  <si>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</si>
  <si>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</si>
  <si>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</si>
  <si>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</si>
  <si>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</si>
  <si>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</si>
  <si>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</si>
  <si>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</si>
  <si>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</si>
  <si>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</si>
  <si>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</si>
  <si>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</si>
  <si>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</si>
  <si>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</si>
  <si>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</si>
  <si>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</si>
  <si>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</si>
  <si>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</si>
  <si>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</si>
  <si>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</si>
  <si>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</si>
  <si>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</si>
  <si>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</si>
  <si>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</si>
  <si>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</si>
  <si>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</si>
  <si>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</si>
  <si>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</si>
  <si>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</si>
  <si>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</si>
  <si>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</si>
  <si>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</si>
  <si>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</si>
  <si>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</si>
  <si>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</si>
  <si>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</si>
  <si>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</si>
  <si>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</si>
  <si>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</si>
  <si>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</si>
  <si>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</si>
  <si>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</si>
  <si>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</si>
  <si>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</si>
  <si>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</si>
  <si>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</si>
  <si>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</si>
  <si>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</si>
  <si>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</si>
  <si>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</si>
  <si>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</si>
  <si>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</si>
  <si>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</si>
  <si>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</si>
  <si>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</si>
  <si>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</si>
  <si>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</si>
  <si>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</si>
  <si>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</si>
  <si>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</si>
  <si>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</si>
  <si>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</si>
  <si>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</si>
  <si>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</si>
  <si>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川西町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</si>
</sst>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7" activePane="bottomLeft" state="frozen"/>
      <selection activeCell="E20" sqref="E20"/>
      <selection pane="bottomLeft" activeCell="T26" sqref="T26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99999961001</v>
      </c>
      <c r="G10" s="29">
        <f t="shared" si="2"/>
        <v>99999961001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新庄市</v>
      </c>
      <c r="K10" s="31" t="str">
        <f t="shared" si="6"/>
        <v>99999961001介護施設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99999961001</v>
      </c>
      <c r="N10">
        <f>IF(L10&lt;&gt;"○",M10,INDEX(G$4:G9,MATCH(L10&amp;M10,F$4:F9,0)))</f>
        <v>99999961001</v>
      </c>
      <c r="O10" t="str">
        <f t="shared" si="8"/>
        <v>介護施設</v>
      </c>
      <c r="Q10" s="4">
        <v>44992</v>
      </c>
      <c r="S10" t="str">
        <f>$O$1&amp;
961&amp;
REPT("0",3-LEN(ROW($S1)))&amp;ROW($S1)</f>
        <v>99999961001</v>
      </c>
      <c r="T10" t="s">
        <v>50</v>
      </c>
      <c r="U10" t="s">
        <v>50</v>
      </c>
      <c r="V10" t="s">
        <v>46</v>
      </c>
      <c r="AB10" t="str">
        <f>$S$10&amp;"介護施設"</f>
        <v>99999961001介護施設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99999961002</v>
      </c>
      <c r="G11" s="29">
        <f t="shared" si="2"/>
        <v>99999961002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新庄市</v>
      </c>
      <c r="K11" s="31" t="str">
        <f t="shared" si="6"/>
        <v>99999961001関連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99999961001</v>
      </c>
      <c r="N11">
        <f>IF(L11&lt;&gt;"○",M11,INDEX(G$4:G10,MATCH(L11&amp;M11,F$4:F10,0)))</f>
        <v>99999961001</v>
      </c>
      <c r="O11" t="str">
        <f t="shared" si="8"/>
        <v>関連</v>
      </c>
      <c r="Q11" s="4">
        <v>44992</v>
      </c>
      <c r="S11" t="str">
        <f t="shared" ref="S11:S16" si="9">$O$1&amp;
961&amp;
REPT("0",3-LEN(ROW($S2)))&amp;ROW($S2)</f>
        <v>99999961002</v>
      </c>
      <c r="T11" t="s">
        <v>50</v>
      </c>
      <c r="U11" t="s">
        <v>50</v>
      </c>
      <c r="V11" t="s">
        <v>46</v>
      </c>
      <c r="AB11" t="str">
        <f>$S$10&amp;"関連"</f>
        <v>99999961001関連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99999961003</v>
      </c>
      <c r="G12" s="29">
        <f t="shared" si="2"/>
        <v>99999961003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新庄市</v>
      </c>
      <c r="K12" s="31" t="str">
        <f t="shared" si="6"/>
        <v>99999961001関連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99999961001</v>
      </c>
      <c r="N12">
        <f>IF(L12&lt;&gt;"○",M12,INDEX(G$4:G11,MATCH(L12&amp;M12,F$4:F11,0)))</f>
        <v>99999961001</v>
      </c>
      <c r="O12" t="str">
        <f t="shared" si="8"/>
        <v>関連</v>
      </c>
      <c r="Q12" s="4">
        <v>44992</v>
      </c>
      <c r="S12" t="str">
        <f t="shared" si="9"/>
        <v>99999961003</v>
      </c>
      <c r="T12" t="s">
        <v>50</v>
      </c>
      <c r="U12" t="s">
        <v>50</v>
      </c>
      <c r="V12" t="s">
        <v>46</v>
      </c>
      <c r="AB12" t="str">
        <f t="shared" ref="AB12:AB16" si="10">$S$10&amp;"関連"</f>
        <v>99999961001関連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99999961004</v>
      </c>
      <c r="G13" s="29">
        <f t="shared" si="2"/>
        <v>99999961004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新庄市</v>
      </c>
      <c r="K13" s="31" t="str">
        <f t="shared" si="6"/>
        <v>99999961001関連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99999961001</v>
      </c>
      <c r="N13">
        <f>IF(L13&lt;&gt;"○",M13,INDEX(G$4:G12,MATCH(L13&amp;M13,F$4:F12,0)))</f>
        <v>99999961001</v>
      </c>
      <c r="O13" t="str">
        <f t="shared" si="8"/>
        <v>関連</v>
      </c>
      <c r="Q13" s="4">
        <v>44992</v>
      </c>
      <c r="S13" t="str">
        <f t="shared" si="9"/>
        <v>99999961004</v>
      </c>
      <c r="T13" t="s">
        <v>50</v>
      </c>
      <c r="U13" t="s">
        <v>50</v>
      </c>
      <c r="V13" t="s">
        <v>46</v>
      </c>
      <c r="AB13" t="str">
        <f t="shared" si="10"/>
        <v>99999961001関連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99999961005</v>
      </c>
      <c r="G14" s="29">
        <f t="shared" si="2"/>
        <v>99999961005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新庄市</v>
      </c>
      <c r="K14" s="31" t="str">
        <f t="shared" si="6"/>
        <v>99999961001関連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99999961001</v>
      </c>
      <c r="N14">
        <f>IF(L14&lt;&gt;"○",M14,INDEX(G$4:G13,MATCH(L14&amp;M14,F$4:F13,0)))</f>
        <v>99999961001</v>
      </c>
      <c r="O14" t="str">
        <f t="shared" si="8"/>
        <v>関連</v>
      </c>
      <c r="Q14" s="4">
        <v>44992</v>
      </c>
      <c r="S14" t="str">
        <f t="shared" si="9"/>
        <v>99999961005</v>
      </c>
      <c r="T14" t="s">
        <v>50</v>
      </c>
      <c r="U14" t="s">
        <v>50</v>
      </c>
      <c r="V14" t="s">
        <v>46</v>
      </c>
      <c r="AB14" t="str">
        <f t="shared" si="10"/>
        <v>99999961001関連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99999961006</v>
      </c>
      <c r="G15" s="29">
        <f t="shared" si="2"/>
        <v>99999961006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新庄市</v>
      </c>
      <c r="K15" s="31" t="str">
        <f t="shared" si="6"/>
        <v>99999961001関連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99999961001</v>
      </c>
      <c r="N15">
        <f>IF(L15&lt;&gt;"○",M15,INDEX(G$4:G14,MATCH(L15&amp;M15,F$4:F14,0)))</f>
        <v>99999961001</v>
      </c>
      <c r="O15" t="str">
        <f t="shared" si="8"/>
        <v>関連</v>
      </c>
      <c r="Q15" s="4">
        <v>44992</v>
      </c>
      <c r="S15" t="str">
        <f t="shared" si="9"/>
        <v>99999961006</v>
      </c>
      <c r="T15" t="s">
        <v>50</v>
      </c>
      <c r="U15" t="s">
        <v>50</v>
      </c>
      <c r="V15" t="s">
        <v>46</v>
      </c>
      <c r="AB15" t="str">
        <f t="shared" si="10"/>
        <v>99999961001関連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99999961007</v>
      </c>
      <c r="G16" s="29">
        <f t="shared" si="2"/>
        <v>99999961007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新庄市</v>
      </c>
      <c r="K16" s="31" t="str">
        <f t="shared" si="6"/>
        <v>99999961001関連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99999961001</v>
      </c>
      <c r="N16">
        <f>IF(L16&lt;&gt;"○",M16,INDEX(G$4:G15,MATCH(L16&amp;M16,F$4:F15,0)))</f>
        <v>99999961001</v>
      </c>
      <c r="O16" t="str">
        <f t="shared" si="8"/>
        <v>関連</v>
      </c>
      <c r="Q16" s="4">
        <v>44992</v>
      </c>
      <c r="S16" t="str">
        <f t="shared" si="9"/>
        <v>99999961007</v>
      </c>
      <c r="T16" t="s">
        <v>50</v>
      </c>
      <c r="U16" t="s">
        <v>50</v>
      </c>
      <c r="V16" t="s">
        <v>46</v>
      </c>
      <c r="AB16" t="str">
        <f t="shared" si="10"/>
        <v>99999961001関連</v>
      </c>
    </row>
    <row r="17" spans="2:28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99999962001</v>
      </c>
      <c r="G18" s="29">
        <f t="shared" si="2"/>
        <v>99999962001</v>
      </c>
      <c r="H18" s="20" t="str">
        <f t="shared" si="3"/>
        <v>-</v>
      </c>
      <c r="I18" s="20" t="str">
        <f t="shared" si="4"/>
        <v>ー</v>
      </c>
      <c r="J18" s="20" t="str">
        <f t="shared" si="5"/>
        <v>川西町</v>
      </c>
      <c r="K18" s="31" t="str">
        <f t="shared" si="6"/>
        <v>99999962001障がい者施設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99999962001</v>
      </c>
      <c r="N18">
        <f>IF(L18&lt;&gt;"○",M18,INDEX(G$4:G17,MATCH(L18&amp;M18,F$4:F17,0)))</f>
        <v>99999962001</v>
      </c>
      <c r="O18" t="str">
        <f t="shared" si="8"/>
        <v>障がい者施設</v>
      </c>
      <c r="Q18" s="4">
        <v>44992</v>
      </c>
      <c r="S18" t="str">
        <f>$O$1&amp;
962&amp;
REPT("0",3-LEN(ROW($S1)))&amp;ROW($S1)</f>
        <v>99999962001</v>
      </c>
      <c r="T18" t="s">
        <v>50</v>
      </c>
      <c r="U18" t="s">
        <v>50</v>
      </c>
      <c r="V18" t="s">
        <v>446</v>
      </c>
      <c r="AB18" t="str">
        <f>$S$18&amp;"障がい者施設"</f>
        <v>99999962001障がい者施設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99999962002</v>
      </c>
      <c r="G19" s="29">
        <f t="shared" si="2"/>
        <v>99999962002</v>
      </c>
      <c r="H19" s="20" t="str">
        <f t="shared" si="3"/>
        <v>-</v>
      </c>
      <c r="I19" s="20" t="str">
        <f t="shared" si="4"/>
        <v>ー</v>
      </c>
      <c r="J19" s="20" t="str">
        <f t="shared" si="5"/>
        <v>川西町</v>
      </c>
      <c r="K19" s="31" t="str">
        <f t="shared" si="6"/>
        <v>99999962001関連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99999962001</v>
      </c>
      <c r="N19">
        <f>IF(L19&lt;&gt;"○",M19,INDEX(G$4:G18,MATCH(L19&amp;M19,F$4:F18,0)))</f>
        <v>99999962001</v>
      </c>
      <c r="O19" t="str">
        <f t="shared" si="8"/>
        <v>関連</v>
      </c>
      <c r="Q19" s="4">
        <v>44992</v>
      </c>
      <c r="S19" t="str">
        <f t="shared" ref="S19:S24" si="11">$O$1&amp;
962&amp;
REPT("0",3-LEN(ROW($S2)))&amp;ROW($S2)</f>
        <v>99999962002</v>
      </c>
      <c r="T19" t="s">
        <v>50</v>
      </c>
      <c r="U19" t="s">
        <v>50</v>
      </c>
      <c r="V19" t="s">
        <v>446</v>
      </c>
      <c r="AB19" t="str">
        <f>$S$18&amp;"関連"</f>
        <v>99999962001関連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99999962003</v>
      </c>
      <c r="G20" s="29">
        <f t="shared" si="2"/>
        <v>99999962003</v>
      </c>
      <c r="H20" s="20" t="str">
        <f t="shared" si="3"/>
        <v>-</v>
      </c>
      <c r="I20" s="20" t="str">
        <f t="shared" si="4"/>
        <v>ー</v>
      </c>
      <c r="J20" s="20" t="str">
        <f t="shared" si="5"/>
        <v>川西町</v>
      </c>
      <c r="K20" s="31" t="str">
        <f t="shared" si="6"/>
        <v>99999962001関連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99999962001</v>
      </c>
      <c r="N20">
        <f>IF(L20&lt;&gt;"○",M20,INDEX(G$4:G19,MATCH(L20&amp;M20,F$4:F19,0)))</f>
        <v>99999962001</v>
      </c>
      <c r="O20" t="str">
        <f t="shared" si="8"/>
        <v>関連</v>
      </c>
      <c r="Q20" s="4">
        <v>44992</v>
      </c>
      <c r="S20" t="str">
        <f t="shared" si="11"/>
        <v>99999962003</v>
      </c>
      <c r="T20" t="s">
        <v>50</v>
      </c>
      <c r="U20" t="s">
        <v>50</v>
      </c>
      <c r="V20" t="s">
        <v>446</v>
      </c>
      <c r="AB20" t="str">
        <f t="shared" ref="AB20:AB24" si="12">$S$18&amp;"関連"</f>
        <v>99999962001関連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99999962004</v>
      </c>
      <c r="G21" s="29">
        <f t="shared" si="2"/>
        <v>99999962004</v>
      </c>
      <c r="H21" s="20" t="str">
        <f t="shared" si="3"/>
        <v>-</v>
      </c>
      <c r="I21" s="20" t="str">
        <f t="shared" si="4"/>
        <v>ー</v>
      </c>
      <c r="J21" s="20" t="str">
        <f t="shared" si="5"/>
        <v>川西町</v>
      </c>
      <c r="K21" s="31" t="str">
        <f t="shared" si="6"/>
        <v>99999962001関連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99999962001</v>
      </c>
      <c r="N21">
        <f>IF(L21&lt;&gt;"○",M21,INDEX(G$4:G20,MATCH(L21&amp;M21,F$4:F20,0)))</f>
        <v>99999962001</v>
      </c>
      <c r="O21" t="str">
        <f t="shared" si="8"/>
        <v>関連</v>
      </c>
      <c r="Q21" s="4">
        <v>44992</v>
      </c>
      <c r="S21" t="str">
        <f t="shared" si="11"/>
        <v>99999962004</v>
      </c>
      <c r="T21" t="s">
        <v>50</v>
      </c>
      <c r="U21" t="s">
        <v>50</v>
      </c>
      <c r="V21" t="s">
        <v>446</v>
      </c>
      <c r="AB21" t="str">
        <f t="shared" si="12"/>
        <v>99999962001関連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99999962005</v>
      </c>
      <c r="G22" s="29">
        <f t="shared" si="2"/>
        <v>99999962005</v>
      </c>
      <c r="H22" s="20" t="str">
        <f t="shared" si="3"/>
        <v>-</v>
      </c>
      <c r="I22" s="20" t="str">
        <f t="shared" si="4"/>
        <v>ー</v>
      </c>
      <c r="J22" s="20" t="str">
        <f t="shared" si="5"/>
        <v>川西町</v>
      </c>
      <c r="K22" s="31" t="str">
        <f t="shared" si="6"/>
        <v>99999962001関連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99999962001</v>
      </c>
      <c r="N22">
        <f>IF(L22&lt;&gt;"○",M22,INDEX(G$4:G21,MATCH(L22&amp;M22,F$4:F21,0)))</f>
        <v>99999962001</v>
      </c>
      <c r="O22" t="str">
        <f t="shared" si="8"/>
        <v>関連</v>
      </c>
      <c r="Q22" s="4">
        <v>44992</v>
      </c>
      <c r="S22" t="str">
        <f t="shared" si="11"/>
        <v>99999962005</v>
      </c>
      <c r="T22" t="s">
        <v>50</v>
      </c>
      <c r="U22" t="s">
        <v>50</v>
      </c>
      <c r="V22" t="s">
        <v>446</v>
      </c>
      <c r="AB22" t="str">
        <f t="shared" si="12"/>
        <v>99999962001関連</v>
      </c>
    </row>
    <row r="23" spans="2:28" x14ac:dyDescent="0.4">
      <c r="B23" t="s">
        <v>21</v>
      </c>
      <c r="C23">
        <f>IF(G23="","",MAX(C$4:C22)+1)</f>
        <v>13</v>
      </c>
      <c r="D23">
        <f>IF(AND(N23=""),"",MAX(D$4:D22)+1)</f>
        <v>13</v>
      </c>
      <c r="F23" s="26" t="str">
        <f t="shared" si="1"/>
        <v>99999962006</v>
      </c>
      <c r="G23" s="29">
        <f t="shared" si="2"/>
        <v>99999962006</v>
      </c>
      <c r="H23" s="20" t="str">
        <f t="shared" si="3"/>
        <v>-</v>
      </c>
      <c r="I23" s="20" t="str">
        <f t="shared" si="4"/>
        <v>ー</v>
      </c>
      <c r="J23" s="20" t="str">
        <f t="shared" si="5"/>
        <v>川西町</v>
      </c>
      <c r="K23" s="31" t="str">
        <f t="shared" si="6"/>
        <v>99999962001関連</v>
      </c>
      <c r="L23" s="23" t="str">
        <f t="shared" si="7"/>
        <v/>
      </c>
      <c r="M23" cm="1">
        <f t="array" ref="M23">IF(COUNT(INDEX(FIND(ROW($1:$10)-1,K23),)),VALUE(MID(K23,MIN(SEARCH({1,2,3,4,5,6,7,8,9,0},K23&amp;1234567890)),LEN(K23)-(LENB(K23)-LEN(K23)))),"")</f>
        <v>99999962001</v>
      </c>
      <c r="N23">
        <f>IF(L23&lt;&gt;"○",M23,INDEX(G$4:G22,MATCH(L23&amp;M23,F$4:F22,0)))</f>
        <v>99999962001</v>
      </c>
      <c r="O23" t="str">
        <f t="shared" si="8"/>
        <v>関連</v>
      </c>
      <c r="Q23" s="4">
        <v>44992</v>
      </c>
      <c r="S23" t="str">
        <f t="shared" si="11"/>
        <v>99999962006</v>
      </c>
      <c r="T23" t="s">
        <v>50</v>
      </c>
      <c r="U23" t="s">
        <v>50</v>
      </c>
      <c r="V23" t="s">
        <v>446</v>
      </c>
      <c r="AB23" t="str">
        <f t="shared" si="12"/>
        <v>99999962001関連</v>
      </c>
    </row>
    <row r="24" spans="2:28" x14ac:dyDescent="0.4">
      <c r="B24" t="s">
        <v>21</v>
      </c>
      <c r="C24">
        <f>IF(G24="","",MAX(C$4:C23)+1)</f>
        <v>14</v>
      </c>
      <c r="D24">
        <f>IF(AND(N24=""),"",MAX(D$4:D23)+1)</f>
        <v>14</v>
      </c>
      <c r="F24" s="26" t="str">
        <f t="shared" si="1"/>
        <v>99999962007</v>
      </c>
      <c r="G24" s="29">
        <f t="shared" si="2"/>
        <v>99999962007</v>
      </c>
      <c r="H24" s="20" t="str">
        <f t="shared" si="3"/>
        <v>-</v>
      </c>
      <c r="I24" s="20" t="str">
        <f t="shared" si="4"/>
        <v>ー</v>
      </c>
      <c r="J24" s="20" t="str">
        <f t="shared" si="5"/>
        <v>川西町</v>
      </c>
      <c r="K24" s="31" t="str">
        <f t="shared" si="6"/>
        <v>99999962001関連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99999962001</v>
      </c>
      <c r="N24">
        <f>IF(L24&lt;&gt;"○",M24,INDEX(G$4:G23,MATCH(L24&amp;M24,F$4:F23,0)))</f>
        <v>99999962001</v>
      </c>
      <c r="O24" t="str">
        <f t="shared" si="8"/>
        <v>関連</v>
      </c>
      <c r="Q24" s="4">
        <v>44992</v>
      </c>
      <c r="S24" t="str">
        <f t="shared" si="11"/>
        <v>99999962007</v>
      </c>
      <c r="T24" t="s">
        <v>50</v>
      </c>
      <c r="U24" t="s">
        <v>50</v>
      </c>
      <c r="V24" t="s">
        <v>446</v>
      </c>
      <c r="AB24" t="str">
        <f t="shared" si="12"/>
        <v>99999962001関連</v>
      </c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2023/3/7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99999961001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新庄市</v>
      </c>
      <c r="H3" s="10" t="str">
        <f>IF(ROW(G1)&gt;MAX(Main!$C$4:$C$1048576),"",INDEX(Main!K$4:K$1048576,MATCH(ROW(G1),Main!$C$4:$C$1048576,0)))</f>
        <v>99999961001介護施設</v>
      </c>
      <c r="I3" s="1">
        <f>IF(H3&lt;&gt;"",IF(ROW(G1)&gt;MAX(Main!$C$4:$C$1048576),"",INDEX(Main!N$4:N$1048576,MATCH(ROW(G1),Main!$C$4:$C$1048576,0))),"")</f>
        <v>99999961001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クラスターNo.961</v>
      </c>
      <c r="M3" s="4" t="str">
        <f>TEXT(IF(ROW(A1)&gt;MAX(Main!$D$4:$D$1048576),"",INDEX(Main!Q$4:Q$1048576,MATCH(ROW(A1),Main!$D$4:$D$1048576,0))), "yyyy/m/d")</f>
        <v>2023/3/7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99999961001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新庄市</v>
      </c>
      <c r="S3" s="9" t="str">
        <f>IF(ROW(G1)&gt;MAX(Main!$D$4:$D$1048576),"",INDEX(Main!K$4:K$1048576,MATCH(ROW(G1),Main!$D$4:$D$1048576,0)))</f>
        <v>99999961001介護施設</v>
      </c>
      <c r="T3" s="1">
        <f>IF(S3&lt;&gt;"",IF(ROW(G1)&gt;MAX(Main!$D$4:$D$1048576),"",INDEX(Main!N$4:N$1048576,MATCH(ROW(G1),Main!$D$4:$D$1048576,0))),"")</f>
        <v>99999961001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2023/3/7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99999961002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新庄市</v>
      </c>
      <c r="H4" s="10" t="str">
        <f>IF(ROW(G2)&gt;MAX(Main!$C$4:$C$1048576),"",INDEX(Main!K$4:K$1048576,MATCH(ROW(G2),Main!$C$4:$C$1048576,0)))</f>
        <v>99999961001関連</v>
      </c>
      <c r="I4" s="1">
        <f>IF(H4&lt;&gt;"",IF(ROW(G2)&gt;MAX(Main!$C$4:$C$1048576),"",INDEX(Main!N$4:N$1048576,MATCH(ROW(G2),Main!$C$4:$C$1048576,0))),"")</f>
        <v>99999961001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クラスターNo.961</v>
      </c>
      <c r="M4" s="4" t="str">
        <f>TEXT(IF(ROW(A2)&gt;MAX(Main!$D$4:$D$1048576),"",INDEX(Main!Q$4:Q$1048576,MATCH(ROW(A2),Main!$D$4:$D$1048576,0))), "yyyy/m/d")</f>
        <v>2023/3/7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99999961002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新庄市</v>
      </c>
      <c r="S4" s="9" t="str">
        <f>IF(ROW(G2)&gt;MAX(Main!$D$4:$D$1048576),"",INDEX(Main!K$4:K$1048576,MATCH(ROW(G2),Main!$D$4:$D$1048576,0)))</f>
        <v>99999961001関連</v>
      </c>
      <c r="T4" s="1">
        <f>IF(S4&lt;&gt;"",IF(ROW(G2)&gt;MAX(Main!$D$4:$D$1048576),"",INDEX(Main!N$4:N$1048576,MATCH(ROW(G2),Main!$D$4:$D$1048576,0))),"")</f>
        <v>99999961001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2023/3/7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99999961003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新庄市</v>
      </c>
      <c r="H5" s="10" t="str">
        <f>IF(ROW(G3)&gt;MAX(Main!$C$4:$C$1048576),"",INDEX(Main!K$4:K$1048576,MATCH(ROW(G3),Main!$C$4:$C$1048576,0)))</f>
        <v>99999961001関連</v>
      </c>
      <c r="I5" s="1">
        <f>IF(H5&lt;&gt;"",IF(ROW(G3)&gt;MAX(Main!$C$4:$C$1048576),"",INDEX(Main!N$4:N$1048576,MATCH(ROW(G3),Main!$C$4:$C$1048576,0))),"")</f>
        <v>99999961001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クラスターNo.961</v>
      </c>
      <c r="M5" s="4" t="str">
        <f>TEXT(IF(ROW(A3)&gt;MAX(Main!$D$4:$D$1048576),"",INDEX(Main!Q$4:Q$1048576,MATCH(ROW(A3),Main!$D$4:$D$1048576,0))), "yyyy/m/d")</f>
        <v>2023/3/7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99999961003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新庄市</v>
      </c>
      <c r="S5" s="9" t="str">
        <f>IF(ROW(G3)&gt;MAX(Main!$D$4:$D$1048576),"",INDEX(Main!K$4:K$1048576,MATCH(ROW(G3),Main!$D$4:$D$1048576,0)))</f>
        <v>99999961001関連</v>
      </c>
      <c r="T5" s="1">
        <f>IF(S5&lt;&gt;"",IF(ROW(G3)&gt;MAX(Main!$D$4:$D$1048576),"",INDEX(Main!N$4:N$1048576,MATCH(ROW(G3),Main!$D$4:$D$1048576,0))),"")</f>
        <v>99999961001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2023/3/7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99999961004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新庄市</v>
      </c>
      <c r="H6" s="10" t="str">
        <f>IF(ROW(G4)&gt;MAX(Main!$C$4:$C$1048576),"",INDEX(Main!K$4:K$1048576,MATCH(ROW(G4),Main!$C$4:$C$1048576,0)))</f>
        <v>99999961001関連</v>
      </c>
      <c r="I6" s="1">
        <f>IF(H6&lt;&gt;"",IF(ROW(G4)&gt;MAX(Main!$C$4:$C$1048576),"",INDEX(Main!N$4:N$1048576,MATCH(ROW(G4),Main!$C$4:$C$1048576,0))),"")</f>
        <v>99999961001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クラスターNo.961</v>
      </c>
      <c r="M6" s="4" t="str">
        <f>TEXT(IF(ROW(A4)&gt;MAX(Main!$D$4:$D$1048576),"",INDEX(Main!Q$4:Q$1048576,MATCH(ROW(A4),Main!$D$4:$D$1048576,0))), "yyyy/m/d")</f>
        <v>2023/3/7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99999961004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新庄市</v>
      </c>
      <c r="S6" s="9" t="str">
        <f>IF(ROW(G4)&gt;MAX(Main!$D$4:$D$1048576),"",INDEX(Main!K$4:K$1048576,MATCH(ROW(G4),Main!$D$4:$D$1048576,0)))</f>
        <v>99999961001関連</v>
      </c>
      <c r="T6" s="1">
        <f>IF(S6&lt;&gt;"",IF(ROW(G4)&gt;MAX(Main!$D$4:$D$1048576),"",INDEX(Main!N$4:N$1048576,MATCH(ROW(G4),Main!$D$4:$D$1048576,0))),"")</f>
        <v>99999961001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2023/3/7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99999961005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新庄市</v>
      </c>
      <c r="H7" s="10" t="str">
        <f>IF(ROW(G5)&gt;MAX(Main!$C$4:$C$1048576),"",INDEX(Main!K$4:K$1048576,MATCH(ROW(G5),Main!$C$4:$C$1048576,0)))</f>
        <v>99999961001関連</v>
      </c>
      <c r="I7" s="1">
        <f>IF(H7&lt;&gt;"",IF(ROW(G5)&gt;MAX(Main!$C$4:$C$1048576),"",INDEX(Main!N$4:N$1048576,MATCH(ROW(G5),Main!$C$4:$C$1048576,0))),"")</f>
        <v>99999961001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クラスターNo.961</v>
      </c>
      <c r="M7" s="4" t="str">
        <f>TEXT(IF(ROW(A5)&gt;MAX(Main!$D$4:$D$1048576),"",INDEX(Main!Q$4:Q$1048576,MATCH(ROW(A5),Main!$D$4:$D$1048576,0))), "yyyy/m/d")</f>
        <v>2023/3/7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99999961005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新庄市</v>
      </c>
      <c r="S7" s="9" t="str">
        <f>IF(ROW(G5)&gt;MAX(Main!$D$4:$D$1048576),"",INDEX(Main!K$4:K$1048576,MATCH(ROW(G5),Main!$D$4:$D$1048576,0)))</f>
        <v>99999961001関連</v>
      </c>
      <c r="T7" s="1">
        <f>IF(S7&lt;&gt;"",IF(ROW(G5)&gt;MAX(Main!$D$4:$D$1048576),"",INDEX(Main!N$4:N$1048576,MATCH(ROW(G5),Main!$D$4:$D$1048576,0))),"")</f>
        <v>99999961001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2023/3/7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99999961006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新庄市</v>
      </c>
      <c r="H8" s="10" t="str">
        <f>IF(ROW(G6)&gt;MAX(Main!$C$4:$C$1048576),"",INDEX(Main!K$4:K$1048576,MATCH(ROW(G6),Main!$C$4:$C$1048576,0)))</f>
        <v>99999961001関連</v>
      </c>
      <c r="I8" s="1">
        <f>IF(H8&lt;&gt;"",IF(ROW(G6)&gt;MAX(Main!$C$4:$C$1048576),"",INDEX(Main!N$4:N$1048576,MATCH(ROW(G6),Main!$C$4:$C$1048576,0))),"")</f>
        <v>99999961001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クラスターNo.961</v>
      </c>
      <c r="M8" s="4" t="str">
        <f>TEXT(IF(ROW(A6)&gt;MAX(Main!$D$4:$D$1048576),"",INDEX(Main!Q$4:Q$1048576,MATCH(ROW(A6),Main!$D$4:$D$1048576,0))), "yyyy/m/d")</f>
        <v>2023/3/7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99999961006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新庄市</v>
      </c>
      <c r="S8" s="9" t="str">
        <f>IF(ROW(G6)&gt;MAX(Main!$D$4:$D$1048576),"",INDEX(Main!K$4:K$1048576,MATCH(ROW(G6),Main!$D$4:$D$1048576,0)))</f>
        <v>99999961001関連</v>
      </c>
      <c r="T8" s="1">
        <f>IF(S8&lt;&gt;"",IF(ROW(G6)&gt;MAX(Main!$D$4:$D$1048576),"",INDEX(Main!N$4:N$1048576,MATCH(ROW(G6),Main!$D$4:$D$1048576,0))),"")</f>
        <v>99999961001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2023/3/7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99999961007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新庄市</v>
      </c>
      <c r="H9" s="10" t="str">
        <f>IF(ROW(G7)&gt;MAX(Main!$C$4:$C$1048576),"",INDEX(Main!K$4:K$1048576,MATCH(ROW(G7),Main!$C$4:$C$1048576,0)))</f>
        <v>99999961001関連</v>
      </c>
      <c r="I9" s="1">
        <f>IF(H9&lt;&gt;"",IF(ROW(G7)&gt;MAX(Main!$C$4:$C$1048576),"",INDEX(Main!N$4:N$1048576,MATCH(ROW(G7),Main!$C$4:$C$1048576,0))),"")</f>
        <v>99999961001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クラスターNo.961</v>
      </c>
      <c r="M9" s="4" t="str">
        <f>TEXT(IF(ROW(A7)&gt;MAX(Main!$D$4:$D$1048576),"",INDEX(Main!Q$4:Q$1048576,MATCH(ROW(A7),Main!$D$4:$D$1048576,0))), "yyyy/m/d")</f>
        <v>2023/3/7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99999961007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新庄市</v>
      </c>
      <c r="S9" s="9" t="str">
        <f>IF(ROW(G7)&gt;MAX(Main!$D$4:$D$1048576),"",INDEX(Main!K$4:K$1048576,MATCH(ROW(G7),Main!$D$4:$D$1048576,0)))</f>
        <v>99999961001関連</v>
      </c>
      <c r="T9" s="1">
        <f>IF(S9&lt;&gt;"",IF(ROW(G7)&gt;MAX(Main!$D$4:$D$1048576),"",INDEX(Main!N$4:N$1048576,MATCH(ROW(G7),Main!$D$4:$D$1048576,0))),"")</f>
        <v>99999961001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2023/3/7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99999962001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川西町</v>
      </c>
      <c r="H10" s="10" t="str">
        <f>IF(ROW(G8)&gt;MAX(Main!$C$4:$C$1048576),"",INDEX(Main!K$4:K$1048576,MATCH(ROW(G8),Main!$C$4:$C$1048576,0)))</f>
        <v>99999962001障がい者施設</v>
      </c>
      <c r="I10" s="1">
        <f>IF(H10&lt;&gt;"",IF(ROW(G8)&gt;MAX(Main!$C$4:$C$1048576),"",INDEX(Main!N$4:N$1048576,MATCH(ROW(G8),Main!$C$4:$C$1048576,0))),"")</f>
        <v>99999962001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障がい者施設</v>
      </c>
      <c r="K10" s="27" t="str">
        <f t="shared" si="1"/>
        <v>クラスターNo.962</v>
      </c>
      <c r="M10" s="4" t="str">
        <f>TEXT(IF(ROW(A8)&gt;MAX(Main!$D$4:$D$1048576),"",INDEX(Main!Q$4:Q$1048576,MATCH(ROW(A8),Main!$D$4:$D$1048576,0))), "yyyy/m/d")</f>
        <v>2023/3/7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99999962001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川西町</v>
      </c>
      <c r="S10" s="9" t="str">
        <f>IF(ROW(G8)&gt;MAX(Main!$D$4:$D$1048576),"",INDEX(Main!K$4:K$1048576,MATCH(ROW(G8),Main!$D$4:$D$1048576,0)))</f>
        <v>99999962001障がい者施設</v>
      </c>
      <c r="T10" s="1">
        <f>IF(S10&lt;&gt;"",IF(ROW(G8)&gt;MAX(Main!$D$4:$D$1048576),"",INDEX(Main!N$4:N$1048576,MATCH(ROW(G8),Main!$D$4:$D$1048576,0))),"")</f>
        <v>99999962001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障がい者施設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2023/3/7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99999962002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川西町</v>
      </c>
      <c r="H11" s="10" t="str">
        <f>IF(ROW(G9)&gt;MAX(Main!$C$4:$C$1048576),"",INDEX(Main!K$4:K$1048576,MATCH(ROW(G9),Main!$C$4:$C$1048576,0)))</f>
        <v>99999962001関連</v>
      </c>
      <c r="I11" s="1">
        <f>IF(H11&lt;&gt;"",IF(ROW(G9)&gt;MAX(Main!$C$4:$C$1048576),"",INDEX(Main!N$4:N$1048576,MATCH(ROW(G9),Main!$C$4:$C$1048576,0))),"")</f>
        <v>99999962001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クラスターNo.962</v>
      </c>
      <c r="M11" s="4" t="str">
        <f>TEXT(IF(ROW(A9)&gt;MAX(Main!$D$4:$D$1048576),"",INDEX(Main!Q$4:Q$1048576,MATCH(ROW(A9),Main!$D$4:$D$1048576,0))), "yyyy/m/d")</f>
        <v>2023/3/7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99999962002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川西町</v>
      </c>
      <c r="S11" s="9" t="str">
        <f>IF(ROW(G9)&gt;MAX(Main!$D$4:$D$1048576),"",INDEX(Main!K$4:K$1048576,MATCH(ROW(G9),Main!$D$4:$D$1048576,0)))</f>
        <v>99999962001関連</v>
      </c>
      <c r="T11" s="1">
        <f>IF(S11&lt;&gt;"",IF(ROW(G9)&gt;MAX(Main!$D$4:$D$1048576),"",INDEX(Main!N$4:N$1048576,MATCH(ROW(G9),Main!$D$4:$D$1048576,0))),"")</f>
        <v>99999962001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2023/3/7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99999962003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川西町</v>
      </c>
      <c r="H12" s="10" t="str">
        <f>IF(ROW(G10)&gt;MAX(Main!$C$4:$C$1048576),"",INDEX(Main!K$4:K$1048576,MATCH(ROW(G10),Main!$C$4:$C$1048576,0)))</f>
        <v>99999962001関連</v>
      </c>
      <c r="I12" s="1">
        <f>IF(H12&lt;&gt;"",IF(ROW(G10)&gt;MAX(Main!$C$4:$C$1048576),"",INDEX(Main!N$4:N$1048576,MATCH(ROW(G10),Main!$C$4:$C$1048576,0))),"")</f>
        <v>99999962001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クラスターNo.962</v>
      </c>
      <c r="M12" s="4" t="str">
        <f>TEXT(IF(ROW(A10)&gt;MAX(Main!$D$4:$D$1048576),"",INDEX(Main!Q$4:Q$1048576,MATCH(ROW(A10),Main!$D$4:$D$1048576,0))), "yyyy/m/d")</f>
        <v>2023/3/7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99999962003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川西町</v>
      </c>
      <c r="S12" s="9" t="str">
        <f>IF(ROW(G10)&gt;MAX(Main!$D$4:$D$1048576),"",INDEX(Main!K$4:K$1048576,MATCH(ROW(G10),Main!$D$4:$D$1048576,0)))</f>
        <v>99999962001関連</v>
      </c>
      <c r="T12" s="1">
        <f>IF(S12&lt;&gt;"",IF(ROW(G10)&gt;MAX(Main!$D$4:$D$1048576),"",INDEX(Main!N$4:N$1048576,MATCH(ROW(G10),Main!$D$4:$D$1048576,0))),"")</f>
        <v>99999962001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2023/3/7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99999962004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川西町</v>
      </c>
      <c r="H13" s="10" t="str">
        <f>IF(ROW(G11)&gt;MAX(Main!$C$4:$C$1048576),"",INDEX(Main!K$4:K$1048576,MATCH(ROW(G11),Main!$C$4:$C$1048576,0)))</f>
        <v>99999962001関連</v>
      </c>
      <c r="I13" s="1">
        <f>IF(H13&lt;&gt;"",IF(ROW(G11)&gt;MAX(Main!$C$4:$C$1048576),"",INDEX(Main!N$4:N$1048576,MATCH(ROW(G11),Main!$C$4:$C$1048576,0))),"")</f>
        <v>99999962001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クラスターNo.962</v>
      </c>
      <c r="M13" s="4" t="str">
        <f>TEXT(IF(ROW(A11)&gt;MAX(Main!$D$4:$D$1048576),"",INDEX(Main!Q$4:Q$1048576,MATCH(ROW(A11),Main!$D$4:$D$1048576,0))), "yyyy/m/d")</f>
        <v>2023/3/7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99999962004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川西町</v>
      </c>
      <c r="S13" s="9" t="str">
        <f>IF(ROW(G11)&gt;MAX(Main!$D$4:$D$1048576),"",INDEX(Main!K$4:K$1048576,MATCH(ROW(G11),Main!$D$4:$D$1048576,0)))</f>
        <v>99999962001関連</v>
      </c>
      <c r="T13" s="1">
        <f>IF(S13&lt;&gt;"",IF(ROW(G11)&gt;MAX(Main!$D$4:$D$1048576),"",INDEX(Main!N$4:N$1048576,MATCH(ROW(G11),Main!$D$4:$D$1048576,0))),"")</f>
        <v>99999962001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2023/3/7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99999962005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川西町</v>
      </c>
      <c r="H14" s="10" t="str">
        <f>IF(ROW(G12)&gt;MAX(Main!$C$4:$C$1048576),"",INDEX(Main!K$4:K$1048576,MATCH(ROW(G12),Main!$C$4:$C$1048576,0)))</f>
        <v>99999962001関連</v>
      </c>
      <c r="I14" s="1">
        <f>IF(H14&lt;&gt;"",IF(ROW(G12)&gt;MAX(Main!$C$4:$C$1048576),"",INDEX(Main!N$4:N$1048576,MATCH(ROW(G12),Main!$C$4:$C$1048576,0))),"")</f>
        <v>99999962001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クラスターNo.962</v>
      </c>
      <c r="M14" s="4" t="str">
        <f>TEXT(IF(ROW(A12)&gt;MAX(Main!$D$4:$D$1048576),"",INDEX(Main!Q$4:Q$1048576,MATCH(ROW(A12),Main!$D$4:$D$1048576,0))), "yyyy/m/d")</f>
        <v>2023/3/7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99999962005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川西町</v>
      </c>
      <c r="S14" s="9" t="str">
        <f>IF(ROW(G12)&gt;MAX(Main!$D$4:$D$1048576),"",INDEX(Main!K$4:K$1048576,MATCH(ROW(G12),Main!$D$4:$D$1048576,0)))</f>
        <v>99999962001関連</v>
      </c>
      <c r="T14" s="1">
        <f>IF(S14&lt;&gt;"",IF(ROW(G12)&gt;MAX(Main!$D$4:$D$1048576),"",INDEX(Main!N$4:N$1048576,MATCH(ROW(G12),Main!$D$4:$D$1048576,0))),"")</f>
        <v>99999962001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2023/3/7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99999962006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川西町</v>
      </c>
      <c r="H15" s="10" t="str">
        <f>IF(ROW(G13)&gt;MAX(Main!$C$4:$C$1048576),"",INDEX(Main!K$4:K$1048576,MATCH(ROW(G13),Main!$C$4:$C$1048576,0)))</f>
        <v>99999962001関連</v>
      </c>
      <c r="I15" s="1">
        <f>IF(H15&lt;&gt;"",IF(ROW(G13)&gt;MAX(Main!$C$4:$C$1048576),"",INDEX(Main!N$4:N$1048576,MATCH(ROW(G13),Main!$C$4:$C$1048576,0))),"")</f>
        <v>99999962001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関連</v>
      </c>
      <c r="K15" s="27" t="str">
        <f t="shared" si="1"/>
        <v>クラスターNo.962</v>
      </c>
      <c r="M15" s="4" t="str">
        <f>TEXT(IF(ROW(A13)&gt;MAX(Main!$D$4:$D$1048576),"",INDEX(Main!Q$4:Q$1048576,MATCH(ROW(A13),Main!$D$4:$D$1048576,0))), "yyyy/m/d")</f>
        <v>2023/3/7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99999962006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川西町</v>
      </c>
      <c r="S15" s="9" t="str">
        <f>IF(ROW(G13)&gt;MAX(Main!$D$4:$D$1048576),"",INDEX(Main!K$4:K$1048576,MATCH(ROW(G13),Main!$D$4:$D$1048576,0)))</f>
        <v>99999962001関連</v>
      </c>
      <c r="T15" s="1">
        <f>IF(S15&lt;&gt;"",IF(ROW(G13)&gt;MAX(Main!$D$4:$D$1048576),"",INDEX(Main!N$4:N$1048576,MATCH(ROW(G13),Main!$D$4:$D$1048576,0))),"")</f>
        <v>99999962001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関連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2023/3/7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99999962007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川西町</v>
      </c>
      <c r="H16" s="10" t="str">
        <f>IF(ROW(G14)&gt;MAX(Main!$C$4:$C$1048576),"",INDEX(Main!K$4:K$1048576,MATCH(ROW(G14),Main!$C$4:$C$1048576,0)))</f>
        <v>99999962001関連</v>
      </c>
      <c r="I16" s="1">
        <f>IF(H16&lt;&gt;"",IF(ROW(G14)&gt;MAX(Main!$C$4:$C$1048576),"",INDEX(Main!N$4:N$1048576,MATCH(ROW(G14),Main!$C$4:$C$1048576,0))),"")</f>
        <v>99999962001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クラスターNo.962</v>
      </c>
      <c r="M16" s="4" t="str">
        <f>TEXT(IF(ROW(A14)&gt;MAX(Main!$D$4:$D$1048576),"",INDEX(Main!Q$4:Q$1048576,MATCH(ROW(A14),Main!$D$4:$D$1048576,0))), "yyyy/m/d")</f>
        <v>2023/3/7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99999962007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川西町</v>
      </c>
      <c r="S16" s="9" t="str">
        <f>IF(ROW(G14)&gt;MAX(Main!$D$4:$D$1048576),"",INDEX(Main!K$4:K$1048576,MATCH(ROW(G14),Main!$D$4:$D$1048576,0)))</f>
        <v>99999962001関連</v>
      </c>
      <c r="T16" s="1">
        <f>IF(S16&lt;&gt;"",IF(ROW(G14)&gt;MAX(Main!$D$4:$D$1048576),"",INDEX(Main!N$4:N$1048576,MATCH(ROW(G14),Main!$D$4:$D$1048576,0))),"")</f>
        <v>99999962001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14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99999961001,
            "date": "2023/3/7",
            "label": "クラスターNo.961\n2023/3/7\n新庄市\n-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99999961002,
            "date": "2023/3/7",
            "label": "クラスターNo.961\n2023/3/7\n新庄市\n-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99999961003,
            "date": "2023/3/7",
            "label": "クラスターNo.961\n2023/3/7\n新庄市\n-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99999961004,
            "date": "2023/3/7",
            "label": "クラスターNo.961\n2023/3/7\n新庄市\n-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99999961005,
            "date": "2023/3/7",
            "label": "クラスターNo.961\n2023/3/7\n新庄市\n-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99999961006,
            "date": "2023/3/7",
            "label": "クラスターNo.961\n2023/3/7\n新庄市\n- ー"
        },
        "classes": ["multiline-manual", "else"]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99999961007,
            "date": "2023/3/7",
            "label": "クラスターNo.961\n2023/3/7\n新庄市\n- ー"
        },
        "classes": ["multiline-manual", "else"]
    },
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99999962001,
            "date": "2023/3/7",
            "label": "クラスターNo.962\n2023/3/7\n川西町\n- ー"
        },
        "classes": ["multiline-manual", "else"]
    },
</v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99999962002,
            "date": "2023/3/7",
            "label": "クラスターNo.962\n2023/3/7\n川西町\n- ー"
        },
        "classes": ["multiline-manual", "else"]
    },
</v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99999962003,
            "date": "2023/3/7",
            "label": "クラスターNo.962\n2023/3/7\n川西町\n- ー"
        },
        "classes": ["multiline-manual", "else"]
    },
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99999962004,
            "date": "2023/3/7",
            "label": "クラスターNo.962\n2023/3/7\n川西町\n- ー"
        },
        "classes": ["multiline-manual", "else"]
    },
</v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99999962005,
            "date": "2023/3/7",
            "label": "クラスターNo.962\n2023/3/7\n川西町\n- ー"
        },
        "classes": ["multiline-manual", "else"]
    },
</v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99999962006,
            "date": "2023/3/7",
            "label": "クラスターNo.962\n2023/3/7\n川西町\n- ー"
        },
        "classes": ["multiline-manual", "else"]
    },
</v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99999962007,
            "date": "2023/3/7",
            "label": "クラスターNo.962\n2023/3/7\n川西町\n- ー"
        },
        "classes": ["multiline-manual", "else"]
    }</v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14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"99999961001",
            "target": "99999961001",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"99999961002",
            "target": "99999961001",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"99999961003",
            "target": "99999961001",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"99999961004",
            "target": "99999961001",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"99999961005",
            "target": "99999961001",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"99999961006",
            "target": "99999961001",
            "label": "関連"
        }
    },
</v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"99999961007",
            "target": "99999961001",
            "label": "関連"
        }
    },
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"99999962001",
            "target": "99999962001",
            "label": "障がい者施設"
        }
    },
</v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"99999962002",
            "target": "99999962001",
            "label": "関連"
        }
    },
</v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"99999962003",
            "target": "99999962001",
            "label": "関連"
        }
    },
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"99999962004",
            "target": "99999962001",
            "label": "関連"
        }
    },
</v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"99999962005",
            "target": "99999962001",
            "label": "関連"
        }
    },
</v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"99999962006",
            "target": "99999962001",
            "label": "関連"
        }
    },
</v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"99999962007",
            "target": "99999962001",
            "label": "関連"
        }
    }</v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4" sqref="E14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"lastUpdate":"2023/3/7 23:29"}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2023-03-07T14:30:43Z</dcterms:modified>
</cp:coreProperties>
</file>