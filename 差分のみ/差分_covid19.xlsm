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filterPrivacy="1" codeName="ThisWorkbook" defaultThemeVersion="166925"/>
  <xr:revisionPtr revIDLastSave="0" documentId="13_ncr:1_{105E0B0B-CADF-4F83-A5EC-C0212DF48279}" xr6:coauthVersionLast="47" xr6:coauthVersionMax="47" xr10:uidLastSave="{00000000-0000-0000-0000-000000000000}"/>
  <bookViews>
    <workbookView xWindow="1950" yWindow="930" windowWidth="26400" windowHeight="13185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41" i="1" l="1"/>
  <c r="AB41" i="1" s="1"/>
  <c r="S39" i="1"/>
  <c r="S38" i="1"/>
  <c r="S37" i="1"/>
  <c r="S36" i="1"/>
  <c r="S35" i="1"/>
  <c r="S34" i="1"/>
  <c r="S33" i="1"/>
  <c r="AB39" i="1"/>
  <c r="AB38" i="1"/>
  <c r="AB37" i="1"/>
  <c r="AB36" i="1"/>
  <c r="AB35" i="1"/>
  <c r="AB34" i="1"/>
  <c r="S32" i="1"/>
  <c r="AB33" i="1" s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G15" i="1" s="1"/>
  <c r="J15" i="1" s="1"/>
  <c r="S14" i="1"/>
  <c r="S13" i="1"/>
  <c r="G13" i="1" s="1"/>
  <c r="S12" i="1"/>
  <c r="S11" i="1"/>
  <c r="G11" i="1" s="1"/>
  <c r="I11" i="1" s="1"/>
  <c r="S10" i="1"/>
  <c r="AB20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/>
  <c r="G63" i="1"/>
  <c r="F63" i="1" s="1"/>
  <c r="G62" i="1"/>
  <c r="G61" i="1"/>
  <c r="I61" i="1" s="1"/>
  <c r="G60" i="1"/>
  <c r="J60" i="1" s="1"/>
  <c r="F60" i="1"/>
  <c r="G59" i="1"/>
  <c r="I59" i="1" s="1"/>
  <c r="F59" i="1"/>
  <c r="G58" i="1"/>
  <c r="G57" i="1"/>
  <c r="F57" i="1" s="1"/>
  <c r="G56" i="1"/>
  <c r="G55" i="1"/>
  <c r="G54" i="1"/>
  <c r="I54" i="1" s="1"/>
  <c r="G53" i="1"/>
  <c r="F53" i="1" s="1"/>
  <c r="G52" i="1"/>
  <c r="G51" i="1"/>
  <c r="I51" i="1" s="1"/>
  <c r="G50" i="1"/>
  <c r="F50" i="1" s="1"/>
  <c r="G49" i="1"/>
  <c r="G48" i="1"/>
  <c r="H48" i="1" s="1"/>
  <c r="G47" i="1"/>
  <c r="G46" i="1"/>
  <c r="G45" i="1"/>
  <c r="J45" i="1" s="1"/>
  <c r="G44" i="1"/>
  <c r="J44" i="1" s="1"/>
  <c r="G43" i="1"/>
  <c r="F43" i="1" s="1"/>
  <c r="G42" i="1"/>
  <c r="H42" i="1" s="1"/>
  <c r="G41" i="1"/>
  <c r="G40" i="1"/>
  <c r="G39" i="1"/>
  <c r="F39" i="1" s="1"/>
  <c r="G38" i="1"/>
  <c r="F38" i="1" s="1"/>
  <c r="G37" i="1"/>
  <c r="G36" i="1"/>
  <c r="H36" i="1" s="1"/>
  <c r="G35" i="1"/>
  <c r="I35" i="1" s="1"/>
  <c r="G34" i="1"/>
  <c r="J34" i="1" s="1"/>
  <c r="G33" i="1"/>
  <c r="J33" i="1" s="1"/>
  <c r="G32" i="1"/>
  <c r="J32" i="1" s="1"/>
  <c r="G31" i="1"/>
  <c r="H31" i="1" s="1"/>
  <c r="G30" i="1"/>
  <c r="F30" i="1" s="1"/>
  <c r="G29" i="1"/>
  <c r="F29" i="1" s="1"/>
  <c r="G28" i="1"/>
  <c r="G27" i="1"/>
  <c r="F27" i="1" s="1"/>
  <c r="G26" i="1"/>
  <c r="F26" i="1" s="1"/>
  <c r="G25" i="1"/>
  <c r="I25" i="1" s="1"/>
  <c r="G24" i="1"/>
  <c r="H24" i="1" s="1"/>
  <c r="G23" i="1"/>
  <c r="G22" i="1"/>
  <c r="I22" i="1" s="1"/>
  <c r="G21" i="1"/>
  <c r="G20" i="1"/>
  <c r="G19" i="1"/>
  <c r="F19" i="1" s="1"/>
  <c r="G18" i="1"/>
  <c r="F18" i="1" s="1"/>
  <c r="G17" i="1"/>
  <c r="H17" i="1" s="1"/>
  <c r="G16" i="1"/>
  <c r="I16" i="1" s="1"/>
  <c r="G9" i="1"/>
  <c r="C9" i="1" s="1"/>
  <c r="G200" i="1"/>
  <c r="I200" i="1" s="1"/>
  <c r="AB21" i="1" l="1"/>
  <c r="AB10" i="1"/>
  <c r="AB22" i="1"/>
  <c r="AB11" i="1"/>
  <c r="AB23" i="1"/>
  <c r="K23" i="1" s="1"/>
  <c r="AB12" i="1"/>
  <c r="AB24" i="1"/>
  <c r="K24" i="1" s="1"/>
  <c r="M24" i="1" s="1" a="1"/>
  <c r="M24" i="1" s="1"/>
  <c r="O24" i="1" s="1"/>
  <c r="AB13" i="1"/>
  <c r="K13" i="1" s="1"/>
  <c r="AB25" i="1"/>
  <c r="K25" i="1" s="1"/>
  <c r="M25" i="1" s="1" a="1"/>
  <c r="M25" i="1" s="1"/>
  <c r="O25" i="1" s="1"/>
  <c r="AB14" i="1"/>
  <c r="AB26" i="1"/>
  <c r="K26" i="1" s="1"/>
  <c r="M26" i="1" s="1" a="1"/>
  <c r="M26" i="1" s="1"/>
  <c r="O26" i="1" s="1"/>
  <c r="AB15" i="1"/>
  <c r="K15" i="1" s="1"/>
  <c r="M15" i="1" s="1" a="1"/>
  <c r="M15" i="1" s="1"/>
  <c r="O15" i="1" s="1"/>
  <c r="AB27" i="1"/>
  <c r="AB16" i="1"/>
  <c r="AB28" i="1"/>
  <c r="AB32" i="1"/>
  <c r="AB17" i="1"/>
  <c r="K17" i="1" s="1"/>
  <c r="M17" i="1" s="1" a="1"/>
  <c r="M17" i="1" s="1"/>
  <c r="O17" i="1" s="1"/>
  <c r="AB29" i="1"/>
  <c r="AB18" i="1"/>
  <c r="K18" i="1" s="1"/>
  <c r="AB30" i="1"/>
  <c r="AB19" i="1"/>
  <c r="K19" i="1" s="1"/>
  <c r="M19" i="1" s="1" a="1"/>
  <c r="M19" i="1" s="1"/>
  <c r="O19" i="1" s="1"/>
  <c r="K27" i="1"/>
  <c r="K41" i="1"/>
  <c r="K45" i="1"/>
  <c r="K48" i="1"/>
  <c r="K49" i="1"/>
  <c r="K20" i="1"/>
  <c r="K22" i="1"/>
  <c r="L22" i="1" s="1"/>
  <c r="K21" i="1"/>
  <c r="M21" i="1" s="1" a="1"/>
  <c r="M21" i="1" s="1"/>
  <c r="O21" i="1" s="1"/>
  <c r="K29" i="1"/>
  <c r="K32" i="1"/>
  <c r="K16" i="1"/>
  <c r="L16" i="1" s="1"/>
  <c r="K39" i="1"/>
  <c r="M39" i="1" s="1" a="1"/>
  <c r="M39" i="1" s="1"/>
  <c r="O39" i="1" s="1"/>
  <c r="K82" i="1"/>
  <c r="K94" i="1"/>
  <c r="K73" i="1"/>
  <c r="K83" i="1"/>
  <c r="K119" i="1"/>
  <c r="K96" i="1"/>
  <c r="K76" i="1"/>
  <c r="K35" i="1"/>
  <c r="L35" i="1" s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K11" i="1"/>
  <c r="L11" i="1" s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K38" i="1"/>
  <c r="M38" i="1" s="1" a="1"/>
  <c r="M38" i="1" s="1"/>
  <c r="O38" i="1" s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K50" i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J19" i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" i="1"/>
  <c r="I20" i="1"/>
  <c r="J20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H2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J18" i="1"/>
  <c r="I18" i="1"/>
  <c r="H18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K51" i="1"/>
  <c r="M51" i="1" s="1" a="1"/>
  <c r="M51" i="1" s="1"/>
  <c r="O51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K42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K30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17" i="1"/>
  <c r="F20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K28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17" i="1"/>
  <c r="I9" i="1"/>
  <c r="I15" i="1"/>
  <c r="J16" i="1"/>
  <c r="J17" i="1"/>
  <c r="I19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M49" i="1" l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N19" i="1" s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" i="1"/>
  <c r="N17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L20" i="1"/>
  <c r="M20" i="1" a="1"/>
  <c r="M20" i="1" s="1"/>
  <c r="O20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N49" i="1" l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20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C11" i="1" l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/>
  <c r="D16" i="1"/>
  <c r="D17" i="1" l="1"/>
  <c r="C19" i="1"/>
  <c r="C20" i="1" l="1"/>
  <c r="D18" i="1"/>
  <c r="C21" i="1" l="1"/>
  <c r="C22" i="1" s="1"/>
  <c r="D19" i="1"/>
  <c r="C23" i="1" l="1"/>
  <c r="D20" i="1"/>
  <c r="C24" i="1"/>
  <c r="C25" i="1" s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R7" i="3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R4" i="3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R6" i="3"/>
  <c r="M7" i="3"/>
  <c r="N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R76" i="3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R5" i="3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U4" i="3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S183" i="3"/>
  <c r="T183" i="3" s="1"/>
  <c r="U183" i="3" s="1"/>
  <c r="M26" i="3"/>
  <c r="N26" i="3" s="1"/>
  <c r="M10" i="3"/>
  <c r="N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R171" i="3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R47" i="3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11" i="3"/>
  <c r="P11" i="3" s="1"/>
  <c r="Q11" i="3" s="1"/>
  <c r="O8" i="3"/>
  <c r="P8" i="3" s="1"/>
  <c r="Q8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R183" i="3"/>
  <c r="S186" i="3"/>
  <c r="T186" i="3" s="1"/>
  <c r="U186" i="3" s="1"/>
  <c r="O4" i="3"/>
  <c r="P4" i="3" s="1"/>
  <c r="Q4" i="3" s="1"/>
  <c r="R49" i="3"/>
  <c r="S75" i="3"/>
  <c r="T75" i="3" s="1"/>
  <c r="U75" i="3" s="1"/>
  <c r="M172" i="3"/>
  <c r="N172" i="3" s="1"/>
  <c r="O172" i="3" s="1"/>
  <c r="P172" i="3" s="1"/>
  <c r="Q172" i="3" s="1"/>
  <c r="O14" i="3"/>
  <c r="P14" i="3" s="1"/>
  <c r="Q14" i="3" s="1"/>
  <c r="S33" i="3"/>
  <c r="T33" i="3" s="1"/>
  <c r="U33" i="3" s="1"/>
  <c r="O15" i="3"/>
  <c r="P15" i="3" s="1"/>
  <c r="Q15" i="3" s="1"/>
  <c r="R175" i="3"/>
  <c r="O12" i="3"/>
  <c r="P12" i="3" s="1"/>
  <c r="Q12" i="3" s="1"/>
  <c r="O10" i="3"/>
  <c r="P10" i="3" s="1"/>
  <c r="Q10" i="3" s="1"/>
  <c r="R112" i="3"/>
  <c r="O6" i="3"/>
  <c r="P6" i="3" s="1"/>
  <c r="Q6" i="3" s="1"/>
  <c r="M13" i="3"/>
  <c r="N13" i="3" s="1"/>
  <c r="O13" i="3" s="1"/>
  <c r="P13" i="3" s="1"/>
  <c r="R8" i="3"/>
  <c r="O7" i="3"/>
  <c r="P7" i="3" s="1"/>
  <c r="Q7" i="3" s="1"/>
  <c r="C50" i="1"/>
  <c r="R48" i="3" l="1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3" i="5" a="1"/>
  <c r="C15" i="5" a="1"/>
  <c r="C12" i="5" a="1"/>
  <c r="C17" i="5" a="1"/>
  <c r="C16" i="5" a="1"/>
  <c r="C14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3" i="5"/>
  <c r="C17" i="5"/>
  <c r="C12" i="5"/>
  <c r="C16" i="5"/>
  <c r="C14" i="5"/>
  <c r="C15" i="5"/>
  <c r="C52" i="1"/>
  <c r="C18" i="5" a="1"/>
  <c r="C18" i="5" l="1"/>
  <c r="C53" i="1"/>
  <c r="C54" i="1" s="1"/>
  <c r="C19" i="5" a="1"/>
  <c r="C19" i="5" l="1"/>
  <c r="C55" i="1"/>
  <c r="C56" i="1" s="1"/>
  <c r="C20" i="5" a="1"/>
  <c r="C20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21" i="5" a="1"/>
  <c r="C21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J8" i="3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J14" i="3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G4" i="3"/>
  <c r="B157" i="3"/>
  <c r="C157" i="3" s="1"/>
  <c r="K157" i="3" s="1"/>
  <c r="G8" i="3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G7" i="3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G6" i="3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D7" i="3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E7" i="3"/>
  <c r="F7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G5" i="3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D26" i="3"/>
  <c r="E26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D21" i="3"/>
  <c r="E21" i="3" s="1"/>
  <c r="F21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D5" i="3"/>
  <c r="B91" i="3"/>
  <c r="C91" i="3" s="1"/>
  <c r="K91" i="3" s="1"/>
  <c r="H115" i="3"/>
  <c r="I115" i="3" s="1"/>
  <c r="J115" i="3" s="1"/>
  <c r="B71" i="3"/>
  <c r="C71" i="3" s="1"/>
  <c r="K71" i="3" s="1"/>
  <c r="D8" i="3"/>
  <c r="B70" i="3"/>
  <c r="C70" i="3" s="1"/>
  <c r="K70" i="3" s="1"/>
  <c r="D166" i="3"/>
  <c r="E166" i="3" s="1"/>
  <c r="F166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B5" i="3"/>
  <c r="C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D6" i="3"/>
  <c r="D54" i="3"/>
  <c r="E54" i="3" s="1"/>
  <c r="F54" i="3" s="1"/>
  <c r="E5" i="3"/>
  <c r="F5" i="3" s="1"/>
  <c r="E8" i="3"/>
  <c r="F8" i="3" s="1"/>
  <c r="E6" i="3"/>
  <c r="F6" i="3" s="1"/>
  <c r="D13" i="3"/>
  <c r="E13" i="3" s="1"/>
  <c r="D4" i="3"/>
  <c r="E4" i="3"/>
  <c r="F4" i="3" s="1"/>
  <c r="D15" i="3"/>
  <c r="E15" i="3" s="1"/>
  <c r="C22" i="5" a="1"/>
  <c r="D60" i="3" l="1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C22" i="5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G73" i="3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G81" i="3"/>
  <c r="D74" i="3"/>
  <c r="E74" i="3" s="1"/>
  <c r="F74" i="3" s="1"/>
  <c r="D169" i="3"/>
  <c r="E169" i="3" s="1"/>
  <c r="D99" i="3"/>
  <c r="E99" i="3" s="1"/>
  <c r="G141" i="3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132" i="3"/>
  <c r="G32" i="3"/>
  <c r="D137" i="3"/>
  <c r="E137" i="3" s="1"/>
  <c r="F137" i="3" s="1"/>
  <c r="G54" i="3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181" i="3"/>
  <c r="G31" i="3"/>
  <c r="G60" i="3"/>
  <c r="G5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G197" i="3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G166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G162" i="3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G167" i="3"/>
  <c r="K25" i="3"/>
  <c r="K10" i="3"/>
  <c r="K3" i="3"/>
  <c r="K22" i="3"/>
  <c r="D116" i="3"/>
  <c r="E116" i="3" s="1"/>
  <c r="G156" i="3"/>
  <c r="K5" i="3"/>
  <c r="D191" i="3"/>
  <c r="E191" i="3" s="1"/>
  <c r="K31" i="3"/>
  <c r="K13" i="3"/>
  <c r="K18" i="3"/>
  <c r="D192" i="3"/>
  <c r="E192" i="3" s="1"/>
  <c r="K15" i="3"/>
  <c r="K24" i="3"/>
  <c r="K11" i="3"/>
  <c r="C13" i="4" a="1"/>
  <c r="C23" i="5" a="1"/>
  <c r="C17" i="4" a="1"/>
  <c r="C18" i="4" a="1"/>
  <c r="C15" i="4" a="1"/>
  <c r="C14" i="4" a="1"/>
  <c r="C16" i="4" a="1"/>
  <c r="G42" i="3" l="1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C23" i="5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C14" i="4"/>
  <c r="C18" i="4"/>
  <c r="C17" i="4"/>
  <c r="C16" i="4"/>
  <c r="C15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9" i="4" a="1"/>
  <c r="C24" i="5" a="1"/>
  <c r="C19" i="4" l="1"/>
  <c r="C24" i="5"/>
  <c r="C20" i="4" a="1"/>
  <c r="C25" i="5" a="1"/>
  <c r="C20" i="4" l="1"/>
  <c r="C25" i="5"/>
  <c r="C26" i="5" a="1"/>
  <c r="C21" i="4" a="1"/>
  <c r="C26" i="5" l="1"/>
  <c r="C21" i="4"/>
  <c r="C22" i="4" a="1"/>
  <c r="C27" i="5" a="1"/>
  <c r="C22" i="4" l="1"/>
  <c r="C27" i="5"/>
  <c r="C23" i="4" a="1"/>
  <c r="C28" i="5" a="1"/>
  <c r="C28" i="5" l="1"/>
  <c r="C23" i="4"/>
  <c r="C24" i="4" a="1"/>
  <c r="C29" i="5" a="1"/>
  <c r="C24" i="4" l="1"/>
  <c r="C29" i="5"/>
  <c r="C25" i="4" a="1"/>
  <c r="C30" i="5" a="1"/>
  <c r="C30" i="5" l="1"/>
  <c r="C25" i="4"/>
  <c r="C26" i="4" a="1"/>
  <c r="C31" i="5" a="1"/>
  <c r="C26" i="4" l="1"/>
  <c r="C31" i="5"/>
  <c r="C27" i="4" a="1"/>
  <c r="C32" i="5" a="1"/>
  <c r="C32" i="5" l="1"/>
  <c r="C27" i="4"/>
  <c r="C33" i="5" a="1"/>
  <c r="C28" i="4" a="1"/>
  <c r="C28" i="4" l="1"/>
  <c r="C33" i="5"/>
  <c r="C29" i="4" a="1"/>
  <c r="C34" i="5" a="1"/>
  <c r="C34" i="5" l="1"/>
  <c r="C29" i="4"/>
  <c r="C35" i="5" a="1"/>
  <c r="C30" i="4" a="1"/>
  <c r="C30" i="4" l="1"/>
  <c r="C35" i="5"/>
  <c r="C31" i="4" a="1"/>
  <c r="C36" i="5" a="1"/>
  <c r="C36" i="5" l="1"/>
  <c r="C31" i="4"/>
  <c r="C32" i="4" a="1"/>
  <c r="C37" i="5" a="1"/>
  <c r="C32" i="4" l="1"/>
  <c r="C37" i="5"/>
  <c r="C33" i="4" a="1"/>
  <c r="C38" i="5" a="1"/>
  <c r="C38" i="5" l="1"/>
  <c r="C33" i="4"/>
  <c r="C39" i="5" a="1"/>
  <c r="C34" i="4" a="1"/>
  <c r="C34" i="4" l="1"/>
  <c r="C39" i="5"/>
  <c r="C40" i="5" a="1"/>
  <c r="C35" i="4" a="1"/>
  <c r="C40" i="5" l="1"/>
  <c r="C35" i="4"/>
  <c r="C36" i="4" a="1"/>
  <c r="C41" i="5" a="1"/>
  <c r="C36" i="4" l="1"/>
  <c r="C41" i="5"/>
  <c r="C42" i="5" a="1"/>
  <c r="C37" i="4" a="1"/>
  <c r="C42" i="5" l="1"/>
  <c r="C37" i="4"/>
  <c r="C38" i="4" a="1"/>
  <c r="C43" i="5" a="1"/>
  <c r="C38" i="4" l="1"/>
  <c r="C43" i="5"/>
  <c r="C44" i="5" a="1"/>
  <c r="C39" i="4" a="1"/>
  <c r="C44" i="5" l="1"/>
  <c r="C39" i="4"/>
  <c r="C40" i="4" a="1"/>
  <c r="C45" i="5" a="1"/>
  <c r="C40" i="4" l="1"/>
  <c r="C45" i="5"/>
  <c r="C41" i="4" a="1"/>
  <c r="C46" i="5" a="1"/>
  <c r="C46" i="5" l="1"/>
  <c r="C41" i="4"/>
  <c r="C47" i="5" a="1"/>
  <c r="C42" i="4" a="1"/>
  <c r="C42" i="4" l="1"/>
  <c r="C47" i="5"/>
  <c r="C43" i="4" a="1"/>
  <c r="C48" i="5" a="1"/>
  <c r="C48" i="5" l="1"/>
  <c r="C43" i="4"/>
  <c r="C49" i="5" a="1"/>
  <c r="C44" i="4" a="1"/>
  <c r="C44" i="4" l="1"/>
  <c r="C49" i="5"/>
  <c r="C45" i="4" a="1"/>
  <c r="C50" i="5" a="1"/>
  <c r="C50" i="5" l="1"/>
  <c r="C45" i="4"/>
  <c r="C51" i="5" a="1"/>
  <c r="C46" i="4" a="1"/>
  <c r="C46" i="4" l="1"/>
  <c r="C51" i="5"/>
  <c r="C47" i="4" a="1"/>
  <c r="C52" i="5" a="1"/>
  <c r="C52" i="5" l="1"/>
  <c r="C47" i="4"/>
  <c r="C48" i="4" a="1"/>
  <c r="C53" i="5" a="1"/>
  <c r="C48" i="4" l="1"/>
  <c r="C53" i="5"/>
  <c r="C54" i="5" a="1"/>
  <c r="C49" i="4" a="1"/>
  <c r="C54" i="5" l="1"/>
  <c r="C49" i="4"/>
  <c r="C55" i="5" a="1"/>
  <c r="C50" i="4" a="1"/>
  <c r="C50" i="4" l="1"/>
  <c r="C55" i="5"/>
  <c r="C56" i="5" a="1"/>
  <c r="C51" i="4" a="1"/>
  <c r="C56" i="5" l="1"/>
  <c r="C51" i="4"/>
  <c r="C52" i="4" a="1"/>
  <c r="C57" i="5" a="1"/>
  <c r="C52" i="4" l="1"/>
  <c r="C57" i="5"/>
  <c r="C53" i="4" a="1"/>
  <c r="C58" i="5" a="1"/>
  <c r="C58" i="5" l="1"/>
  <c r="C53" i="4"/>
  <c r="C59" i="5" a="1"/>
  <c r="C54" i="4" a="1"/>
  <c r="C54" i="4" l="1"/>
  <c r="C59" i="5"/>
  <c r="C60" i="5" a="1"/>
  <c r="C55" i="4" a="1"/>
  <c r="C60" i="5" l="1"/>
  <c r="C55" i="4"/>
  <c r="C61" i="5" a="1"/>
  <c r="C56" i="4" a="1"/>
  <c r="C56" i="4" l="1"/>
  <c r="C61" i="5"/>
  <c r="C62" i="5" a="1"/>
  <c r="C57" i="4" a="1"/>
  <c r="C62" i="5" l="1"/>
  <c r="C57" i="4"/>
  <c r="C63" i="5" a="1"/>
  <c r="C58" i="4" a="1"/>
  <c r="C58" i="4" l="1"/>
  <c r="C63" i="5"/>
  <c r="C59" i="4" a="1"/>
  <c r="C64" i="5" a="1"/>
  <c r="C64" i="5" l="1"/>
  <c r="C59" i="4"/>
  <c r="C65" i="5" a="1"/>
  <c r="C60" i="4" a="1"/>
  <c r="C60" i="4" l="1"/>
  <c r="C65" i="5"/>
  <c r="C61" i="4" a="1"/>
  <c r="C66" i="5" a="1"/>
  <c r="C66" i="5" l="1"/>
  <c r="C61" i="4"/>
  <c r="C62" i="4" a="1"/>
  <c r="C67" i="5" a="1"/>
  <c r="C62" i="4" l="1"/>
  <c r="C67" i="5"/>
  <c r="C68" i="5" a="1"/>
  <c r="C63" i="4" a="1"/>
  <c r="C68" i="5" l="1"/>
  <c r="C63" i="4"/>
  <c r="C69" i="5" a="1"/>
  <c r="C64" i="4" a="1"/>
  <c r="C64" i="4" l="1"/>
  <c r="C69" i="5"/>
  <c r="C70" i="5" a="1"/>
  <c r="C65" i="4" a="1"/>
  <c r="C70" i="5" l="1"/>
  <c r="C65" i="4"/>
  <c r="C66" i="4" a="1"/>
  <c r="C71" i="5" a="1"/>
  <c r="C66" i="4" l="1"/>
  <c r="C71" i="5"/>
  <c r="C72" i="5" a="1"/>
  <c r="C67" i="4" a="1"/>
  <c r="C72" i="5" l="1"/>
  <c r="C67" i="4"/>
  <c r="C73" i="5" a="1"/>
  <c r="C68" i="4" a="1"/>
  <c r="C68" i="4" l="1"/>
  <c r="C73" i="5"/>
  <c r="C69" i="4" a="1"/>
  <c r="C74" i="5" a="1"/>
  <c r="C74" i="5" l="1"/>
  <c r="C69" i="4"/>
  <c r="C75" i="5" a="1"/>
  <c r="C70" i="4" a="1"/>
  <c r="C70" i="4" l="1"/>
  <c r="C75" i="5"/>
  <c r="C71" i="4" a="1"/>
  <c r="C76" i="5" a="1"/>
  <c r="C76" i="5" l="1"/>
  <c r="C71" i="4"/>
  <c r="C77" i="5" a="1"/>
  <c r="C72" i="4" a="1"/>
  <c r="C72" i="4" l="1"/>
  <c r="C77" i="5"/>
  <c r="C73" i="4" a="1"/>
  <c r="C78" i="5" a="1"/>
  <c r="C78" i="5" l="1"/>
  <c r="C73" i="4"/>
  <c r="C79" i="5" a="1"/>
  <c r="C74" i="4" a="1"/>
  <c r="C74" i="4" l="1"/>
  <c r="C79" i="5"/>
  <c r="C75" i="4" a="1"/>
  <c r="C80" i="5" a="1"/>
  <c r="C80" i="5" l="1"/>
  <c r="C75" i="4"/>
  <c r="C81" i="5" a="1"/>
  <c r="C76" i="4" a="1"/>
  <c r="C76" i="4" l="1"/>
  <c r="C81" i="5"/>
  <c r="C77" i="4" a="1"/>
  <c r="C82" i="5" a="1"/>
  <c r="C82" i="5" l="1"/>
  <c r="C77" i="4"/>
  <c r="C83" i="5" a="1"/>
  <c r="C78" i="4" a="1"/>
  <c r="C78" i="4" l="1"/>
  <c r="C83" i="5"/>
  <c r="C84" i="5" a="1"/>
  <c r="C79" i="4" a="1"/>
  <c r="C84" i="5" l="1"/>
  <c r="C79" i="4"/>
  <c r="C85" i="5" a="1"/>
  <c r="C80" i="4" a="1"/>
  <c r="C80" i="4" l="1"/>
  <c r="C85" i="5"/>
  <c r="C81" i="4" a="1"/>
  <c r="C86" i="5" a="1"/>
  <c r="C86" i="5" l="1"/>
  <c r="C81" i="4"/>
  <c r="C87" i="5" a="1"/>
  <c r="C82" i="4" a="1"/>
  <c r="C82" i="4" l="1"/>
  <c r="C87" i="5"/>
  <c r="C83" i="4" a="1"/>
  <c r="C88" i="5" a="1"/>
  <c r="C88" i="5" l="1"/>
  <c r="C83" i="4"/>
  <c r="C89" i="5" a="1"/>
  <c r="C84" i="4" a="1"/>
  <c r="C84" i="4" l="1"/>
  <c r="C89" i="5"/>
  <c r="C85" i="4" a="1"/>
  <c r="C90" i="5" a="1"/>
  <c r="C90" i="5" l="1"/>
  <c r="C85" i="4"/>
  <c r="C91" i="5" a="1"/>
  <c r="C86" i="4" a="1"/>
  <c r="C86" i="4" l="1"/>
  <c r="C91" i="5"/>
  <c r="C87" i="4" a="1"/>
  <c r="C92" i="5" a="1"/>
  <c r="C92" i="5" l="1"/>
  <c r="C87" i="4"/>
  <c r="C93" i="5" a="1"/>
  <c r="C88" i="4" a="1"/>
  <c r="C88" i="4" l="1"/>
  <c r="C93" i="5"/>
  <c r="C89" i="4" a="1"/>
  <c r="C94" i="5" a="1"/>
  <c r="C94" i="5" l="1"/>
  <c r="C89" i="4"/>
  <c r="C95" i="5" a="1"/>
  <c r="C90" i="4" a="1"/>
  <c r="C90" i="4" l="1"/>
  <c r="C95" i="5"/>
  <c r="C96" i="5" a="1"/>
  <c r="C91" i="4" a="1"/>
  <c r="C96" i="5" l="1"/>
  <c r="C91" i="4"/>
  <c r="C97" i="5" a="1"/>
  <c r="C92" i="4" a="1"/>
  <c r="C92" i="4" l="1"/>
  <c r="C97" i="5"/>
  <c r="C93" i="4" a="1"/>
  <c r="C98" i="5" a="1"/>
  <c r="C98" i="5" l="1"/>
  <c r="C93" i="4"/>
  <c r="C99" i="5" a="1"/>
  <c r="C94" i="4" a="1"/>
  <c r="C94" i="4" l="1"/>
  <c r="C99" i="5"/>
  <c r="C95" i="4" a="1"/>
  <c r="C100" i="5" a="1"/>
  <c r="C100" i="5" l="1"/>
  <c r="C95" i="4"/>
  <c r="C101" i="5" a="1"/>
  <c r="C96" i="4" a="1"/>
  <c r="C96" i="4" l="1"/>
  <c r="C101" i="5"/>
  <c r="C97" i="4" a="1"/>
  <c r="C102" i="5" a="1"/>
  <c r="C102" i="5" l="1"/>
  <c r="C97" i="4"/>
  <c r="C103" i="5" a="1"/>
  <c r="C98" i="4" a="1"/>
  <c r="C98" i="4" l="1"/>
  <c r="C103" i="5"/>
  <c r="C99" i="4" a="1"/>
  <c r="C104" i="5" a="1"/>
  <c r="C104" i="5" l="1"/>
  <c r="C99" i="4"/>
  <c r="C105" i="5" a="1"/>
  <c r="C100" i="4" a="1"/>
  <c r="C100" i="4" l="1"/>
  <c r="C105" i="5"/>
  <c r="C106" i="5" a="1"/>
  <c r="C101" i="4" a="1"/>
  <c r="C106" i="5" l="1"/>
  <c r="C101" i="4"/>
  <c r="C107" i="5" a="1"/>
  <c r="C102" i="4" a="1"/>
  <c r="C102" i="4" l="1"/>
  <c r="C107" i="5"/>
  <c r="C108" i="5" a="1"/>
  <c r="C103" i="4" a="1"/>
  <c r="C108" i="5" l="1"/>
  <c r="C103" i="4"/>
  <c r="C109" i="5" a="1"/>
  <c r="C104" i="4" a="1"/>
  <c r="C104" i="4" l="1"/>
  <c r="C109" i="5"/>
  <c r="C110" i="5" a="1"/>
  <c r="C105" i="4" a="1"/>
  <c r="C110" i="5" l="1"/>
  <c r="C105" i="4"/>
  <c r="C111" i="5" a="1"/>
  <c r="C106" i="4" a="1"/>
  <c r="C106" i="4" l="1"/>
  <c r="C111" i="5"/>
  <c r="C107" i="4" a="1"/>
  <c r="C112" i="5" a="1"/>
  <c r="C112" i="5" l="1"/>
  <c r="C107" i="4"/>
  <c r="C108" i="4" a="1"/>
  <c r="C113" i="5" a="1"/>
  <c r="C108" i="4" l="1"/>
  <c r="C113" i="5"/>
  <c r="C109" i="4" a="1"/>
  <c r="C114" i="5" a="1"/>
  <c r="C114" i="5" l="1"/>
  <c r="C109" i="4"/>
  <c r="C115" i="5" a="1"/>
  <c r="C110" i="4" a="1"/>
  <c r="C110" i="4" l="1"/>
  <c r="C115" i="5"/>
  <c r="C111" i="4" a="1"/>
  <c r="C116" i="5" a="1"/>
  <c r="C116" i="5" l="1"/>
  <c r="C111" i="4"/>
  <c r="C117" i="5" a="1"/>
  <c r="C112" i="4" a="1"/>
  <c r="C112" i="4" l="1"/>
  <c r="C117" i="5"/>
  <c r="C113" i="4" a="1"/>
  <c r="C118" i="5" a="1"/>
  <c r="C118" i="5" l="1"/>
  <c r="C113" i="4"/>
  <c r="C114" i="4" a="1"/>
  <c r="C119" i="5" a="1"/>
  <c r="C114" i="4" l="1"/>
  <c r="C119" i="5"/>
  <c r="C115" i="4" a="1"/>
  <c r="C120" i="5" a="1"/>
  <c r="C120" i="5" l="1"/>
  <c r="C115" i="4"/>
  <c r="C116" i="4" a="1"/>
  <c r="C121" i="5" a="1"/>
  <c r="C116" i="4" l="1"/>
  <c r="C121" i="5"/>
  <c r="C122" i="5" a="1"/>
  <c r="C117" i="4" a="1"/>
  <c r="C122" i="5" l="1"/>
  <c r="C117" i="4"/>
  <c r="C118" i="4" a="1"/>
  <c r="C123" i="5" a="1"/>
  <c r="C118" i="4" l="1"/>
  <c r="C123" i="5"/>
  <c r="C119" i="4" a="1"/>
  <c r="C124" i="5" a="1"/>
  <c r="C124" i="5" l="1"/>
  <c r="C119" i="4"/>
  <c r="C125" i="5" a="1"/>
  <c r="C120" i="4" a="1"/>
  <c r="C120" i="4" l="1"/>
  <c r="C125" i="5"/>
  <c r="C126" i="5" a="1"/>
  <c r="C121" i="4" a="1"/>
  <c r="C126" i="5" l="1"/>
  <c r="C121" i="4"/>
  <c r="C127" i="5" a="1"/>
  <c r="C122" i="4" a="1"/>
  <c r="C122" i="4" l="1"/>
  <c r="C127" i="5"/>
  <c r="C123" i="4" a="1"/>
  <c r="C128" i="5" a="1"/>
  <c r="C128" i="5" l="1"/>
  <c r="C123" i="4"/>
  <c r="C124" i="4" a="1"/>
  <c r="C129" i="5" a="1"/>
  <c r="C124" i="4" l="1"/>
  <c r="C129" i="5"/>
  <c r="C130" i="5" a="1"/>
  <c r="C125" i="4" a="1"/>
  <c r="C130" i="5" l="1"/>
  <c r="C125" i="4"/>
  <c r="C126" i="4" a="1"/>
  <c r="C131" i="5" a="1"/>
  <c r="C131" i="5" l="1"/>
  <c r="C126" i="4"/>
  <c r="C132" i="5" a="1"/>
  <c r="C127" i="4" a="1"/>
  <c r="C127" i="4" l="1"/>
  <c r="C132" i="5"/>
  <c r="C133" i="5" a="1"/>
  <c r="C128" i="4" a="1"/>
  <c r="C133" i="5" l="1"/>
  <c r="C128" i="4"/>
  <c r="C129" i="4" a="1"/>
  <c r="C134" i="5" a="1"/>
  <c r="C129" i="4" l="1"/>
  <c r="C134" i="5"/>
  <c r="C130" i="4" a="1"/>
  <c r="C135" i="5" a="1"/>
  <c r="C135" i="5" l="1"/>
  <c r="C130" i="4"/>
  <c r="C136" i="5" a="1"/>
  <c r="C131" i="4" a="1"/>
  <c r="C131" i="4" l="1"/>
  <c r="C136" i="5"/>
  <c r="C137" i="5" a="1"/>
  <c r="C132" i="4" a="1"/>
  <c r="C137" i="5" l="1"/>
  <c r="C132" i="4"/>
  <c r="C138" i="5" a="1"/>
  <c r="C133" i="4" a="1"/>
  <c r="C133" i="4" l="1"/>
  <c r="C138" i="5"/>
  <c r="C139" i="5" a="1"/>
  <c r="C134" i="4" a="1"/>
  <c r="C139" i="5" l="1"/>
  <c r="C134" i="4"/>
  <c r="C135" i="4" a="1"/>
  <c r="C140" i="5" a="1"/>
  <c r="C135" i="4" l="1"/>
  <c r="C140" i="5"/>
  <c r="C141" i="5" a="1"/>
  <c r="C136" i="4" a="1"/>
  <c r="C141" i="5" l="1"/>
  <c r="C136" i="4"/>
  <c r="C137" i="4" a="1"/>
  <c r="C142" i="5" a="1"/>
  <c r="C137" i="4" l="1"/>
  <c r="C142" i="5"/>
  <c r="C143" i="5" a="1"/>
  <c r="C138" i="4" a="1"/>
  <c r="C143" i="5" l="1"/>
  <c r="C138" i="4"/>
  <c r="C139" i="4" a="1"/>
  <c r="C144" i="5" a="1"/>
  <c r="C139" i="4" l="1"/>
  <c r="C144" i="5"/>
  <c r="C140" i="4" a="1"/>
  <c r="C145" i="5" a="1"/>
  <c r="C145" i="5" l="1"/>
  <c r="C140" i="4"/>
  <c r="C141" i="4" a="1"/>
  <c r="C146" i="5" a="1"/>
  <c r="C141" i="4" l="1"/>
  <c r="C146" i="5"/>
  <c r="C142" i="4" a="1"/>
  <c r="C147" i="5" a="1"/>
  <c r="C147" i="5" l="1"/>
  <c r="C142" i="4"/>
  <c r="C143" i="4" a="1"/>
  <c r="C148" i="5" a="1"/>
  <c r="C143" i="4" l="1"/>
  <c r="C148" i="5"/>
  <c r="C144" i="4" a="1"/>
  <c r="C149" i="5" a="1"/>
  <c r="C149" i="5" l="1"/>
  <c r="C144" i="4"/>
  <c r="C145" i="4" a="1"/>
  <c r="C150" i="5" a="1"/>
  <c r="C145" i="4" l="1"/>
  <c r="C150" i="5"/>
  <c r="C151" i="5" a="1"/>
  <c r="C146" i="4" a="1"/>
  <c r="C151" i="5" l="1"/>
  <c r="C146" i="4"/>
  <c r="C152" i="5" a="1"/>
  <c r="C147" i="4" a="1"/>
  <c r="C147" i="4" l="1"/>
  <c r="C152" i="5"/>
  <c r="C148" i="4" a="1"/>
  <c r="C153" i="5" a="1"/>
  <c r="C153" i="5" l="1"/>
  <c r="C148" i="4"/>
  <c r="C154" i="5" a="1"/>
  <c r="C149" i="4" a="1"/>
  <c r="C149" i="4" l="1"/>
  <c r="C154" i="5"/>
  <c r="C155" i="5" a="1"/>
  <c r="C150" i="4" a="1"/>
  <c r="C155" i="5" l="1"/>
  <c r="C150" i="4"/>
  <c r="C151" i="4" a="1"/>
  <c r="C156" i="5" a="1"/>
  <c r="C151" i="4" l="1"/>
  <c r="C156" i="5"/>
  <c r="C152" i="4" a="1"/>
  <c r="C157" i="5" a="1"/>
  <c r="C157" i="5" l="1"/>
  <c r="C152" i="4"/>
  <c r="C158" i="5" a="1"/>
  <c r="C153" i="4" a="1"/>
  <c r="C153" i="4" l="1"/>
  <c r="C158" i="5"/>
  <c r="C159" i="5" a="1"/>
  <c r="C154" i="4" a="1"/>
  <c r="C159" i="5" l="1"/>
  <c r="C154" i="4"/>
  <c r="C155" i="4" a="1"/>
  <c r="C160" i="5" a="1"/>
  <c r="C155" i="4" l="1"/>
  <c r="C160" i="5"/>
  <c r="C156" i="4" a="1"/>
  <c r="C161" i="5" a="1"/>
  <c r="C161" i="5" l="1"/>
  <c r="C156" i="4"/>
  <c r="C157" i="4" a="1"/>
  <c r="C162" i="5" a="1"/>
  <c r="C157" i="4" l="1"/>
  <c r="C162" i="5"/>
  <c r="C163" i="5" a="1"/>
  <c r="C158" i="4" a="1"/>
  <c r="C163" i="5" l="1"/>
  <c r="C158" i="4"/>
  <c r="C159" i="4" a="1"/>
  <c r="C164" i="5" a="1"/>
  <c r="C159" i="4" l="1"/>
  <c r="C164" i="5"/>
  <c r="C160" i="4" a="1"/>
  <c r="C165" i="5" a="1"/>
  <c r="C165" i="5" l="1"/>
  <c r="C160" i="4"/>
  <c r="C161" i="4" a="1"/>
  <c r="C166" i="5" a="1"/>
  <c r="C161" i="4" l="1"/>
  <c r="C166" i="5"/>
  <c r="C162" i="4" a="1"/>
  <c r="C167" i="5" a="1"/>
  <c r="C167" i="5" l="1"/>
  <c r="C162" i="4"/>
  <c r="C163" i="4" a="1"/>
  <c r="C168" i="5" a="1"/>
  <c r="C163" i="4" l="1"/>
  <c r="C168" i="5"/>
  <c r="C164" i="4" a="1"/>
  <c r="C169" i="5" a="1"/>
  <c r="C169" i="5" l="1"/>
  <c r="C164" i="4"/>
  <c r="C165" i="4" a="1"/>
  <c r="C170" i="5" a="1"/>
  <c r="C165" i="4" l="1"/>
  <c r="C170" i="5"/>
  <c r="C171" i="5" a="1"/>
  <c r="C166" i="4" a="1"/>
  <c r="C171" i="5" l="1"/>
  <c r="C166" i="4"/>
  <c r="C172" i="5" a="1"/>
  <c r="C167" i="4" a="1"/>
  <c r="C167" i="4" l="1"/>
  <c r="C172" i="5"/>
  <c r="C168" i="4" a="1"/>
  <c r="C173" i="5" a="1"/>
  <c r="C173" i="5" l="1"/>
  <c r="C168" i="4"/>
  <c r="C169" i="4" a="1"/>
  <c r="C174" i="5" a="1"/>
  <c r="C169" i="4" l="1"/>
  <c r="C174" i="5"/>
  <c r="C175" i="5" a="1"/>
  <c r="C170" i="4" a="1"/>
  <c r="C175" i="5" l="1"/>
  <c r="C170" i="4"/>
  <c r="C171" i="4" a="1"/>
  <c r="C176" i="5" a="1"/>
  <c r="C171" i="4" l="1"/>
  <c r="C176" i="5"/>
  <c r="C177" i="5" a="1"/>
  <c r="C172" i="4" a="1"/>
  <c r="C177" i="5" l="1"/>
  <c r="C172" i="4"/>
  <c r="C173" i="4" a="1"/>
  <c r="C178" i="5" a="1"/>
  <c r="C173" i="4" l="1"/>
  <c r="C178" i="5"/>
  <c r="C179" i="5" a="1"/>
  <c r="C174" i="4" a="1"/>
  <c r="C179" i="5" l="1"/>
  <c r="C174" i="4"/>
  <c r="C175" i="4" a="1"/>
  <c r="C180" i="5" a="1"/>
  <c r="C175" i="4" l="1"/>
  <c r="C180" i="5"/>
  <c r="C181" i="5" a="1"/>
  <c r="C176" i="4" a="1"/>
  <c r="C181" i="5" l="1"/>
  <c r="C176" i="4"/>
  <c r="C177" i="4" a="1"/>
  <c r="C182" i="5" a="1"/>
  <c r="C177" i="4" l="1"/>
  <c r="C182" i="5"/>
  <c r="C183" i="5" a="1"/>
  <c r="C178" i="4" a="1"/>
  <c r="C183" i="5" l="1"/>
  <c r="C178" i="4"/>
  <c r="C184" i="5" a="1"/>
  <c r="C179" i="4" a="1"/>
  <c r="C179" i="4" l="1"/>
  <c r="C184" i="5"/>
  <c r="C180" i="4" a="1"/>
  <c r="C185" i="5" a="1"/>
  <c r="C185" i="5" l="1"/>
  <c r="C180" i="4"/>
  <c r="C186" i="5" a="1"/>
  <c r="C181" i="4" a="1"/>
  <c r="C181" i="4" l="1"/>
  <c r="C186" i="5"/>
  <c r="C187" i="5" a="1"/>
  <c r="C182" i="4" a="1"/>
  <c r="C187" i="5" l="1"/>
  <c r="C182" i="4"/>
  <c r="C183" i="4" a="1"/>
  <c r="C188" i="5" a="1"/>
  <c r="C183" i="4" l="1"/>
  <c r="C188" i="5"/>
  <c r="C184" i="4" a="1"/>
  <c r="C189" i="5" a="1"/>
  <c r="C189" i="5" l="1"/>
  <c r="C184" i="4"/>
  <c r="C190" i="5" a="1"/>
  <c r="C185" i="4" a="1"/>
  <c r="C185" i="4" l="1"/>
  <c r="C190" i="5"/>
  <c r="C186" i="4" a="1"/>
  <c r="C191" i="5" a="1"/>
  <c r="C191" i="5" l="1"/>
  <c r="C186" i="4"/>
  <c r="C192" i="5" a="1"/>
  <c r="C187" i="4" a="1"/>
  <c r="C187" i="4" l="1"/>
  <c r="C192" i="5"/>
  <c r="C193" i="5" a="1"/>
  <c r="C188" i="4" a="1"/>
  <c r="C193" i="5" l="1"/>
  <c r="C188" i="4"/>
  <c r="C189" i="4" a="1"/>
  <c r="C194" i="5" a="1"/>
  <c r="C189" i="4" l="1"/>
  <c r="C194" i="5"/>
  <c r="C190" i="4" a="1"/>
  <c r="C195" i="5" a="1"/>
  <c r="C195" i="5" l="1"/>
  <c r="C190" i="4"/>
  <c r="C191" i="4" a="1"/>
  <c r="C196" i="5" a="1"/>
  <c r="C191" i="4" l="1"/>
  <c r="C196" i="5"/>
  <c r="C192" i="4" a="1"/>
  <c r="C197" i="5" a="1"/>
  <c r="C192" i="4" l="1"/>
  <c r="C197" i="5"/>
  <c r="C193" i="4" a="1"/>
  <c r="C198" i="5" a="1"/>
  <c r="C198" i="5" l="1"/>
  <c r="C193" i="4"/>
  <c r="C194" i="4" a="1"/>
  <c r="C199" i="5" a="1"/>
  <c r="C194" i="4" l="1"/>
  <c r="C199" i="5"/>
  <c r="C200" i="5" a="1"/>
  <c r="C195" i="4" a="1"/>
  <c r="C195" i="4" l="1"/>
  <c r="C200" i="5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<sst xmlns="http://schemas.openxmlformats.org/spreadsheetml/2006/main" count="1336" uniqueCount="449">
  <si>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</si>
  <si>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</si>
  <si>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</si>
  <si>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</si>
  <si>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</si>
  <si>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</si>
  <si>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</si>
  <si>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</si>
  <si>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</si>
  <si>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</si>
  <si>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</si>
  <si>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</si>
  <si>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</si>
  <si>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</si>
  <si>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</si>
  <si>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</si>
  <si>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</si>
  <si>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</si>
  <si>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</si>
  <si>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</si>
  <si>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</si>
  <si>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</si>
  <si>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</si>
  <si>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</si>
  <si>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</si>
  <si>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</si>
  <si>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</si>
  <si>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</si>
  <si>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</si>
  <si>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</si>
  <si>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</si>
  <si>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</si>
  <si>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</si>
  <si>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</si>
  <si>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</si>
  <si>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</si>
  <si>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</si>
  <si>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</si>
  <si>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</si>
  <si>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</si>
  <si>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</si>
  <si>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</si>
  <si>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</si>
  <si>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</si>
  <si>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</si>
  <si>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</si>
  <si>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</si>
  <si>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</si>
  <si>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</si>
  <si>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</si>
  <si>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</si>
  <si>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</si>
  <si>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</si>
  <si>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</si>
  <si>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</si>
  <si>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</si>
  <si>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</si>
  <si>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</si>
  <si>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</si>
  <si>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</si>
  <si>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</si>
  <si>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</si>
  <si>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</si>
  <si>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</si>
  <si>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</si>
  <si>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</si>
  <si>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</si>
  <si>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</si>
  <si>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</si>
  <si>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</si>
  <si>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</si>
  <si>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</si>
  <si>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</si>
  <si>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</si>
  <si>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</si>
  <si>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</si>
  <si>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</si>
  <si>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</si>
  <si>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</si>
  <si>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</si>
  <si>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</si>
  <si>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</si>
  <si>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</si>
  <si>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</si>
  <si>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</si>
  <si>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</si>
  <si>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</si>
  <si>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</si>
  <si>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</si>
  <si>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</si>
  <si>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</si>
  <si>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</si>
  <si>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</si>
  <si>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</si>
  <si>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</si>
  <si>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</si>
  <si>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</si>
  <si>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</si>
  <si>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</si>
  <si>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</si>
  <si>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</si>
  <si>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</si>
  <si>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</si>
  <si>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</si>
  <si>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</si>
  <si>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</si>
  <si>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</si>
  <si>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</si>
  <si>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</si>
  <si>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</si>
  <si>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</si>
  <si>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</si>
  <si>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</si>
  <si>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</si>
  <si>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</si>
  <si>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</si>
  <si>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</si>
  <si>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</si>
  <si>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</si>
  <si>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</si>
  <si>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</si>
  <si>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</si>
  <si>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</si>
  <si>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</si>
  <si>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</si>
  <si>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</si>
  <si>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</si>
  <si>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</si>
  <si>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</si>
  <si>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</si>
  <si>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</si>
  <si>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</si>
  <si>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</si>
  <si>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</si>
  <si>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</si>
  <si>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</si>
  <si>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</si>
  <si>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</si>
  <si>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</si>
  <si>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</si>
  <si>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</si>
  <si>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</si>
  <si>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</si>
  <si>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</si>
  <si>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</si>
  <si>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</si>
  <si>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</si>
  <si>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</si>
  <si>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</si>
  <si>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</si>
  <si>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</si>
  <si>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</si>
  <si>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</si>
  <si>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</si>
  <si>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</si>
  <si>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</si>
  <si>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</si>
  <si>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</si>
  <si>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</si>
  <si>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</si>
  <si>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</si>
  <si>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</si>
  <si>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</si>
  <si>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</si>
  <si>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</si>
  <si>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</si>
  <si>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</si>
  <si>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</si>
  <si>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</si>
  <si>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</si>
  <si>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</si>
  <si>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</si>
  <si>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</si>
  <si>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</si>
  <si>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</si>
  <si>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</si>
  <si>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</si>
  <si>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</si>
  <si>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</si>
  <si>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</si>
  <si>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</si>
  <si>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</si>
  <si>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</si>
  <si>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</si>
  <si>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</si>
  <si>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</si>
  <si>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</si>
  <si>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</si>
  <si>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</si>
  <si>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</si>
  <si>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</si>
  <si>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</si>
  <si>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</si>
  <si>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</si>
  <si>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</si>
  <si>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</si>
  <si>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</si>
  <si>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</si>
  <si>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</si>
  <si>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</si>
  <si>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</si>
  <si>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</si>
  <si>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</si>
  <si>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</si>
  <si>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</si>
  <si>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</si>
  <si>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</si>
  <si>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</si>
  <si>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</si>
  <si>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</si>
  <si>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</si>
  <si>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</si>
  <si>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</si>
  <si>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</si>
  <si>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</si>
  <si>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</si>
  <si>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</si>
  <si>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</si>
  <si>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</si>
  <si>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</si>
  <si>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</si>
  <si>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</si>
  <si>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</si>
  <si>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</si>
  <si>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</si>
  <si>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</si>
  <si>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</si>
  <si>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</si>
  <si>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</si>
  <si>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</si>
  <si>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</si>
  <si>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</si>
  <si>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</si>
  <si>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</si>
  <si>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</si>
  <si>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</si>
  <si>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</si>
  <si>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</si>
  <si>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</si>
  <si>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</si>
  <si>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</si>
  <si>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</si>
  <si>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</si>
  <si>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</si>
  <si>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</si>
  <si>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</si>
  <si>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</si>
  <si>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</si>
  <si>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</si>
  <si>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</si>
  <si>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</si>
  <si>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</si>
  <si>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</si>
  <si>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</si>
  <si>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</si>
  <si>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</si>
  <si>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</si>
  <si>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</si>
  <si>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</si>
  <si>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</si>
  <si>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</si>
  <si>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</si>
  <si>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</si>
  <si>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</si>
  <si>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</si>
  <si>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</si>
  <si>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</si>
  <si>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</si>
  <si>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</si>
  <si>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</si>
  <si>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</si>
  <si>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</si>
  <si>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</si>
  <si>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</si>
  <si>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</si>
  <si>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</si>
  <si>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</si>
  <si>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</si>
  <si>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</si>
  <si>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</si>
  <si>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</si>
  <si>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</si>
  <si>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</si>
  <si>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</si>
  <si>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</si>
  <si>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</si>
  <si>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</si>
  <si>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</si>
  <si>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</si>
  <si>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</si>
  <si>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</si>
  <si>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</si>
  <si>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</si>
  <si>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</si>
  <si>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</si>
  <si>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</si>
  <si>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</si>
  <si>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</si>
  <si>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</si>
  <si>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</si>
  <si>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</si>
  <si>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</si>
  <si>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</si>
  <si>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</si>
  <si>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</si>
  <si>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</si>
  <si>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</si>
  <si>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</si>
  <si>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</si>
  <si>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</si>
  <si>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</si>
  <si>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</si>
  <si>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</si>
  <si>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</si>
  <si>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</si>
  <si>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</si>
  <si>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</si>
  <si>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</si>
  <si>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</si>
  <si>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</si>
  <si>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</si>
  <si>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</si>
  <si>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</si>
  <si>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</si>
  <si>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</si>
  <si>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</si>
  <si>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</si>
  <si>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</si>
  <si>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</si>
  <si>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</si>
  <si>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</si>
  <si>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</si>
  <si>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</si>
  <si>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</si>
  <si>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</si>
  <si>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</si>
  <si>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</si>
  <si>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</si>
  <si>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</si>
  <si>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</si>
  <si>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</si>
  <si>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</si>
  <si>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</si>
  <si>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</si>
  <si>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</si>
  <si>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</si>
  <si>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</si>
  <si>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</si>
  <si>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</si>
  <si>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</si>
  <si>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</si>
  <si>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</si>
  <si>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</si>
  <si>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</si>
  <si>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</si>
  <si>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</si>
  <si>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</si>
  <si>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</si>
  <si>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</si>
  <si>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</si>
  <si>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</si>
  <si>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</si>
  <si>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</si>
  <si>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</si>
  <si>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</si>
  <si>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</si>
  <si>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</si>
  <si>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</si>
  <si>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</si>
  <si>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</si>
  <si>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</si>
  <si>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</si>
  <si>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</si>
  <si>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</si>
  <si>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</si>
  <si>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</si>
  <si>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</si>
  <si>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</si>
  <si>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</si>
  <si>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</si>
  <si>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</si>
  <si>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</si>
  <si>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</si>
  <si>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</si>
  <si>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</si>
  <si>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</si>
  <si>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</si>
  <si>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</si>
  <si>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</si>
  <si>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</si>
  <si>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</si>
  <si>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</si>
  <si>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</si>
  <si>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</si>
  <si>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</si>
  <si>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</si>
  <si>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</si>
  <si>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</si>
  <si>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</si>
  <si>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</si>
  <si>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</si>
  <si>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</si>
  <si>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</si>
  <si>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</si>
  <si>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</si>
  <si>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</si>
  <si>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</si>
  <si>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</si>
  <si>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</si>
  <si>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</si>
  <si>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</si>
  <si>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</si>
  <si>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</si>
  <si>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</si>
  <si>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</si>
  <si>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</si>
  <si>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</si>
  <si>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</si>
  <si>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</si>
  <si>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</si>
  <si>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</si>
  <si>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</si>
  <si>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</si>
  <si>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</si>
  <si>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</si>
  <si>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</si>
  <si>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</si>
  <si>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</si>
  <si>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</si>
  <si>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</si>
  <si>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</si>
  <si>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</si>
  <si>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</si>
  <si>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</si>
  <si>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</si>
  <si>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</si>
  <si>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</si>
  <si>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</si>
  <si>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</si>
  <si>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</si>
  <si>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</si>
  <si>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</si>
  <si>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</si>
  <si>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</si>
  <si>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</si>
  <si>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</si>
  <si>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山形市</t>
  </si>
  <si>
    <t>鶴岡市</t>
  </si>
  <si>
    <t>鶴岡市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</si>
</sst>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zoomScale="70" zoomScaleNormal="70" workbookViewId="0">
      <pane ySplit="3" topLeftCell="A31" activePane="bottomLeft" state="frozen"/>
      <selection activeCell="E20" sqref="E20"/>
      <selection pane="bottomLeft" activeCell="S43" sqref="S43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99999877001</v>
      </c>
      <c r="G10" s="29">
        <f t="shared" si="2"/>
        <v>99999877001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鶴岡市</v>
      </c>
      <c r="K10" s="31" t="str">
        <f t="shared" si="6"/>
        <v>99999877001介護施設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99999877001</v>
      </c>
      <c r="N10">
        <f>IF(L10&lt;&gt;"○",M10,INDEX(G$4:G9,MATCH(L10&amp;M10,F$4:F9,0)))</f>
        <v>99999877001</v>
      </c>
      <c r="O10" t="str">
        <f t="shared" si="8"/>
        <v>介護施設</v>
      </c>
      <c r="Q10" s="4">
        <v>44918</v>
      </c>
      <c r="S10" t="str">
        <f>$O$1&amp;
877&amp;
REPT("0",3-LEN(ROW($S1)))&amp;ROW($S1)</f>
        <v>99999877001</v>
      </c>
      <c r="T10" t="s">
        <v>50</v>
      </c>
      <c r="U10" t="s">
        <v>50</v>
      </c>
      <c r="V10" t="s">
        <v>448</v>
      </c>
      <c r="AB10" t="str">
        <f>$S$10&amp;"介護施設"</f>
        <v>99999877001介護施設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99999877002</v>
      </c>
      <c r="G11" s="29">
        <f t="shared" si="2"/>
        <v>99999877002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鶴岡市</v>
      </c>
      <c r="K11" s="31" t="str">
        <f t="shared" si="6"/>
        <v>99999877001関連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99999877001</v>
      </c>
      <c r="N11">
        <f>IF(L11&lt;&gt;"○",M11,INDEX(G$4:G10,MATCH(L11&amp;M11,F$4:F10,0)))</f>
        <v>99999877001</v>
      </c>
      <c r="O11" t="str">
        <f t="shared" si="8"/>
        <v>関連</v>
      </c>
      <c r="Q11" s="4">
        <v>44918</v>
      </c>
      <c r="S11" t="str">
        <f t="shared" ref="S11:S30" si="9">$O$1&amp;
877&amp;
REPT("0",3-LEN(ROW($S2)))&amp;ROW($S2)</f>
        <v>99999877002</v>
      </c>
      <c r="T11" t="s">
        <v>50</v>
      </c>
      <c r="U11" t="s">
        <v>50</v>
      </c>
      <c r="V11" t="s">
        <v>448</v>
      </c>
      <c r="AB11" t="str">
        <f>$S$10&amp;"関連"</f>
        <v>99999877001関連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99999877003</v>
      </c>
      <c r="G12" s="29">
        <f t="shared" si="2"/>
        <v>99999877003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鶴岡市</v>
      </c>
      <c r="K12" s="31" t="str">
        <f t="shared" si="6"/>
        <v>99999877001関連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99999877001</v>
      </c>
      <c r="N12">
        <f>IF(L12&lt;&gt;"○",M12,INDEX(G$4:G11,MATCH(L12&amp;M12,F$4:F11,0)))</f>
        <v>99999877001</v>
      </c>
      <c r="O12" t="str">
        <f t="shared" si="8"/>
        <v>関連</v>
      </c>
      <c r="Q12" s="4">
        <v>44918</v>
      </c>
      <c r="S12" t="str">
        <f t="shared" si="9"/>
        <v>99999877003</v>
      </c>
      <c r="T12" t="s">
        <v>50</v>
      </c>
      <c r="U12" t="s">
        <v>50</v>
      </c>
      <c r="V12" t="s">
        <v>448</v>
      </c>
      <c r="AB12" t="str">
        <f t="shared" ref="AB12:AB30" si="10">$S$10&amp;"関連"</f>
        <v>99999877001関連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99999877004</v>
      </c>
      <c r="G13" s="29">
        <f t="shared" si="2"/>
        <v>99999877004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鶴岡市</v>
      </c>
      <c r="K13" s="31" t="str">
        <f t="shared" si="6"/>
        <v>99999877001関連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99999877001</v>
      </c>
      <c r="N13">
        <f>IF(L13&lt;&gt;"○",M13,INDEX(G$4:G12,MATCH(L13&amp;M13,F$4:F12,0)))</f>
        <v>99999877001</v>
      </c>
      <c r="O13" t="str">
        <f t="shared" si="8"/>
        <v>関連</v>
      </c>
      <c r="Q13" s="4">
        <v>44918</v>
      </c>
      <c r="S13" t="str">
        <f t="shared" si="9"/>
        <v>99999877004</v>
      </c>
      <c r="T13" t="s">
        <v>50</v>
      </c>
      <c r="U13" t="s">
        <v>50</v>
      </c>
      <c r="V13" t="s">
        <v>448</v>
      </c>
      <c r="AB13" t="str">
        <f t="shared" si="10"/>
        <v>99999877001関連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99999877005</v>
      </c>
      <c r="G14" s="29">
        <f t="shared" si="2"/>
        <v>99999877005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鶴岡市</v>
      </c>
      <c r="K14" s="31" t="str">
        <f t="shared" si="6"/>
        <v>99999877001関連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99999877001</v>
      </c>
      <c r="N14">
        <f>IF(L14&lt;&gt;"○",M14,INDEX(G$4:G13,MATCH(L14&amp;M14,F$4:F13,0)))</f>
        <v>99999877001</v>
      </c>
      <c r="O14" t="str">
        <f t="shared" si="8"/>
        <v>関連</v>
      </c>
      <c r="Q14" s="4">
        <v>44918</v>
      </c>
      <c r="S14" t="str">
        <f t="shared" si="9"/>
        <v>99999877005</v>
      </c>
      <c r="T14" t="s">
        <v>50</v>
      </c>
      <c r="U14" t="s">
        <v>50</v>
      </c>
      <c r="V14" t="s">
        <v>448</v>
      </c>
      <c r="AB14" t="str">
        <f t="shared" si="10"/>
        <v>99999877001関連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99999877006</v>
      </c>
      <c r="G15" s="29">
        <f t="shared" si="2"/>
        <v>99999877006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鶴岡市</v>
      </c>
      <c r="K15" s="31" t="str">
        <f t="shared" si="6"/>
        <v>99999877001関連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99999877001</v>
      </c>
      <c r="N15">
        <f>IF(L15&lt;&gt;"○",M15,INDEX(G$4:G14,MATCH(L15&amp;M15,F$4:F14,0)))</f>
        <v>99999877001</v>
      </c>
      <c r="O15" t="str">
        <f t="shared" si="8"/>
        <v>関連</v>
      </c>
      <c r="Q15" s="4">
        <v>44918</v>
      </c>
      <c r="S15" t="str">
        <f t="shared" si="9"/>
        <v>99999877006</v>
      </c>
      <c r="T15" t="s">
        <v>50</v>
      </c>
      <c r="U15" t="s">
        <v>50</v>
      </c>
      <c r="V15" t="s">
        <v>448</v>
      </c>
      <c r="AB15" t="str">
        <f t="shared" si="10"/>
        <v>99999877001関連</v>
      </c>
    </row>
    <row r="16" spans="2:38" x14ac:dyDescent="0.4">
      <c r="B16" t="s">
        <v>21</v>
      </c>
      <c r="C16">
        <f>IF(G16="","",MAX(C$4:C15)+1)</f>
        <v>7</v>
      </c>
      <c r="D16">
        <f>IF(AND(N16=""),"",MAX(D$4:D15)+1)</f>
        <v>7</v>
      </c>
      <c r="F16" s="26" t="str">
        <f t="shared" si="1"/>
        <v>99999877007</v>
      </c>
      <c r="G16" s="29">
        <f t="shared" si="2"/>
        <v>99999877007</v>
      </c>
      <c r="H16" s="20" t="str">
        <f t="shared" si="3"/>
        <v>-</v>
      </c>
      <c r="I16" s="20" t="str">
        <f t="shared" si="4"/>
        <v>ー</v>
      </c>
      <c r="J16" s="20" t="str">
        <f t="shared" si="5"/>
        <v>鶴岡市</v>
      </c>
      <c r="K16" s="31" t="str">
        <f t="shared" si="6"/>
        <v>99999877001関連</v>
      </c>
      <c r="L16" s="23" t="str">
        <f t="shared" si="7"/>
        <v/>
      </c>
      <c r="M16" cm="1">
        <f t="array" ref="M16">IF(COUNT(INDEX(FIND(ROW($1:$10)-1,K16),)),VALUE(MID(K16,MIN(SEARCH({1,2,3,4,5,6,7,8,9,0},K16&amp;1234567890)),LEN(K16)-(LENB(K16)-LEN(K16)))),"")</f>
        <v>99999877001</v>
      </c>
      <c r="N16">
        <f>IF(L16&lt;&gt;"○",M16,INDEX(G$4:G15,MATCH(L16&amp;M16,F$4:F15,0)))</f>
        <v>99999877001</v>
      </c>
      <c r="O16" t="str">
        <f t="shared" si="8"/>
        <v>関連</v>
      </c>
      <c r="Q16" s="4">
        <v>44918</v>
      </c>
      <c r="S16" t="str">
        <f t="shared" si="9"/>
        <v>99999877007</v>
      </c>
      <c r="T16" t="s">
        <v>50</v>
      </c>
      <c r="U16" t="s">
        <v>50</v>
      </c>
      <c r="V16" t="s">
        <v>448</v>
      </c>
      <c r="AB16" t="str">
        <f t="shared" si="10"/>
        <v>99999877001関連</v>
      </c>
    </row>
    <row r="17" spans="2:28" x14ac:dyDescent="0.4">
      <c r="B17" t="s">
        <v>21</v>
      </c>
      <c r="C17">
        <f>IF(G17="","",MAX(C$4:C16)+1)</f>
        <v>8</v>
      </c>
      <c r="D17">
        <f>IF(AND(N17=""),"",MAX(D$4:D16)+1)</f>
        <v>8</v>
      </c>
      <c r="F17" s="26" t="str">
        <f t="shared" si="1"/>
        <v>99999877008</v>
      </c>
      <c r="G17" s="29">
        <f t="shared" si="2"/>
        <v>99999877008</v>
      </c>
      <c r="H17" s="20" t="str">
        <f t="shared" si="3"/>
        <v>-</v>
      </c>
      <c r="I17" s="20" t="str">
        <f t="shared" si="4"/>
        <v>ー</v>
      </c>
      <c r="J17" s="20" t="str">
        <f t="shared" si="5"/>
        <v>鶴岡市</v>
      </c>
      <c r="K17" s="31" t="str">
        <f t="shared" si="6"/>
        <v>99999877001関連</v>
      </c>
      <c r="L17" s="23" t="str">
        <f t="shared" si="7"/>
        <v/>
      </c>
      <c r="M17" cm="1">
        <f t="array" ref="M17">IF(COUNT(INDEX(FIND(ROW($1:$10)-1,K17),)),VALUE(MID(K17,MIN(SEARCH({1,2,3,4,5,6,7,8,9,0},K17&amp;1234567890)),LEN(K17)-(LENB(K17)-LEN(K17)))),"")</f>
        <v>99999877001</v>
      </c>
      <c r="N17">
        <f>IF(L17&lt;&gt;"○",M17,INDEX(G$4:G16,MATCH(L17&amp;M17,F$4:F16,0)))</f>
        <v>99999877001</v>
      </c>
      <c r="O17" t="str">
        <f t="shared" si="8"/>
        <v>関連</v>
      </c>
      <c r="Q17" s="4">
        <v>44918</v>
      </c>
      <c r="S17" t="str">
        <f t="shared" si="9"/>
        <v>99999877008</v>
      </c>
      <c r="T17" t="s">
        <v>50</v>
      </c>
      <c r="U17" t="s">
        <v>50</v>
      </c>
      <c r="V17" t="s">
        <v>448</v>
      </c>
      <c r="AB17" t="str">
        <f t="shared" si="10"/>
        <v>99999877001関連</v>
      </c>
    </row>
    <row r="18" spans="2:28" x14ac:dyDescent="0.4">
      <c r="B18" t="s">
        <v>21</v>
      </c>
      <c r="C18">
        <f>IF(G18="","",MAX(C$4:C17)+1)</f>
        <v>9</v>
      </c>
      <c r="D18">
        <f>IF(AND(N18=""),"",MAX(D$4:D17)+1)</f>
        <v>9</v>
      </c>
      <c r="F18" s="26" t="str">
        <f t="shared" si="1"/>
        <v>99999877009</v>
      </c>
      <c r="G18" s="29">
        <f t="shared" si="2"/>
        <v>99999877009</v>
      </c>
      <c r="H18" s="20" t="str">
        <f t="shared" si="3"/>
        <v>-</v>
      </c>
      <c r="I18" s="20" t="str">
        <f t="shared" si="4"/>
        <v>ー</v>
      </c>
      <c r="J18" s="20" t="str">
        <f t="shared" si="5"/>
        <v>鶴岡市</v>
      </c>
      <c r="K18" s="31" t="str">
        <f t="shared" si="6"/>
        <v>99999877001関連</v>
      </c>
      <c r="L18" s="23" t="str">
        <f t="shared" si="7"/>
        <v/>
      </c>
      <c r="M18" cm="1">
        <f t="array" ref="M18">IF(COUNT(INDEX(FIND(ROW($1:$10)-1,K18),)),VALUE(MID(K18,MIN(SEARCH({1,2,3,4,5,6,7,8,9,0},K18&amp;1234567890)),LEN(K18)-(LENB(K18)-LEN(K18)))),"")</f>
        <v>99999877001</v>
      </c>
      <c r="N18">
        <f>IF(L18&lt;&gt;"○",M18,INDEX(G$4:G17,MATCH(L18&amp;M18,F$4:F17,0)))</f>
        <v>99999877001</v>
      </c>
      <c r="O18" t="str">
        <f t="shared" si="8"/>
        <v>関連</v>
      </c>
      <c r="Q18" s="4">
        <v>44918</v>
      </c>
      <c r="S18" t="str">
        <f t="shared" si="9"/>
        <v>99999877009</v>
      </c>
      <c r="T18" t="s">
        <v>50</v>
      </c>
      <c r="U18" t="s">
        <v>50</v>
      </c>
      <c r="V18" t="s">
        <v>448</v>
      </c>
      <c r="AB18" t="str">
        <f t="shared" si="10"/>
        <v>99999877001関連</v>
      </c>
    </row>
    <row r="19" spans="2:28" x14ac:dyDescent="0.4">
      <c r="B19" t="s">
        <v>21</v>
      </c>
      <c r="C19">
        <f>IF(G19="","",MAX(C$4:C18)+1)</f>
        <v>10</v>
      </c>
      <c r="D19">
        <f>IF(AND(N19=""),"",MAX(D$4:D18)+1)</f>
        <v>10</v>
      </c>
      <c r="F19" s="26" t="str">
        <f t="shared" si="1"/>
        <v>99999877010</v>
      </c>
      <c r="G19" s="29">
        <f t="shared" si="2"/>
        <v>99999877010</v>
      </c>
      <c r="H19" s="20" t="str">
        <f t="shared" si="3"/>
        <v>-</v>
      </c>
      <c r="I19" s="20" t="str">
        <f t="shared" si="4"/>
        <v>ー</v>
      </c>
      <c r="J19" s="20" t="str">
        <f t="shared" si="5"/>
        <v>鶴岡市</v>
      </c>
      <c r="K19" s="31" t="str">
        <f t="shared" si="6"/>
        <v>99999877001関連</v>
      </c>
      <c r="L19" s="23" t="str">
        <f t="shared" si="7"/>
        <v/>
      </c>
      <c r="M19" cm="1">
        <f t="array" ref="M19">IF(COUNT(INDEX(FIND(ROW($1:$10)-1,K19),)),VALUE(MID(K19,MIN(SEARCH({1,2,3,4,5,6,7,8,9,0},K19&amp;1234567890)),LEN(K19)-(LENB(K19)-LEN(K19)))),"")</f>
        <v>99999877001</v>
      </c>
      <c r="N19">
        <f>IF(L19&lt;&gt;"○",M19,INDEX(G$4:G18,MATCH(L19&amp;M19,F$4:F18,0)))</f>
        <v>99999877001</v>
      </c>
      <c r="O19" t="str">
        <f t="shared" si="8"/>
        <v>関連</v>
      </c>
      <c r="Q19" s="4">
        <v>44918</v>
      </c>
      <c r="S19" t="str">
        <f t="shared" si="9"/>
        <v>99999877010</v>
      </c>
      <c r="T19" t="s">
        <v>50</v>
      </c>
      <c r="U19" t="s">
        <v>50</v>
      </c>
      <c r="V19" t="s">
        <v>448</v>
      </c>
      <c r="AB19" t="str">
        <f t="shared" si="10"/>
        <v>99999877001関連</v>
      </c>
    </row>
    <row r="20" spans="2:28" x14ac:dyDescent="0.4">
      <c r="B20" t="s">
        <v>21</v>
      </c>
      <c r="C20">
        <f>IF(G20="","",MAX(C$4:C19)+1)</f>
        <v>11</v>
      </c>
      <c r="D20">
        <f>IF(AND(N20=""),"",MAX(D$4:D19)+1)</f>
        <v>11</v>
      </c>
      <c r="F20" s="26" t="str">
        <f t="shared" si="1"/>
        <v>99999877011</v>
      </c>
      <c r="G20" s="29">
        <f t="shared" si="2"/>
        <v>99999877011</v>
      </c>
      <c r="H20" s="20" t="str">
        <f t="shared" si="3"/>
        <v>-</v>
      </c>
      <c r="I20" s="20" t="str">
        <f t="shared" si="4"/>
        <v>ー</v>
      </c>
      <c r="J20" s="20" t="str">
        <f t="shared" si="5"/>
        <v>鶴岡市</v>
      </c>
      <c r="K20" s="31" t="str">
        <f t="shared" si="6"/>
        <v>99999877001関連</v>
      </c>
      <c r="L20" s="23" t="str">
        <f t="shared" si="7"/>
        <v/>
      </c>
      <c r="M20" cm="1">
        <f t="array" ref="M20">IF(COUNT(INDEX(FIND(ROW($1:$10)-1,K20),)),VALUE(MID(K20,MIN(SEARCH({1,2,3,4,5,6,7,8,9,0},K20&amp;1234567890)),LEN(K20)-(LENB(K20)-LEN(K20)))),"")</f>
        <v>99999877001</v>
      </c>
      <c r="N20">
        <f>IF(L20&lt;&gt;"○",M20,INDEX(G$4:G19,MATCH(L20&amp;M20,F$4:F19,0)))</f>
        <v>99999877001</v>
      </c>
      <c r="O20" t="str">
        <f t="shared" si="8"/>
        <v>関連</v>
      </c>
      <c r="Q20" s="4">
        <v>44918</v>
      </c>
      <c r="S20" t="str">
        <f t="shared" si="9"/>
        <v>99999877011</v>
      </c>
      <c r="T20" t="s">
        <v>50</v>
      </c>
      <c r="U20" t="s">
        <v>50</v>
      </c>
      <c r="V20" t="s">
        <v>448</v>
      </c>
      <c r="AB20" t="str">
        <f t="shared" si="10"/>
        <v>99999877001関連</v>
      </c>
    </row>
    <row r="21" spans="2:28" x14ac:dyDescent="0.4">
      <c r="B21" t="s">
        <v>21</v>
      </c>
      <c r="C21">
        <f>IF(G21="","",MAX(C$4:C20)+1)</f>
        <v>12</v>
      </c>
      <c r="D21">
        <f>IF(AND(N21=""),"",MAX(D$4:D20)+1)</f>
        <v>12</v>
      </c>
      <c r="F21" s="26" t="str">
        <f t="shared" si="1"/>
        <v>99999877012</v>
      </c>
      <c r="G21" s="29">
        <f t="shared" si="2"/>
        <v>99999877012</v>
      </c>
      <c r="H21" s="20" t="str">
        <f t="shared" si="3"/>
        <v>-</v>
      </c>
      <c r="I21" s="20" t="str">
        <f t="shared" si="4"/>
        <v>ー</v>
      </c>
      <c r="J21" s="20" t="str">
        <f t="shared" si="5"/>
        <v>鶴岡市</v>
      </c>
      <c r="K21" s="31" t="str">
        <f t="shared" si="6"/>
        <v>99999877001関連</v>
      </c>
      <c r="L21" s="23" t="str">
        <f t="shared" si="7"/>
        <v/>
      </c>
      <c r="M21" cm="1">
        <f t="array" ref="M21">IF(COUNT(INDEX(FIND(ROW($1:$10)-1,K21),)),VALUE(MID(K21,MIN(SEARCH({1,2,3,4,5,6,7,8,9,0},K21&amp;1234567890)),LEN(K21)-(LENB(K21)-LEN(K21)))),"")</f>
        <v>99999877001</v>
      </c>
      <c r="N21">
        <f>IF(L21&lt;&gt;"○",M21,INDEX(G$4:G20,MATCH(L21&amp;M21,F$4:F20,0)))</f>
        <v>99999877001</v>
      </c>
      <c r="O21" t="str">
        <f t="shared" si="8"/>
        <v>関連</v>
      </c>
      <c r="Q21" s="4">
        <v>44918</v>
      </c>
      <c r="S21" t="str">
        <f t="shared" si="9"/>
        <v>99999877012</v>
      </c>
      <c r="T21" t="s">
        <v>50</v>
      </c>
      <c r="U21" t="s">
        <v>50</v>
      </c>
      <c r="V21" t="s">
        <v>448</v>
      </c>
      <c r="AB21" t="str">
        <f t="shared" si="10"/>
        <v>99999877001関連</v>
      </c>
    </row>
    <row r="22" spans="2:28" x14ac:dyDescent="0.4">
      <c r="B22" t="s">
        <v>21</v>
      </c>
      <c r="C22">
        <f>IF(G22="","",MAX(C$4:C21)+1)</f>
        <v>13</v>
      </c>
      <c r="D22">
        <f>IF(AND(N22=""),"",MAX(D$4:D21)+1)</f>
        <v>13</v>
      </c>
      <c r="F22" s="26" t="str">
        <f t="shared" si="1"/>
        <v>99999877013</v>
      </c>
      <c r="G22" s="29">
        <f t="shared" si="2"/>
        <v>99999877013</v>
      </c>
      <c r="H22" s="20" t="str">
        <f t="shared" si="3"/>
        <v>-</v>
      </c>
      <c r="I22" s="20" t="str">
        <f t="shared" si="4"/>
        <v>ー</v>
      </c>
      <c r="J22" s="20" t="str">
        <f t="shared" si="5"/>
        <v>鶴岡市</v>
      </c>
      <c r="K22" s="31" t="str">
        <f t="shared" si="6"/>
        <v>99999877001関連</v>
      </c>
      <c r="L22" s="23" t="str">
        <f t="shared" si="7"/>
        <v/>
      </c>
      <c r="M22" cm="1">
        <f t="array" ref="M22">IF(COUNT(INDEX(FIND(ROW($1:$10)-1,K22),)),VALUE(MID(K22,MIN(SEARCH({1,2,3,4,5,6,7,8,9,0},K22&amp;1234567890)),LEN(K22)-(LENB(K22)-LEN(K22)))),"")</f>
        <v>99999877001</v>
      </c>
      <c r="N22">
        <f>IF(L22&lt;&gt;"○",M22,INDEX(G$4:G21,MATCH(L22&amp;M22,F$4:F21,0)))</f>
        <v>99999877001</v>
      </c>
      <c r="O22" t="str">
        <f t="shared" si="8"/>
        <v>関連</v>
      </c>
      <c r="Q22" s="4">
        <v>44918</v>
      </c>
      <c r="S22" t="str">
        <f t="shared" si="9"/>
        <v>99999877013</v>
      </c>
      <c r="T22" t="s">
        <v>50</v>
      </c>
      <c r="U22" t="s">
        <v>50</v>
      </c>
      <c r="V22" t="s">
        <v>448</v>
      </c>
      <c r="AB22" t="str">
        <f t="shared" si="10"/>
        <v>99999877001関連</v>
      </c>
    </row>
    <row r="23" spans="2:28" x14ac:dyDescent="0.4">
      <c r="B23" t="s">
        <v>21</v>
      </c>
      <c r="C23">
        <f>IF(G23="","",MAX(C$4:C22)+1)</f>
        <v>14</v>
      </c>
      <c r="D23">
        <f>IF(AND(N23=""),"",MAX(D$4:D22)+1)</f>
        <v>14</v>
      </c>
      <c r="F23" s="26" t="str">
        <f t="shared" si="1"/>
        <v>99999877014</v>
      </c>
      <c r="G23" s="29">
        <f t="shared" si="2"/>
        <v>99999877014</v>
      </c>
      <c r="H23" s="20" t="str">
        <f t="shared" si="3"/>
        <v>-</v>
      </c>
      <c r="I23" s="20" t="str">
        <f t="shared" si="4"/>
        <v>ー</v>
      </c>
      <c r="J23" s="20" t="str">
        <f t="shared" si="5"/>
        <v>鶴岡市</v>
      </c>
      <c r="K23" s="31" t="str">
        <f t="shared" si="6"/>
        <v>99999877001関連</v>
      </c>
      <c r="L23" s="23" t="str">
        <f t="shared" si="7"/>
        <v/>
      </c>
      <c r="M23" cm="1">
        <f t="array" ref="M23">IF(COUNT(INDEX(FIND(ROW($1:$10)-1,K23),)),VALUE(MID(K23,MIN(SEARCH({1,2,3,4,5,6,7,8,9,0},K23&amp;1234567890)),LEN(K23)-(LENB(K23)-LEN(K23)))),"")</f>
        <v>99999877001</v>
      </c>
      <c r="N23">
        <f>IF(L23&lt;&gt;"○",M23,INDEX(G$4:G22,MATCH(L23&amp;M23,F$4:F22,0)))</f>
        <v>99999877001</v>
      </c>
      <c r="O23" t="str">
        <f t="shared" si="8"/>
        <v>関連</v>
      </c>
      <c r="Q23" s="4">
        <v>44918</v>
      </c>
      <c r="S23" t="str">
        <f t="shared" si="9"/>
        <v>99999877014</v>
      </c>
      <c r="T23" t="s">
        <v>50</v>
      </c>
      <c r="U23" t="s">
        <v>50</v>
      </c>
      <c r="V23" t="s">
        <v>448</v>
      </c>
      <c r="AB23" t="str">
        <f t="shared" si="10"/>
        <v>99999877001関連</v>
      </c>
    </row>
    <row r="24" spans="2:28" x14ac:dyDescent="0.4">
      <c r="B24" t="s">
        <v>21</v>
      </c>
      <c r="C24">
        <f>IF(G24="","",MAX(C$4:C23)+1)</f>
        <v>15</v>
      </c>
      <c r="D24">
        <f>IF(AND(N24=""),"",MAX(D$4:D23)+1)</f>
        <v>15</v>
      </c>
      <c r="F24" s="26" t="str">
        <f t="shared" si="1"/>
        <v>99999877015</v>
      </c>
      <c r="G24" s="29">
        <f t="shared" si="2"/>
        <v>99999877015</v>
      </c>
      <c r="H24" s="20" t="str">
        <f t="shared" si="3"/>
        <v>-</v>
      </c>
      <c r="I24" s="20" t="str">
        <f t="shared" si="4"/>
        <v>ー</v>
      </c>
      <c r="J24" s="20" t="str">
        <f t="shared" si="5"/>
        <v>鶴岡市</v>
      </c>
      <c r="K24" s="31" t="str">
        <f t="shared" si="6"/>
        <v>99999877001関連</v>
      </c>
      <c r="L24" s="23" t="str">
        <f t="shared" si="7"/>
        <v/>
      </c>
      <c r="M24" cm="1">
        <f t="array" ref="M24">IF(COUNT(INDEX(FIND(ROW($1:$10)-1,K24),)),VALUE(MID(K24,MIN(SEARCH({1,2,3,4,5,6,7,8,9,0},K24&amp;1234567890)),LEN(K24)-(LENB(K24)-LEN(K24)))),"")</f>
        <v>99999877001</v>
      </c>
      <c r="N24">
        <f>IF(L24&lt;&gt;"○",M24,INDEX(G$4:G23,MATCH(L24&amp;M24,F$4:F23,0)))</f>
        <v>99999877001</v>
      </c>
      <c r="O24" t="str">
        <f t="shared" si="8"/>
        <v>関連</v>
      </c>
      <c r="Q24" s="4">
        <v>44918</v>
      </c>
      <c r="S24" t="str">
        <f t="shared" si="9"/>
        <v>99999877015</v>
      </c>
      <c r="T24" t="s">
        <v>50</v>
      </c>
      <c r="U24" t="s">
        <v>50</v>
      </c>
      <c r="V24" t="s">
        <v>448</v>
      </c>
      <c r="AB24" t="str">
        <f t="shared" si="10"/>
        <v>99999877001関連</v>
      </c>
    </row>
    <row r="25" spans="2:28" x14ac:dyDescent="0.4">
      <c r="B25" t="s">
        <v>21</v>
      </c>
      <c r="C25">
        <f>IF(G25="","",MAX(C$4:C24)+1)</f>
        <v>16</v>
      </c>
      <c r="D25">
        <f>IF(AND(N25=""),"",MAX(D$4:D24)+1)</f>
        <v>16</v>
      </c>
      <c r="F25" s="26" t="str">
        <f t="shared" si="1"/>
        <v>99999877016</v>
      </c>
      <c r="G25" s="29">
        <f t="shared" si="2"/>
        <v>99999877016</v>
      </c>
      <c r="H25" s="20" t="str">
        <f t="shared" si="3"/>
        <v>-</v>
      </c>
      <c r="I25" s="20" t="str">
        <f t="shared" si="4"/>
        <v>ー</v>
      </c>
      <c r="J25" s="20" t="str">
        <f t="shared" si="5"/>
        <v>鶴岡市</v>
      </c>
      <c r="K25" s="31" t="str">
        <f t="shared" si="6"/>
        <v>99999877001関連</v>
      </c>
      <c r="L25" s="23" t="str">
        <f t="shared" si="7"/>
        <v/>
      </c>
      <c r="M25" cm="1">
        <f t="array" ref="M25">IF(COUNT(INDEX(FIND(ROW($1:$10)-1,K25),)),VALUE(MID(K25,MIN(SEARCH({1,2,3,4,5,6,7,8,9,0},K25&amp;1234567890)),LEN(K25)-(LENB(K25)-LEN(K25)))),"")</f>
        <v>99999877001</v>
      </c>
      <c r="N25">
        <f>IF(L25&lt;&gt;"○",M25,INDEX(G$4:G24,MATCH(L25&amp;M25,F$4:F24,0)))</f>
        <v>99999877001</v>
      </c>
      <c r="O25" t="str">
        <f t="shared" si="8"/>
        <v>関連</v>
      </c>
      <c r="Q25" s="4">
        <v>44918</v>
      </c>
      <c r="S25" t="str">
        <f t="shared" si="9"/>
        <v>99999877016</v>
      </c>
      <c r="T25" t="s">
        <v>50</v>
      </c>
      <c r="U25" t="s">
        <v>50</v>
      </c>
      <c r="V25" t="s">
        <v>448</v>
      </c>
      <c r="AB25" t="str">
        <f t="shared" si="10"/>
        <v>99999877001関連</v>
      </c>
    </row>
    <row r="26" spans="2:28" x14ac:dyDescent="0.4">
      <c r="B26" t="s">
        <v>21</v>
      </c>
      <c r="C26">
        <f>IF(G26="","",MAX(C$4:C25)+1)</f>
        <v>17</v>
      </c>
      <c r="D26">
        <f>IF(AND(N26=""),"",MAX(D$4:D25)+1)</f>
        <v>17</v>
      </c>
      <c r="F26" s="26" t="str">
        <f t="shared" si="1"/>
        <v>99999877017</v>
      </c>
      <c r="G26" s="29">
        <f t="shared" si="2"/>
        <v>99999877017</v>
      </c>
      <c r="H26" s="20" t="str">
        <f t="shared" si="3"/>
        <v>-</v>
      </c>
      <c r="I26" s="20" t="str">
        <f t="shared" si="4"/>
        <v>ー</v>
      </c>
      <c r="J26" s="20" t="str">
        <f t="shared" si="5"/>
        <v>鶴岡市</v>
      </c>
      <c r="K26" s="31" t="str">
        <f t="shared" si="6"/>
        <v>99999877001関連</v>
      </c>
      <c r="L26" s="23" t="str">
        <f t="shared" si="7"/>
        <v/>
      </c>
      <c r="M26" cm="1">
        <f t="array" ref="M26">IF(COUNT(INDEX(FIND(ROW($1:$10)-1,K26),)),VALUE(MID(K26,MIN(SEARCH({1,2,3,4,5,6,7,8,9,0},K26&amp;1234567890)),LEN(K26)-(LENB(K26)-LEN(K26)))),"")</f>
        <v>99999877001</v>
      </c>
      <c r="N26">
        <f>IF(L26&lt;&gt;"○",M26,INDEX(G$4:G25,MATCH(L26&amp;M26,F$4:F25,0)))</f>
        <v>99999877001</v>
      </c>
      <c r="O26" t="str">
        <f t="shared" si="8"/>
        <v>関連</v>
      </c>
      <c r="Q26" s="4">
        <v>44918</v>
      </c>
      <c r="S26" t="str">
        <f t="shared" si="9"/>
        <v>99999877017</v>
      </c>
      <c r="T26" t="s">
        <v>50</v>
      </c>
      <c r="U26" t="s">
        <v>50</v>
      </c>
      <c r="V26" t="s">
        <v>448</v>
      </c>
      <c r="AB26" t="str">
        <f t="shared" si="10"/>
        <v>99999877001関連</v>
      </c>
    </row>
    <row r="27" spans="2:28" x14ac:dyDescent="0.4">
      <c r="B27" t="s">
        <v>21</v>
      </c>
      <c r="C27">
        <f>IF(G27="","",MAX(C$4:C26)+1)</f>
        <v>18</v>
      </c>
      <c r="D27">
        <f>IF(AND(N27=""),"",MAX(D$4:D26)+1)</f>
        <v>18</v>
      </c>
      <c r="F27" s="26" t="str">
        <f t="shared" si="1"/>
        <v>99999877018</v>
      </c>
      <c r="G27" s="29">
        <f t="shared" si="2"/>
        <v>99999877018</v>
      </c>
      <c r="H27" s="20" t="str">
        <f t="shared" si="3"/>
        <v>-</v>
      </c>
      <c r="I27" s="20" t="str">
        <f t="shared" si="4"/>
        <v>ー</v>
      </c>
      <c r="J27" s="20" t="str">
        <f t="shared" si="5"/>
        <v>鶴岡市</v>
      </c>
      <c r="K27" s="31" t="str">
        <f t="shared" si="6"/>
        <v>99999877001関連</v>
      </c>
      <c r="L27" s="23" t="str">
        <f t="shared" si="7"/>
        <v/>
      </c>
      <c r="M27" cm="1">
        <f t="array" ref="M27">IF(COUNT(INDEX(FIND(ROW($1:$10)-1,K27),)),VALUE(MID(K27,MIN(SEARCH({1,2,3,4,5,6,7,8,9,0},K27&amp;1234567890)),LEN(K27)-(LENB(K27)-LEN(K27)))),"")</f>
        <v>99999877001</v>
      </c>
      <c r="N27">
        <f>IF(L27&lt;&gt;"○",M27,INDEX(G$4:G26,MATCH(L27&amp;M27,F$4:F26,0)))</f>
        <v>99999877001</v>
      </c>
      <c r="O27" t="str">
        <f t="shared" si="8"/>
        <v>関連</v>
      </c>
      <c r="Q27" s="4">
        <v>44918</v>
      </c>
      <c r="S27" t="str">
        <f t="shared" si="9"/>
        <v>99999877018</v>
      </c>
      <c r="T27" t="s">
        <v>50</v>
      </c>
      <c r="U27" t="s">
        <v>50</v>
      </c>
      <c r="V27" t="s">
        <v>448</v>
      </c>
      <c r="AB27" t="str">
        <f t="shared" si="10"/>
        <v>99999877001関連</v>
      </c>
    </row>
    <row r="28" spans="2:28" x14ac:dyDescent="0.4">
      <c r="B28" t="s">
        <v>21</v>
      </c>
      <c r="C28">
        <f>IF(G28="","",MAX(C$4:C27)+1)</f>
        <v>19</v>
      </c>
      <c r="D28">
        <f>IF(AND(N28=""),"",MAX(D$4:D27)+1)</f>
        <v>19</v>
      </c>
      <c r="F28" s="26" t="str">
        <f t="shared" si="1"/>
        <v>99999877019</v>
      </c>
      <c r="G28" s="29">
        <f t="shared" si="2"/>
        <v>99999877019</v>
      </c>
      <c r="H28" s="20" t="str">
        <f t="shared" si="3"/>
        <v>-</v>
      </c>
      <c r="I28" s="20" t="str">
        <f t="shared" si="4"/>
        <v>ー</v>
      </c>
      <c r="J28" s="20" t="str">
        <f t="shared" si="5"/>
        <v>鶴岡市</v>
      </c>
      <c r="K28" s="31" t="str">
        <f t="shared" si="6"/>
        <v>99999877001関連</v>
      </c>
      <c r="L28" s="23" t="str">
        <f t="shared" si="7"/>
        <v/>
      </c>
      <c r="M28" cm="1">
        <f t="array" ref="M28">IF(COUNT(INDEX(FIND(ROW($1:$10)-1,K28),)),VALUE(MID(K28,MIN(SEARCH({1,2,3,4,5,6,7,8,9,0},K28&amp;1234567890)),LEN(K28)-(LENB(K28)-LEN(K28)))),"")</f>
        <v>99999877001</v>
      </c>
      <c r="N28">
        <f>IF(L28&lt;&gt;"○",M28,INDEX(G$4:G27,MATCH(L28&amp;M28,F$4:F27,0)))</f>
        <v>99999877001</v>
      </c>
      <c r="O28" t="str">
        <f t="shared" si="8"/>
        <v>関連</v>
      </c>
      <c r="Q28" s="4">
        <v>44918</v>
      </c>
      <c r="S28" t="str">
        <f t="shared" si="9"/>
        <v>99999877019</v>
      </c>
      <c r="T28" t="s">
        <v>50</v>
      </c>
      <c r="U28" t="s">
        <v>50</v>
      </c>
      <c r="V28" t="s">
        <v>448</v>
      </c>
      <c r="AB28" t="str">
        <f t="shared" si="10"/>
        <v>99999877001関連</v>
      </c>
    </row>
    <row r="29" spans="2:28" x14ac:dyDescent="0.4">
      <c r="B29" t="s">
        <v>21</v>
      </c>
      <c r="C29">
        <f>IF(G29="","",MAX(C$4:C28)+1)</f>
        <v>20</v>
      </c>
      <c r="D29">
        <f>IF(AND(N29=""),"",MAX(D$4:D28)+1)</f>
        <v>20</v>
      </c>
      <c r="F29" s="26" t="str">
        <f t="shared" si="1"/>
        <v>99999877020</v>
      </c>
      <c r="G29" s="29">
        <f t="shared" si="2"/>
        <v>99999877020</v>
      </c>
      <c r="H29" s="20" t="str">
        <f t="shared" si="3"/>
        <v>-</v>
      </c>
      <c r="I29" s="20" t="str">
        <f t="shared" si="4"/>
        <v>ー</v>
      </c>
      <c r="J29" s="20" t="str">
        <f t="shared" si="5"/>
        <v>鶴岡市</v>
      </c>
      <c r="K29" s="31" t="str">
        <f t="shared" si="6"/>
        <v>99999877001関連</v>
      </c>
      <c r="L29" s="23" t="str">
        <f t="shared" si="7"/>
        <v/>
      </c>
      <c r="M29" cm="1">
        <f t="array" ref="M29">IF(COUNT(INDEX(FIND(ROW($1:$10)-1,K29),)),VALUE(MID(K29,MIN(SEARCH({1,2,3,4,5,6,7,8,9,0},K29&amp;1234567890)),LEN(K29)-(LENB(K29)-LEN(K29)))),"")</f>
        <v>99999877001</v>
      </c>
      <c r="N29">
        <f>IF(L29&lt;&gt;"○",M29,INDEX(G$4:G28,MATCH(L29&amp;M29,F$4:F28,0)))</f>
        <v>99999877001</v>
      </c>
      <c r="O29" t="str">
        <f t="shared" si="8"/>
        <v>関連</v>
      </c>
      <c r="Q29" s="4">
        <v>44918</v>
      </c>
      <c r="S29" t="str">
        <f t="shared" si="9"/>
        <v>99999877020</v>
      </c>
      <c r="T29" t="s">
        <v>50</v>
      </c>
      <c r="U29" t="s">
        <v>50</v>
      </c>
      <c r="V29" t="s">
        <v>448</v>
      </c>
      <c r="AB29" t="str">
        <f t="shared" si="10"/>
        <v>99999877001関連</v>
      </c>
    </row>
    <row r="30" spans="2:28" x14ac:dyDescent="0.4">
      <c r="B30" t="s">
        <v>21</v>
      </c>
      <c r="C30">
        <f>IF(G30="","",MAX(C$4:C29)+1)</f>
        <v>21</v>
      </c>
      <c r="D30">
        <f>IF(AND(N30=""),"",MAX(D$4:D29)+1)</f>
        <v>21</v>
      </c>
      <c r="F30" s="26" t="str">
        <f t="shared" si="1"/>
        <v>99999877021</v>
      </c>
      <c r="G30" s="29">
        <f t="shared" si="2"/>
        <v>99999877021</v>
      </c>
      <c r="H30" s="20" t="str">
        <f t="shared" si="3"/>
        <v>-</v>
      </c>
      <c r="I30" s="20" t="str">
        <f t="shared" si="4"/>
        <v>ー</v>
      </c>
      <c r="J30" s="20" t="str">
        <f t="shared" si="5"/>
        <v>鶴岡市</v>
      </c>
      <c r="K30" s="31" t="str">
        <f t="shared" si="6"/>
        <v>99999877001関連</v>
      </c>
      <c r="L30" s="23" t="str">
        <f t="shared" si="7"/>
        <v/>
      </c>
      <c r="M30" cm="1">
        <f t="array" ref="M30">IF(COUNT(INDEX(FIND(ROW($1:$10)-1,K30),)),VALUE(MID(K30,MIN(SEARCH({1,2,3,4,5,6,7,8,9,0},K30&amp;1234567890)),LEN(K30)-(LENB(K30)-LEN(K30)))),"")</f>
        <v>99999877001</v>
      </c>
      <c r="N30">
        <f>IF(L30&lt;&gt;"○",M30,INDEX(G$4:G29,MATCH(L30&amp;M30,F$4:F29,0)))</f>
        <v>99999877001</v>
      </c>
      <c r="O30" t="str">
        <f t="shared" si="8"/>
        <v>関連</v>
      </c>
      <c r="Q30" s="4">
        <v>44918</v>
      </c>
      <c r="S30" t="str">
        <f t="shared" si="9"/>
        <v>99999877021</v>
      </c>
      <c r="T30" t="s">
        <v>50</v>
      </c>
      <c r="U30" t="s">
        <v>50</v>
      </c>
      <c r="V30" t="s">
        <v>448</v>
      </c>
      <c r="AB30" t="str">
        <f t="shared" si="10"/>
        <v>99999877001関連</v>
      </c>
    </row>
    <row r="31" spans="2:28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28" x14ac:dyDescent="0.4">
      <c r="B32" t="s">
        <v>21</v>
      </c>
      <c r="C32">
        <f>IF(G32="","",MAX(C$4:C31)+1)</f>
        <v>22</v>
      </c>
      <c r="D32">
        <f>IF(AND(N32=""),"",MAX(D$4:D31)+1)</f>
        <v>22</v>
      </c>
      <c r="F32" s="26" t="str">
        <f t="shared" si="1"/>
        <v>99999878001</v>
      </c>
      <c r="G32" s="29">
        <f t="shared" si="2"/>
        <v>99999878001</v>
      </c>
      <c r="H32" s="20" t="str">
        <f t="shared" si="3"/>
        <v>-</v>
      </c>
      <c r="I32" s="20" t="str">
        <f t="shared" si="4"/>
        <v>ー</v>
      </c>
      <c r="J32" s="20" t="str">
        <f t="shared" si="5"/>
        <v>鶴岡市</v>
      </c>
      <c r="K32" s="31" t="str">
        <f t="shared" si="6"/>
        <v>99999878001医療機関</v>
      </c>
      <c r="L32" s="23" t="str">
        <f t="shared" si="7"/>
        <v/>
      </c>
      <c r="M32" cm="1">
        <f t="array" ref="M32">IF(COUNT(INDEX(FIND(ROW($1:$10)-1,K32),)),VALUE(MID(K32,MIN(SEARCH({1,2,3,4,5,6,7,8,9,0},K32&amp;1234567890)),LEN(K32)-(LENB(K32)-LEN(K32)))),"")</f>
        <v>99999878001</v>
      </c>
      <c r="N32">
        <f>IF(L32&lt;&gt;"○",M32,INDEX(G$4:G31,MATCH(L32&amp;M32,F$4:F31,0)))</f>
        <v>99999878001</v>
      </c>
      <c r="O32" t="str">
        <f t="shared" si="8"/>
        <v>医療機関</v>
      </c>
      <c r="Q32" s="4">
        <v>44918</v>
      </c>
      <c r="S32" t="str">
        <f>$O$1&amp;
878&amp;
REPT("0",3-LEN(ROW($S1)))&amp;ROW($S1)</f>
        <v>99999878001</v>
      </c>
      <c r="T32" t="s">
        <v>50</v>
      </c>
      <c r="U32" t="s">
        <v>50</v>
      </c>
      <c r="V32" t="s">
        <v>447</v>
      </c>
      <c r="AB32" t="str">
        <f>$S$32&amp;"医療機関"</f>
        <v>99999878001医療機関</v>
      </c>
    </row>
    <row r="33" spans="2:28" x14ac:dyDescent="0.4">
      <c r="B33" t="s">
        <v>21</v>
      </c>
      <c r="C33">
        <f>IF(G33="","",MAX(C$4:C32)+1)</f>
        <v>23</v>
      </c>
      <c r="D33">
        <f>IF(AND(N33=""),"",MAX(D$4:D32)+1)</f>
        <v>23</v>
      </c>
      <c r="F33" s="26" t="str">
        <f t="shared" si="1"/>
        <v>99999878002</v>
      </c>
      <c r="G33" s="29">
        <f t="shared" si="2"/>
        <v>99999878002</v>
      </c>
      <c r="H33" s="20" t="str">
        <f t="shared" si="3"/>
        <v>-</v>
      </c>
      <c r="I33" s="20" t="str">
        <f t="shared" si="4"/>
        <v>ー</v>
      </c>
      <c r="J33" s="20" t="str">
        <f t="shared" si="5"/>
        <v>鶴岡市</v>
      </c>
      <c r="K33" s="31" t="str">
        <f t="shared" si="6"/>
        <v>99999878001関連</v>
      </c>
      <c r="L33" s="23" t="str">
        <f t="shared" si="7"/>
        <v/>
      </c>
      <c r="M33" cm="1">
        <f t="array" ref="M33">IF(COUNT(INDEX(FIND(ROW($1:$10)-1,K33),)),VALUE(MID(K33,MIN(SEARCH({1,2,3,4,5,6,7,8,9,0},K33&amp;1234567890)),LEN(K33)-(LENB(K33)-LEN(K33)))),"")</f>
        <v>99999878001</v>
      </c>
      <c r="N33">
        <f>IF(L33&lt;&gt;"○",M33,INDEX(G$4:G32,MATCH(L33&amp;M33,F$4:F32,0)))</f>
        <v>99999878001</v>
      </c>
      <c r="O33" t="str">
        <f t="shared" si="8"/>
        <v>関連</v>
      </c>
      <c r="Q33" s="4">
        <v>44918</v>
      </c>
      <c r="S33" t="str">
        <f t="shared" ref="S33:S39" si="11">$O$1&amp;
878&amp;
REPT("0",3-LEN(ROW($S2)))&amp;ROW($S2)</f>
        <v>99999878002</v>
      </c>
      <c r="T33" t="s">
        <v>50</v>
      </c>
      <c r="U33" t="s">
        <v>50</v>
      </c>
      <c r="V33" t="s">
        <v>447</v>
      </c>
      <c r="AB33" t="str">
        <f>$S$32&amp;"関連"</f>
        <v>99999878001関連</v>
      </c>
    </row>
    <row r="34" spans="2:28" x14ac:dyDescent="0.4">
      <c r="B34" t="s">
        <v>21</v>
      </c>
      <c r="C34">
        <f>IF(G34="","",MAX(C$4:C33)+1)</f>
        <v>24</v>
      </c>
      <c r="D34">
        <f>IF(AND(N34=""),"",MAX(D$4:D33)+1)</f>
        <v>24</v>
      </c>
      <c r="F34" s="26" t="str">
        <f t="shared" si="1"/>
        <v>99999878003</v>
      </c>
      <c r="G34" s="29">
        <f t="shared" si="2"/>
        <v>99999878003</v>
      </c>
      <c r="H34" s="20" t="str">
        <f t="shared" si="3"/>
        <v>-</v>
      </c>
      <c r="I34" s="20" t="str">
        <f t="shared" si="4"/>
        <v>ー</v>
      </c>
      <c r="J34" s="20" t="str">
        <f t="shared" si="5"/>
        <v>鶴岡市</v>
      </c>
      <c r="K34" s="31" t="str">
        <f t="shared" si="6"/>
        <v>99999878001関連</v>
      </c>
      <c r="L34" s="23" t="str">
        <f t="shared" si="7"/>
        <v/>
      </c>
      <c r="M34" cm="1">
        <f t="array" ref="M34">IF(COUNT(INDEX(FIND(ROW($1:$10)-1,K34),)),VALUE(MID(K34,MIN(SEARCH({1,2,3,4,5,6,7,8,9,0},K34&amp;1234567890)),LEN(K34)-(LENB(K34)-LEN(K34)))),"")</f>
        <v>99999878001</v>
      </c>
      <c r="N34">
        <f>IF(L34&lt;&gt;"○",M34,INDEX(G$4:G33,MATCH(L34&amp;M34,F$4:F33,0)))</f>
        <v>99999878001</v>
      </c>
      <c r="O34" t="str">
        <f t="shared" si="8"/>
        <v>関連</v>
      </c>
      <c r="Q34" s="4">
        <v>44918</v>
      </c>
      <c r="S34" t="str">
        <f t="shared" si="11"/>
        <v>99999878003</v>
      </c>
      <c r="T34" t="s">
        <v>50</v>
      </c>
      <c r="U34" t="s">
        <v>50</v>
      </c>
      <c r="V34" t="s">
        <v>447</v>
      </c>
      <c r="AB34" t="str">
        <f t="shared" ref="AB34:AB39" si="12">$S$32&amp;"関連"</f>
        <v>99999878001関連</v>
      </c>
    </row>
    <row r="35" spans="2:28" x14ac:dyDescent="0.4">
      <c r="B35" t="s">
        <v>21</v>
      </c>
      <c r="C35">
        <f>IF(G35="","",MAX(C$4:C34)+1)</f>
        <v>25</v>
      </c>
      <c r="D35">
        <f>IF(AND(N35=""),"",MAX(D$4:D34)+1)</f>
        <v>25</v>
      </c>
      <c r="F35" s="26" t="str">
        <f t="shared" si="1"/>
        <v>99999878004</v>
      </c>
      <c r="G35" s="29">
        <f t="shared" si="2"/>
        <v>99999878004</v>
      </c>
      <c r="H35" s="20" t="str">
        <f t="shared" si="3"/>
        <v>-</v>
      </c>
      <c r="I35" s="20" t="str">
        <f t="shared" si="4"/>
        <v>ー</v>
      </c>
      <c r="J35" s="20" t="str">
        <f t="shared" si="5"/>
        <v>鶴岡市</v>
      </c>
      <c r="K35" s="31" t="str">
        <f t="shared" si="6"/>
        <v>99999878001関連</v>
      </c>
      <c r="L35" s="23" t="str">
        <f t="shared" si="7"/>
        <v/>
      </c>
      <c r="M35" cm="1">
        <f t="array" ref="M35">IF(COUNT(INDEX(FIND(ROW($1:$10)-1,K35),)),VALUE(MID(K35,MIN(SEARCH({1,2,3,4,5,6,7,8,9,0},K35&amp;1234567890)),LEN(K35)-(LENB(K35)-LEN(K35)))),"")</f>
        <v>99999878001</v>
      </c>
      <c r="N35">
        <f>IF(L35&lt;&gt;"○",M35,INDEX(G$4:G34,MATCH(L35&amp;M35,F$4:F34,0)))</f>
        <v>99999878001</v>
      </c>
      <c r="O35" t="str">
        <f t="shared" si="8"/>
        <v>関連</v>
      </c>
      <c r="Q35" s="4">
        <v>44918</v>
      </c>
      <c r="S35" t="str">
        <f t="shared" si="11"/>
        <v>99999878004</v>
      </c>
      <c r="T35" t="s">
        <v>50</v>
      </c>
      <c r="U35" t="s">
        <v>50</v>
      </c>
      <c r="V35" t="s">
        <v>447</v>
      </c>
      <c r="AB35" t="str">
        <f t="shared" si="12"/>
        <v>99999878001関連</v>
      </c>
    </row>
    <row r="36" spans="2:28" x14ac:dyDescent="0.4">
      <c r="B36" t="s">
        <v>21</v>
      </c>
      <c r="C36">
        <f>IF(G36="","",MAX(C$4:C35)+1)</f>
        <v>26</v>
      </c>
      <c r="D36">
        <f>IF(AND(N36=""),"",MAX(D$4:D35)+1)</f>
        <v>26</v>
      </c>
      <c r="F36" s="26" t="str">
        <f t="shared" si="1"/>
        <v>99999878005</v>
      </c>
      <c r="G36" s="29">
        <f t="shared" si="2"/>
        <v>99999878005</v>
      </c>
      <c r="H36" s="20" t="str">
        <f t="shared" si="3"/>
        <v>-</v>
      </c>
      <c r="I36" s="20" t="str">
        <f t="shared" si="4"/>
        <v>ー</v>
      </c>
      <c r="J36" s="20" t="str">
        <f t="shared" si="5"/>
        <v>鶴岡市</v>
      </c>
      <c r="K36" s="31" t="str">
        <f t="shared" si="6"/>
        <v>99999878001関連</v>
      </c>
      <c r="L36" s="23" t="str">
        <f t="shared" si="7"/>
        <v/>
      </c>
      <c r="M36" cm="1">
        <f t="array" ref="M36">IF(COUNT(INDEX(FIND(ROW($1:$10)-1,K36),)),VALUE(MID(K36,MIN(SEARCH({1,2,3,4,5,6,7,8,9,0},K36&amp;1234567890)),LEN(K36)-(LENB(K36)-LEN(K36)))),"")</f>
        <v>99999878001</v>
      </c>
      <c r="N36">
        <f>IF(L36&lt;&gt;"○",M36,INDEX(G$4:G35,MATCH(L36&amp;M36,F$4:F35,0)))</f>
        <v>99999878001</v>
      </c>
      <c r="O36" t="str">
        <f t="shared" si="8"/>
        <v>関連</v>
      </c>
      <c r="Q36" s="4">
        <v>44918</v>
      </c>
      <c r="S36" t="str">
        <f t="shared" si="11"/>
        <v>99999878005</v>
      </c>
      <c r="T36" t="s">
        <v>50</v>
      </c>
      <c r="U36" t="s">
        <v>50</v>
      </c>
      <c r="V36" t="s">
        <v>447</v>
      </c>
      <c r="AB36" t="str">
        <f t="shared" si="12"/>
        <v>99999878001関連</v>
      </c>
    </row>
    <row r="37" spans="2:28" x14ac:dyDescent="0.4">
      <c r="B37" t="s">
        <v>21</v>
      </c>
      <c r="C37">
        <f>IF(G37="","",MAX(C$4:C36)+1)</f>
        <v>27</v>
      </c>
      <c r="D37">
        <f>IF(AND(N37=""),"",MAX(D$4:D36)+1)</f>
        <v>27</v>
      </c>
      <c r="F37" s="26" t="str">
        <f t="shared" si="1"/>
        <v>99999878006</v>
      </c>
      <c r="G37" s="29">
        <f t="shared" si="2"/>
        <v>99999878006</v>
      </c>
      <c r="H37" s="20" t="str">
        <f t="shared" si="3"/>
        <v>-</v>
      </c>
      <c r="I37" s="20" t="str">
        <f t="shared" si="4"/>
        <v>ー</v>
      </c>
      <c r="J37" s="20" t="str">
        <f t="shared" si="5"/>
        <v>鶴岡市</v>
      </c>
      <c r="K37" s="31" t="str">
        <f t="shared" si="6"/>
        <v>99999878001関連</v>
      </c>
      <c r="L37" s="23" t="str">
        <f t="shared" si="7"/>
        <v/>
      </c>
      <c r="M37" cm="1">
        <f t="array" ref="M37">IF(COUNT(INDEX(FIND(ROW($1:$10)-1,K37),)),VALUE(MID(K37,MIN(SEARCH({1,2,3,4,5,6,7,8,9,0},K37&amp;1234567890)),LEN(K37)-(LENB(K37)-LEN(K37)))),"")</f>
        <v>99999878001</v>
      </c>
      <c r="N37">
        <f>IF(L37&lt;&gt;"○",M37,INDEX(G$4:G36,MATCH(L37&amp;M37,F$4:F36,0)))</f>
        <v>99999878001</v>
      </c>
      <c r="O37" t="str">
        <f t="shared" si="8"/>
        <v>関連</v>
      </c>
      <c r="Q37" s="4">
        <v>44918</v>
      </c>
      <c r="S37" t="str">
        <f t="shared" si="11"/>
        <v>99999878006</v>
      </c>
      <c r="T37" t="s">
        <v>50</v>
      </c>
      <c r="U37" t="s">
        <v>50</v>
      </c>
      <c r="V37" t="s">
        <v>447</v>
      </c>
      <c r="AB37" t="str">
        <f t="shared" si="12"/>
        <v>99999878001関連</v>
      </c>
    </row>
    <row r="38" spans="2:28" x14ac:dyDescent="0.4">
      <c r="B38" t="s">
        <v>21</v>
      </c>
      <c r="C38">
        <f>IF(G38="","",MAX(C$4:C37)+1)</f>
        <v>28</v>
      </c>
      <c r="D38">
        <f>IF(AND(N38=""),"",MAX(D$4:D37)+1)</f>
        <v>28</v>
      </c>
      <c r="F38" s="26" t="str">
        <f t="shared" si="1"/>
        <v>99999878007</v>
      </c>
      <c r="G38" s="29">
        <f t="shared" si="2"/>
        <v>99999878007</v>
      </c>
      <c r="H38" s="20" t="str">
        <f t="shared" si="3"/>
        <v>-</v>
      </c>
      <c r="I38" s="20" t="str">
        <f t="shared" si="4"/>
        <v>ー</v>
      </c>
      <c r="J38" s="20" t="str">
        <f t="shared" si="5"/>
        <v>鶴岡市</v>
      </c>
      <c r="K38" s="31" t="str">
        <f t="shared" si="6"/>
        <v>99999878001関連</v>
      </c>
      <c r="L38" s="23" t="str">
        <f t="shared" si="7"/>
        <v/>
      </c>
      <c r="M38" cm="1">
        <f t="array" ref="M38">IF(COUNT(INDEX(FIND(ROW($1:$10)-1,K38),)),VALUE(MID(K38,MIN(SEARCH({1,2,3,4,5,6,7,8,9,0},K38&amp;1234567890)),LEN(K38)-(LENB(K38)-LEN(K38)))),"")</f>
        <v>99999878001</v>
      </c>
      <c r="N38">
        <f>IF(L38&lt;&gt;"○",M38,INDEX(G$4:G37,MATCH(L38&amp;M38,F$4:F37,0)))</f>
        <v>99999878001</v>
      </c>
      <c r="O38" t="str">
        <f t="shared" si="8"/>
        <v>関連</v>
      </c>
      <c r="Q38" s="4">
        <v>44918</v>
      </c>
      <c r="S38" t="str">
        <f t="shared" si="11"/>
        <v>99999878007</v>
      </c>
      <c r="T38" t="s">
        <v>50</v>
      </c>
      <c r="U38" t="s">
        <v>50</v>
      </c>
      <c r="V38" t="s">
        <v>447</v>
      </c>
      <c r="AB38" t="str">
        <f t="shared" si="12"/>
        <v>99999878001関連</v>
      </c>
    </row>
    <row r="39" spans="2:28" x14ac:dyDescent="0.4">
      <c r="B39" t="s">
        <v>21</v>
      </c>
      <c r="C39">
        <f>IF(G39="","",MAX(C$4:C38)+1)</f>
        <v>29</v>
      </c>
      <c r="D39">
        <f>IF(AND(N39=""),"",MAX(D$4:D38)+1)</f>
        <v>29</v>
      </c>
      <c r="F39" s="26" t="str">
        <f t="shared" si="1"/>
        <v>99999878008</v>
      </c>
      <c r="G39" s="29">
        <f t="shared" si="2"/>
        <v>99999878008</v>
      </c>
      <c r="H39" s="20" t="str">
        <f t="shared" si="3"/>
        <v>-</v>
      </c>
      <c r="I39" s="20" t="str">
        <f t="shared" si="4"/>
        <v>ー</v>
      </c>
      <c r="J39" s="20" t="str">
        <f t="shared" si="5"/>
        <v>鶴岡市</v>
      </c>
      <c r="K39" s="31" t="str">
        <f t="shared" si="6"/>
        <v>99999878001関連</v>
      </c>
      <c r="L39" s="23" t="str">
        <f t="shared" si="7"/>
        <v/>
      </c>
      <c r="M39" cm="1">
        <f t="array" ref="M39">IF(COUNT(INDEX(FIND(ROW($1:$10)-1,K39),)),VALUE(MID(K39,MIN(SEARCH({1,2,3,4,5,6,7,8,9,0},K39&amp;1234567890)),LEN(K39)-(LENB(K39)-LEN(K39)))),"")</f>
        <v>99999878001</v>
      </c>
      <c r="N39">
        <f>IF(L39&lt;&gt;"○",M39,INDEX(G$4:G38,MATCH(L39&amp;M39,F$4:F38,0)))</f>
        <v>99999878001</v>
      </c>
      <c r="O39" t="str">
        <f t="shared" si="8"/>
        <v>関連</v>
      </c>
      <c r="Q39" s="4">
        <v>44918</v>
      </c>
      <c r="S39" t="str">
        <f t="shared" si="11"/>
        <v>99999878008</v>
      </c>
      <c r="T39" t="s">
        <v>50</v>
      </c>
      <c r="U39" t="s">
        <v>50</v>
      </c>
      <c r="V39" t="s">
        <v>447</v>
      </c>
      <c r="AB39" t="str">
        <f t="shared" si="12"/>
        <v>99999878001関連</v>
      </c>
    </row>
    <row r="40" spans="2:28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28" x14ac:dyDescent="0.4">
      <c r="B41" t="s">
        <v>21</v>
      </c>
      <c r="C41">
        <f>IF(G41="","",MAX(C$4:C40)+1)</f>
        <v>30</v>
      </c>
      <c r="D41">
        <f>IF(AND(N41=""),"",MAX(D$4:D40)+1)</f>
        <v>30</v>
      </c>
      <c r="F41" s="26" t="str">
        <f t="shared" si="1"/>
        <v>99999879001</v>
      </c>
      <c r="G41" s="29">
        <f t="shared" si="2"/>
        <v>99999879001</v>
      </c>
      <c r="H41" s="20" t="str">
        <f t="shared" si="3"/>
        <v>-</v>
      </c>
      <c r="I41" s="20" t="str">
        <f t="shared" si="4"/>
        <v>ー</v>
      </c>
      <c r="J41" s="20" t="str">
        <f t="shared" si="5"/>
        <v>山形市</v>
      </c>
      <c r="K41" s="31" t="str">
        <f t="shared" si="6"/>
        <v>99999879001介護施設</v>
      </c>
      <c r="L41" s="23" t="str">
        <f t="shared" si="7"/>
        <v/>
      </c>
      <c r="M41" cm="1">
        <f t="array" ref="M41">IF(COUNT(INDEX(FIND(ROW($1:$10)-1,K41),)),VALUE(MID(K41,MIN(SEARCH({1,2,3,4,5,6,7,8,9,0},K41&amp;1234567890)),LEN(K41)-(LENB(K41)-LEN(K41)))),"")</f>
        <v>99999879001</v>
      </c>
      <c r="N41">
        <f>IF(L41&lt;&gt;"○",M41,INDEX(G$4:G40,MATCH(L41&amp;M41,F$4:F40,0)))</f>
        <v>99999879001</v>
      </c>
      <c r="O41" t="str">
        <f t="shared" si="8"/>
        <v>介護施設</v>
      </c>
      <c r="Q41" s="4">
        <v>44918</v>
      </c>
      <c r="S41" t="str">
        <f>$O$1&amp;
879&amp;
REPT("0",3-LEN(ROW($S1)))&amp;ROW($S1)</f>
        <v>99999879001</v>
      </c>
      <c r="T41" t="s">
        <v>50</v>
      </c>
      <c r="U41" t="s">
        <v>50</v>
      </c>
      <c r="V41" t="s">
        <v>446</v>
      </c>
      <c r="AB41" t="str">
        <f>$S$41&amp;"介護施設"</f>
        <v>99999879001介護施設</v>
      </c>
    </row>
    <row r="42" spans="2:28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28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28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28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28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28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28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3">IF(G73&lt;&gt;"",R73&amp;S73,"")</f>
        <v/>
      </c>
      <c r="G73" s="29" t="str">
        <f t="shared" ref="G73:G136" si="14">IF(AND((S73 &lt;&gt; ""),(S73 &gt;= 0)), ABS(IF(OR((R73=""),(R73="　")), S73, T73)), "")</f>
        <v/>
      </c>
      <c r="H73" s="20" t="str">
        <f t="shared" ref="H73:H136" si="15">IF(OR((R73=""),(R73="　")),IF(G73 &lt;&gt; "", T73, ""),IF(G73 &lt;&gt; "", U73, ""))</f>
        <v/>
      </c>
      <c r="I73" s="20" t="str">
        <f t="shared" ref="I73:I136" si="16">IF(G73 &lt;&gt; "", IF(COUNTIF(IF(OR((R73=""),(R73="　")), U73, V73),"*男*"),"男性",IF(COUNTIF(IF(OR((R73=""),(R73="　")), U73, V73),"*女*"),"女性","ー")),"")</f>
        <v/>
      </c>
      <c r="J73" s="20" t="str">
        <f t="shared" ref="J73:J136" si="17">IF(G73 &lt;&gt; "", IF(OR((R73=""),(R73="　")), V73, W73),"")</f>
        <v/>
      </c>
      <c r="K73" s="31" t="str">
        <f t="shared" ref="K73:K136" si="18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9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20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3"/>
        <v/>
      </c>
      <c r="G74" s="29" t="str">
        <f t="shared" si="14"/>
        <v/>
      </c>
      <c r="H74" s="20" t="str">
        <f t="shared" si="15"/>
        <v/>
      </c>
      <c r="I74" s="20" t="str">
        <f t="shared" si="16"/>
        <v/>
      </c>
      <c r="J74" s="20" t="str">
        <f t="shared" si="17"/>
        <v/>
      </c>
      <c r="K74" s="31" t="str">
        <f t="shared" si="18"/>
        <v/>
      </c>
      <c r="L74" s="23" t="str">
        <f t="shared" si="19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20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3"/>
        <v/>
      </c>
      <c r="G75" s="29" t="str">
        <f t="shared" si="14"/>
        <v/>
      </c>
      <c r="H75" s="20" t="str">
        <f t="shared" si="15"/>
        <v/>
      </c>
      <c r="I75" s="20" t="str">
        <f t="shared" si="16"/>
        <v/>
      </c>
      <c r="J75" s="20" t="str">
        <f t="shared" si="17"/>
        <v/>
      </c>
      <c r="K75" s="31" t="str">
        <f t="shared" si="18"/>
        <v/>
      </c>
      <c r="L75" s="23" t="str">
        <f t="shared" si="19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20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3"/>
        <v/>
      </c>
      <c r="G76" s="29" t="str">
        <f t="shared" si="14"/>
        <v/>
      </c>
      <c r="H76" s="20" t="str">
        <f t="shared" si="15"/>
        <v/>
      </c>
      <c r="I76" s="20" t="str">
        <f t="shared" si="16"/>
        <v/>
      </c>
      <c r="J76" s="20" t="str">
        <f t="shared" si="17"/>
        <v/>
      </c>
      <c r="K76" s="31" t="str">
        <f t="shared" si="18"/>
        <v/>
      </c>
      <c r="L76" s="23" t="str">
        <f t="shared" si="19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20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3"/>
        <v/>
      </c>
      <c r="G77" s="29" t="str">
        <f t="shared" si="14"/>
        <v/>
      </c>
      <c r="H77" s="20" t="str">
        <f t="shared" si="15"/>
        <v/>
      </c>
      <c r="I77" s="20" t="str">
        <f t="shared" si="16"/>
        <v/>
      </c>
      <c r="J77" s="20" t="str">
        <f t="shared" si="17"/>
        <v/>
      </c>
      <c r="K77" s="31" t="str">
        <f t="shared" si="18"/>
        <v/>
      </c>
      <c r="L77" s="23" t="str">
        <f t="shared" si="19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20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3"/>
        <v/>
      </c>
      <c r="G78" s="29" t="str">
        <f t="shared" si="14"/>
        <v/>
      </c>
      <c r="H78" s="20" t="str">
        <f t="shared" si="15"/>
        <v/>
      </c>
      <c r="I78" s="20" t="str">
        <f t="shared" si="16"/>
        <v/>
      </c>
      <c r="J78" s="20" t="str">
        <f t="shared" si="17"/>
        <v/>
      </c>
      <c r="K78" s="31" t="str">
        <f t="shared" si="18"/>
        <v/>
      </c>
      <c r="L78" s="23" t="str">
        <f t="shared" si="19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20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3"/>
        <v/>
      </c>
      <c r="G79" s="29" t="str">
        <f t="shared" si="14"/>
        <v/>
      </c>
      <c r="H79" s="20" t="str">
        <f t="shared" si="15"/>
        <v/>
      </c>
      <c r="I79" s="20" t="str">
        <f t="shared" si="16"/>
        <v/>
      </c>
      <c r="J79" s="20" t="str">
        <f t="shared" si="17"/>
        <v/>
      </c>
      <c r="K79" s="31" t="str">
        <f t="shared" si="18"/>
        <v/>
      </c>
      <c r="L79" s="23" t="str">
        <f t="shared" si="19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20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3"/>
        <v/>
      </c>
      <c r="G80" s="29" t="str">
        <f t="shared" si="14"/>
        <v/>
      </c>
      <c r="H80" s="20" t="str">
        <f t="shared" si="15"/>
        <v/>
      </c>
      <c r="I80" s="20" t="str">
        <f t="shared" si="16"/>
        <v/>
      </c>
      <c r="J80" s="20" t="str">
        <f t="shared" si="17"/>
        <v/>
      </c>
      <c r="K80" s="31" t="str">
        <f t="shared" si="18"/>
        <v/>
      </c>
      <c r="L80" s="23" t="str">
        <f t="shared" si="19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20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3"/>
        <v/>
      </c>
      <c r="G81" s="29" t="str">
        <f t="shared" si="14"/>
        <v/>
      </c>
      <c r="H81" s="20" t="str">
        <f t="shared" si="15"/>
        <v/>
      </c>
      <c r="I81" s="20" t="str">
        <f t="shared" si="16"/>
        <v/>
      </c>
      <c r="J81" s="20" t="str">
        <f t="shared" si="17"/>
        <v/>
      </c>
      <c r="K81" s="31" t="str">
        <f t="shared" si="18"/>
        <v/>
      </c>
      <c r="L81" s="23" t="str">
        <f t="shared" si="19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20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3"/>
        <v/>
      </c>
      <c r="G82" s="29" t="str">
        <f t="shared" si="14"/>
        <v/>
      </c>
      <c r="H82" s="20" t="str">
        <f t="shared" si="15"/>
        <v/>
      </c>
      <c r="I82" s="20" t="str">
        <f t="shared" si="16"/>
        <v/>
      </c>
      <c r="J82" s="20" t="str">
        <f t="shared" si="17"/>
        <v/>
      </c>
      <c r="K82" s="31" t="str">
        <f t="shared" si="18"/>
        <v/>
      </c>
      <c r="L82" s="23" t="str">
        <f t="shared" si="19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20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3"/>
        <v/>
      </c>
      <c r="G83" s="29" t="str">
        <f t="shared" si="14"/>
        <v/>
      </c>
      <c r="H83" s="20" t="str">
        <f t="shared" si="15"/>
        <v/>
      </c>
      <c r="I83" s="20" t="str">
        <f t="shared" si="16"/>
        <v/>
      </c>
      <c r="J83" s="20" t="str">
        <f t="shared" si="17"/>
        <v/>
      </c>
      <c r="K83" s="31" t="str">
        <f t="shared" si="18"/>
        <v/>
      </c>
      <c r="L83" s="23" t="str">
        <f t="shared" si="19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20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3"/>
        <v/>
      </c>
      <c r="G84" s="29" t="str">
        <f t="shared" si="14"/>
        <v/>
      </c>
      <c r="H84" s="20" t="str">
        <f t="shared" si="15"/>
        <v/>
      </c>
      <c r="I84" s="20" t="str">
        <f t="shared" si="16"/>
        <v/>
      </c>
      <c r="J84" s="20" t="str">
        <f t="shared" si="17"/>
        <v/>
      </c>
      <c r="K84" s="31" t="str">
        <f t="shared" si="18"/>
        <v/>
      </c>
      <c r="L84" s="23" t="str">
        <f t="shared" si="19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20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3"/>
        <v/>
      </c>
      <c r="G85" s="29" t="str">
        <f t="shared" si="14"/>
        <v/>
      </c>
      <c r="H85" s="20" t="str">
        <f t="shared" si="15"/>
        <v/>
      </c>
      <c r="I85" s="20" t="str">
        <f t="shared" si="16"/>
        <v/>
      </c>
      <c r="J85" s="20" t="str">
        <f t="shared" si="17"/>
        <v/>
      </c>
      <c r="K85" s="31" t="str">
        <f t="shared" si="18"/>
        <v/>
      </c>
      <c r="L85" s="23" t="str">
        <f t="shared" si="19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20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3"/>
        <v/>
      </c>
      <c r="G86" s="29" t="str">
        <f t="shared" si="14"/>
        <v/>
      </c>
      <c r="H86" s="20" t="str">
        <f t="shared" si="15"/>
        <v/>
      </c>
      <c r="I86" s="20" t="str">
        <f t="shared" si="16"/>
        <v/>
      </c>
      <c r="J86" s="20" t="str">
        <f t="shared" si="17"/>
        <v/>
      </c>
      <c r="K86" s="31" t="str">
        <f t="shared" si="18"/>
        <v/>
      </c>
      <c r="L86" s="23" t="str">
        <f t="shared" si="19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20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3"/>
        <v/>
      </c>
      <c r="G87" s="29" t="str">
        <f t="shared" si="14"/>
        <v/>
      </c>
      <c r="H87" s="20" t="str">
        <f t="shared" si="15"/>
        <v/>
      </c>
      <c r="I87" s="20" t="str">
        <f t="shared" si="16"/>
        <v/>
      </c>
      <c r="J87" s="20" t="str">
        <f t="shared" si="17"/>
        <v/>
      </c>
      <c r="K87" s="31" t="str">
        <f t="shared" si="18"/>
        <v/>
      </c>
      <c r="L87" s="23" t="str">
        <f t="shared" si="19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20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3"/>
        <v/>
      </c>
      <c r="G88" s="29" t="str">
        <f t="shared" si="14"/>
        <v/>
      </c>
      <c r="H88" s="20" t="str">
        <f t="shared" si="15"/>
        <v/>
      </c>
      <c r="I88" s="20" t="str">
        <f t="shared" si="16"/>
        <v/>
      </c>
      <c r="J88" s="20" t="str">
        <f t="shared" si="17"/>
        <v/>
      </c>
      <c r="K88" s="31" t="str">
        <f t="shared" si="18"/>
        <v/>
      </c>
      <c r="L88" s="23" t="str">
        <f t="shared" si="19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20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3"/>
        <v/>
      </c>
      <c r="G89" s="29" t="str">
        <f t="shared" si="14"/>
        <v/>
      </c>
      <c r="H89" s="20" t="str">
        <f t="shared" si="15"/>
        <v/>
      </c>
      <c r="I89" s="20" t="str">
        <f t="shared" si="16"/>
        <v/>
      </c>
      <c r="J89" s="20" t="str">
        <f t="shared" si="17"/>
        <v/>
      </c>
      <c r="K89" s="31" t="str">
        <f t="shared" si="18"/>
        <v/>
      </c>
      <c r="L89" s="23" t="str">
        <f t="shared" si="19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20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3"/>
        <v/>
      </c>
      <c r="G90" s="29" t="str">
        <f t="shared" si="14"/>
        <v/>
      </c>
      <c r="H90" s="20" t="str">
        <f t="shared" si="15"/>
        <v/>
      </c>
      <c r="I90" s="20" t="str">
        <f t="shared" si="16"/>
        <v/>
      </c>
      <c r="J90" s="20" t="str">
        <f t="shared" si="17"/>
        <v/>
      </c>
      <c r="K90" s="31" t="str">
        <f t="shared" si="18"/>
        <v/>
      </c>
      <c r="L90" s="23" t="str">
        <f t="shared" si="19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20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3"/>
        <v/>
      </c>
      <c r="G91" s="29" t="str">
        <f t="shared" si="14"/>
        <v/>
      </c>
      <c r="H91" s="20" t="str">
        <f t="shared" si="15"/>
        <v/>
      </c>
      <c r="I91" s="20" t="str">
        <f t="shared" si="16"/>
        <v/>
      </c>
      <c r="J91" s="20" t="str">
        <f t="shared" si="17"/>
        <v/>
      </c>
      <c r="K91" s="31" t="str">
        <f t="shared" si="18"/>
        <v/>
      </c>
      <c r="L91" s="23" t="str">
        <f t="shared" si="19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20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3"/>
        <v/>
      </c>
      <c r="G92" s="29" t="str">
        <f t="shared" si="14"/>
        <v/>
      </c>
      <c r="H92" s="20" t="str">
        <f t="shared" si="15"/>
        <v/>
      </c>
      <c r="I92" s="20" t="str">
        <f t="shared" si="16"/>
        <v/>
      </c>
      <c r="J92" s="20" t="str">
        <f t="shared" si="17"/>
        <v/>
      </c>
      <c r="K92" s="31" t="str">
        <f t="shared" si="18"/>
        <v/>
      </c>
      <c r="L92" s="23" t="str">
        <f t="shared" si="19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20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3"/>
        <v/>
      </c>
      <c r="G93" s="29" t="str">
        <f t="shared" si="14"/>
        <v/>
      </c>
      <c r="H93" s="20" t="str">
        <f t="shared" si="15"/>
        <v/>
      </c>
      <c r="I93" s="20" t="str">
        <f t="shared" si="16"/>
        <v/>
      </c>
      <c r="J93" s="20" t="str">
        <f t="shared" si="17"/>
        <v/>
      </c>
      <c r="K93" s="31" t="str">
        <f t="shared" si="18"/>
        <v/>
      </c>
      <c r="L93" s="23" t="str">
        <f t="shared" si="19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20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3"/>
        <v/>
      </c>
      <c r="G94" s="29" t="str">
        <f t="shared" si="14"/>
        <v/>
      </c>
      <c r="H94" s="20" t="str">
        <f t="shared" si="15"/>
        <v/>
      </c>
      <c r="I94" s="20" t="str">
        <f t="shared" si="16"/>
        <v/>
      </c>
      <c r="J94" s="20" t="str">
        <f t="shared" si="17"/>
        <v/>
      </c>
      <c r="K94" s="31" t="str">
        <f t="shared" si="18"/>
        <v/>
      </c>
      <c r="L94" s="23" t="str">
        <f t="shared" si="19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20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3"/>
        <v/>
      </c>
      <c r="G95" s="29" t="str">
        <f t="shared" si="14"/>
        <v/>
      </c>
      <c r="H95" s="20" t="str">
        <f t="shared" si="15"/>
        <v/>
      </c>
      <c r="I95" s="20" t="str">
        <f t="shared" si="16"/>
        <v/>
      </c>
      <c r="J95" s="20" t="str">
        <f t="shared" si="17"/>
        <v/>
      </c>
      <c r="K95" s="31" t="str">
        <f t="shared" si="18"/>
        <v/>
      </c>
      <c r="L95" s="23" t="str">
        <f t="shared" si="19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20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3"/>
        <v/>
      </c>
      <c r="G96" s="29" t="str">
        <f t="shared" si="14"/>
        <v/>
      </c>
      <c r="H96" s="20" t="str">
        <f t="shared" si="15"/>
        <v/>
      </c>
      <c r="I96" s="20" t="str">
        <f t="shared" si="16"/>
        <v/>
      </c>
      <c r="J96" s="20" t="str">
        <f t="shared" si="17"/>
        <v/>
      </c>
      <c r="K96" s="31" t="str">
        <f t="shared" si="18"/>
        <v/>
      </c>
      <c r="L96" s="23" t="str">
        <f t="shared" si="19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20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3"/>
        <v/>
      </c>
      <c r="G97" s="29" t="str">
        <f t="shared" si="14"/>
        <v/>
      </c>
      <c r="H97" s="20" t="str">
        <f t="shared" si="15"/>
        <v/>
      </c>
      <c r="I97" s="20" t="str">
        <f t="shared" si="16"/>
        <v/>
      </c>
      <c r="J97" s="20" t="str">
        <f t="shared" si="17"/>
        <v/>
      </c>
      <c r="K97" s="31" t="str">
        <f t="shared" si="18"/>
        <v/>
      </c>
      <c r="L97" s="23" t="str">
        <f t="shared" si="19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20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3"/>
        <v/>
      </c>
      <c r="G98" s="29" t="str">
        <f t="shared" si="14"/>
        <v/>
      </c>
      <c r="H98" s="20" t="str">
        <f t="shared" si="15"/>
        <v/>
      </c>
      <c r="I98" s="20" t="str">
        <f t="shared" si="16"/>
        <v/>
      </c>
      <c r="J98" s="20" t="str">
        <f t="shared" si="17"/>
        <v/>
      </c>
      <c r="K98" s="31" t="str">
        <f t="shared" si="18"/>
        <v/>
      </c>
      <c r="L98" s="23" t="str">
        <f t="shared" si="19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20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3"/>
        <v/>
      </c>
      <c r="G99" s="29" t="str">
        <f t="shared" si="14"/>
        <v/>
      </c>
      <c r="H99" s="20" t="str">
        <f t="shared" si="15"/>
        <v/>
      </c>
      <c r="I99" s="20" t="str">
        <f t="shared" si="16"/>
        <v/>
      </c>
      <c r="J99" s="20" t="str">
        <f t="shared" si="17"/>
        <v/>
      </c>
      <c r="K99" s="31" t="str">
        <f t="shared" si="18"/>
        <v/>
      </c>
      <c r="L99" s="23" t="str">
        <f t="shared" si="19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20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3"/>
        <v/>
      </c>
      <c r="G100" s="29" t="str">
        <f t="shared" si="14"/>
        <v/>
      </c>
      <c r="H100" s="20" t="str">
        <f t="shared" si="15"/>
        <v/>
      </c>
      <c r="I100" s="20" t="str">
        <f t="shared" si="16"/>
        <v/>
      </c>
      <c r="J100" s="20" t="str">
        <f t="shared" si="17"/>
        <v/>
      </c>
      <c r="K100" s="31" t="str">
        <f t="shared" si="18"/>
        <v/>
      </c>
      <c r="L100" s="23" t="str">
        <f t="shared" si="19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20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3"/>
        <v/>
      </c>
      <c r="G101" s="29" t="str">
        <f t="shared" si="14"/>
        <v/>
      </c>
      <c r="H101" s="20" t="str">
        <f t="shared" si="15"/>
        <v/>
      </c>
      <c r="I101" s="20" t="str">
        <f t="shared" si="16"/>
        <v/>
      </c>
      <c r="J101" s="20" t="str">
        <f t="shared" si="17"/>
        <v/>
      </c>
      <c r="K101" s="31" t="str">
        <f t="shared" si="18"/>
        <v/>
      </c>
      <c r="L101" s="23" t="str">
        <f t="shared" si="19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20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3"/>
        <v/>
      </c>
      <c r="G102" s="29" t="str">
        <f t="shared" si="14"/>
        <v/>
      </c>
      <c r="H102" s="20" t="str">
        <f t="shared" si="15"/>
        <v/>
      </c>
      <c r="I102" s="20" t="str">
        <f t="shared" si="16"/>
        <v/>
      </c>
      <c r="J102" s="20" t="str">
        <f t="shared" si="17"/>
        <v/>
      </c>
      <c r="K102" s="31" t="str">
        <f t="shared" si="18"/>
        <v/>
      </c>
      <c r="L102" s="23" t="str">
        <f t="shared" si="19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20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3"/>
        <v/>
      </c>
      <c r="G103" s="29" t="str">
        <f t="shared" si="14"/>
        <v/>
      </c>
      <c r="H103" s="20" t="str">
        <f t="shared" si="15"/>
        <v/>
      </c>
      <c r="I103" s="20" t="str">
        <f t="shared" si="16"/>
        <v/>
      </c>
      <c r="J103" s="20" t="str">
        <f t="shared" si="17"/>
        <v/>
      </c>
      <c r="K103" s="31" t="str">
        <f t="shared" si="18"/>
        <v/>
      </c>
      <c r="L103" s="23" t="str">
        <f t="shared" si="19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20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3"/>
        <v/>
      </c>
      <c r="G104" s="29" t="str">
        <f t="shared" si="14"/>
        <v/>
      </c>
      <c r="H104" s="20" t="str">
        <f t="shared" si="15"/>
        <v/>
      </c>
      <c r="I104" s="20" t="str">
        <f t="shared" si="16"/>
        <v/>
      </c>
      <c r="J104" s="20" t="str">
        <f t="shared" si="17"/>
        <v/>
      </c>
      <c r="K104" s="31" t="str">
        <f t="shared" si="18"/>
        <v/>
      </c>
      <c r="L104" s="23" t="str">
        <f t="shared" si="19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20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3"/>
        <v/>
      </c>
      <c r="G105" s="29" t="str">
        <f t="shared" si="14"/>
        <v/>
      </c>
      <c r="H105" s="20" t="str">
        <f t="shared" si="15"/>
        <v/>
      </c>
      <c r="I105" s="20" t="str">
        <f t="shared" si="16"/>
        <v/>
      </c>
      <c r="J105" s="20" t="str">
        <f t="shared" si="17"/>
        <v/>
      </c>
      <c r="K105" s="31" t="str">
        <f t="shared" si="18"/>
        <v/>
      </c>
      <c r="L105" s="23" t="str">
        <f t="shared" si="19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20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3"/>
        <v/>
      </c>
      <c r="G106" s="29" t="str">
        <f t="shared" si="14"/>
        <v/>
      </c>
      <c r="H106" s="20" t="str">
        <f t="shared" si="15"/>
        <v/>
      </c>
      <c r="I106" s="20" t="str">
        <f t="shared" si="16"/>
        <v/>
      </c>
      <c r="J106" s="20" t="str">
        <f t="shared" si="17"/>
        <v/>
      </c>
      <c r="K106" s="31" t="str">
        <f t="shared" si="18"/>
        <v/>
      </c>
      <c r="L106" s="23" t="str">
        <f t="shared" si="19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20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3"/>
        <v/>
      </c>
      <c r="G107" s="29" t="str">
        <f t="shared" si="14"/>
        <v/>
      </c>
      <c r="H107" s="20" t="str">
        <f t="shared" si="15"/>
        <v/>
      </c>
      <c r="I107" s="20" t="str">
        <f t="shared" si="16"/>
        <v/>
      </c>
      <c r="J107" s="20" t="str">
        <f t="shared" si="17"/>
        <v/>
      </c>
      <c r="K107" s="31" t="str">
        <f t="shared" si="18"/>
        <v/>
      </c>
      <c r="L107" s="23" t="str">
        <f t="shared" si="19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20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3"/>
        <v/>
      </c>
      <c r="G108" s="29" t="str">
        <f t="shared" si="14"/>
        <v/>
      </c>
      <c r="H108" s="20" t="str">
        <f t="shared" si="15"/>
        <v/>
      </c>
      <c r="I108" s="20" t="str">
        <f t="shared" si="16"/>
        <v/>
      </c>
      <c r="J108" s="20" t="str">
        <f t="shared" si="17"/>
        <v/>
      </c>
      <c r="K108" s="31" t="str">
        <f t="shared" si="18"/>
        <v/>
      </c>
      <c r="L108" s="23" t="str">
        <f t="shared" si="19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20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3"/>
        <v/>
      </c>
      <c r="G109" s="29" t="str">
        <f t="shared" si="14"/>
        <v/>
      </c>
      <c r="H109" s="20" t="str">
        <f t="shared" si="15"/>
        <v/>
      </c>
      <c r="I109" s="20" t="str">
        <f t="shared" si="16"/>
        <v/>
      </c>
      <c r="J109" s="20" t="str">
        <f t="shared" si="17"/>
        <v/>
      </c>
      <c r="K109" s="31" t="str">
        <f t="shared" si="18"/>
        <v/>
      </c>
      <c r="L109" s="23" t="str">
        <f t="shared" si="19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20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3"/>
        <v/>
      </c>
      <c r="G110" s="29" t="str">
        <f t="shared" si="14"/>
        <v/>
      </c>
      <c r="H110" s="20" t="str">
        <f t="shared" si="15"/>
        <v/>
      </c>
      <c r="I110" s="20" t="str">
        <f t="shared" si="16"/>
        <v/>
      </c>
      <c r="J110" s="20" t="str">
        <f t="shared" si="17"/>
        <v/>
      </c>
      <c r="K110" s="31" t="str">
        <f t="shared" si="18"/>
        <v/>
      </c>
      <c r="L110" s="23" t="str">
        <f t="shared" si="19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20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3"/>
        <v/>
      </c>
      <c r="G111" s="29" t="str">
        <f t="shared" si="14"/>
        <v/>
      </c>
      <c r="H111" s="20" t="str">
        <f t="shared" si="15"/>
        <v/>
      </c>
      <c r="I111" s="20" t="str">
        <f t="shared" si="16"/>
        <v/>
      </c>
      <c r="J111" s="20" t="str">
        <f t="shared" si="17"/>
        <v/>
      </c>
      <c r="K111" s="31" t="str">
        <f t="shared" si="18"/>
        <v/>
      </c>
      <c r="L111" s="23" t="str">
        <f t="shared" si="19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20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3"/>
        <v/>
      </c>
      <c r="G112" s="29" t="str">
        <f t="shared" si="14"/>
        <v/>
      </c>
      <c r="H112" s="20" t="str">
        <f t="shared" si="15"/>
        <v/>
      </c>
      <c r="I112" s="20" t="str">
        <f t="shared" si="16"/>
        <v/>
      </c>
      <c r="J112" s="20" t="str">
        <f t="shared" si="17"/>
        <v/>
      </c>
      <c r="K112" s="31" t="str">
        <f t="shared" si="18"/>
        <v/>
      </c>
      <c r="L112" s="23" t="str">
        <f t="shared" si="19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20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3"/>
        <v/>
      </c>
      <c r="G113" s="29" t="str">
        <f t="shared" si="14"/>
        <v/>
      </c>
      <c r="H113" s="20" t="str">
        <f t="shared" si="15"/>
        <v/>
      </c>
      <c r="I113" s="20" t="str">
        <f t="shared" si="16"/>
        <v/>
      </c>
      <c r="J113" s="20" t="str">
        <f t="shared" si="17"/>
        <v/>
      </c>
      <c r="K113" s="31" t="str">
        <f t="shared" si="18"/>
        <v/>
      </c>
      <c r="L113" s="23" t="str">
        <f t="shared" si="19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20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3"/>
        <v/>
      </c>
      <c r="G114" s="29" t="str">
        <f t="shared" si="14"/>
        <v/>
      </c>
      <c r="H114" s="20" t="str">
        <f t="shared" si="15"/>
        <v/>
      </c>
      <c r="I114" s="20" t="str">
        <f t="shared" si="16"/>
        <v/>
      </c>
      <c r="J114" s="20" t="str">
        <f t="shared" si="17"/>
        <v/>
      </c>
      <c r="K114" s="31" t="str">
        <f t="shared" si="18"/>
        <v/>
      </c>
      <c r="L114" s="23" t="str">
        <f t="shared" si="19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20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3"/>
        <v/>
      </c>
      <c r="G115" s="29" t="str">
        <f t="shared" si="14"/>
        <v/>
      </c>
      <c r="H115" s="20" t="str">
        <f t="shared" si="15"/>
        <v/>
      </c>
      <c r="I115" s="20" t="str">
        <f t="shared" si="16"/>
        <v/>
      </c>
      <c r="J115" s="20" t="str">
        <f t="shared" si="17"/>
        <v/>
      </c>
      <c r="K115" s="31" t="str">
        <f t="shared" si="18"/>
        <v/>
      </c>
      <c r="L115" s="23" t="str">
        <f t="shared" si="19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20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3"/>
        <v/>
      </c>
      <c r="G116" s="29" t="str">
        <f t="shared" si="14"/>
        <v/>
      </c>
      <c r="H116" s="20" t="str">
        <f t="shared" si="15"/>
        <v/>
      </c>
      <c r="I116" s="20" t="str">
        <f t="shared" si="16"/>
        <v/>
      </c>
      <c r="J116" s="20" t="str">
        <f t="shared" si="17"/>
        <v/>
      </c>
      <c r="K116" s="31" t="str">
        <f t="shared" si="18"/>
        <v/>
      </c>
      <c r="L116" s="23" t="str">
        <f t="shared" si="19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20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3"/>
        <v/>
      </c>
      <c r="G117" s="29" t="str">
        <f t="shared" si="14"/>
        <v/>
      </c>
      <c r="H117" s="20" t="str">
        <f t="shared" si="15"/>
        <v/>
      </c>
      <c r="I117" s="20" t="str">
        <f t="shared" si="16"/>
        <v/>
      </c>
      <c r="J117" s="20" t="str">
        <f t="shared" si="17"/>
        <v/>
      </c>
      <c r="K117" s="31" t="str">
        <f t="shared" si="18"/>
        <v/>
      </c>
      <c r="L117" s="23" t="str">
        <f t="shared" si="19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20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3"/>
        <v/>
      </c>
      <c r="G118" s="29" t="str">
        <f t="shared" si="14"/>
        <v/>
      </c>
      <c r="H118" s="20" t="str">
        <f t="shared" si="15"/>
        <v/>
      </c>
      <c r="I118" s="20" t="str">
        <f t="shared" si="16"/>
        <v/>
      </c>
      <c r="J118" s="20" t="str">
        <f t="shared" si="17"/>
        <v/>
      </c>
      <c r="K118" s="31" t="str">
        <f t="shared" si="18"/>
        <v/>
      </c>
      <c r="L118" s="23" t="str">
        <f t="shared" si="19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20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3"/>
        <v/>
      </c>
      <c r="G119" s="29" t="str">
        <f t="shared" si="14"/>
        <v/>
      </c>
      <c r="H119" s="20" t="str">
        <f t="shared" si="15"/>
        <v/>
      </c>
      <c r="I119" s="20" t="str">
        <f t="shared" si="16"/>
        <v/>
      </c>
      <c r="J119" s="20" t="str">
        <f t="shared" si="17"/>
        <v/>
      </c>
      <c r="K119" s="31" t="str">
        <f t="shared" si="18"/>
        <v/>
      </c>
      <c r="L119" s="23" t="str">
        <f t="shared" si="19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20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3"/>
        <v/>
      </c>
      <c r="G120" s="29" t="str">
        <f t="shared" si="14"/>
        <v/>
      </c>
      <c r="H120" s="20" t="str">
        <f t="shared" si="15"/>
        <v/>
      </c>
      <c r="I120" s="20" t="str">
        <f t="shared" si="16"/>
        <v/>
      </c>
      <c r="J120" s="20" t="str">
        <f t="shared" si="17"/>
        <v/>
      </c>
      <c r="K120" s="31" t="str">
        <f t="shared" si="18"/>
        <v/>
      </c>
      <c r="L120" s="23" t="str">
        <f t="shared" si="19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20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3"/>
        <v/>
      </c>
      <c r="G121" s="29" t="str">
        <f t="shared" si="14"/>
        <v/>
      </c>
      <c r="H121" s="20" t="str">
        <f t="shared" si="15"/>
        <v/>
      </c>
      <c r="I121" s="20" t="str">
        <f t="shared" si="16"/>
        <v/>
      </c>
      <c r="J121" s="20" t="str">
        <f t="shared" si="17"/>
        <v/>
      </c>
      <c r="K121" s="31" t="str">
        <f t="shared" si="18"/>
        <v/>
      </c>
      <c r="L121" s="23" t="str">
        <f t="shared" si="19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20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3"/>
        <v/>
      </c>
      <c r="G122" s="29" t="str">
        <f t="shared" si="14"/>
        <v/>
      </c>
      <c r="H122" s="20" t="str">
        <f t="shared" si="15"/>
        <v/>
      </c>
      <c r="I122" s="20" t="str">
        <f t="shared" si="16"/>
        <v/>
      </c>
      <c r="J122" s="20" t="str">
        <f t="shared" si="17"/>
        <v/>
      </c>
      <c r="K122" s="31" t="str">
        <f t="shared" si="18"/>
        <v/>
      </c>
      <c r="L122" s="23" t="str">
        <f t="shared" si="19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20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3"/>
        <v/>
      </c>
      <c r="G123" s="29" t="str">
        <f t="shared" si="14"/>
        <v/>
      </c>
      <c r="H123" s="20" t="str">
        <f t="shared" si="15"/>
        <v/>
      </c>
      <c r="I123" s="20" t="str">
        <f t="shared" si="16"/>
        <v/>
      </c>
      <c r="J123" s="20" t="str">
        <f t="shared" si="17"/>
        <v/>
      </c>
      <c r="K123" s="31" t="str">
        <f t="shared" si="18"/>
        <v/>
      </c>
      <c r="L123" s="23" t="str">
        <f t="shared" si="19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20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3"/>
        <v/>
      </c>
      <c r="G124" s="29" t="str">
        <f t="shared" si="14"/>
        <v/>
      </c>
      <c r="H124" s="20" t="str">
        <f t="shared" si="15"/>
        <v/>
      </c>
      <c r="I124" s="20" t="str">
        <f t="shared" si="16"/>
        <v/>
      </c>
      <c r="J124" s="20" t="str">
        <f t="shared" si="17"/>
        <v/>
      </c>
      <c r="K124" s="31" t="str">
        <f t="shared" si="18"/>
        <v/>
      </c>
      <c r="L124" s="23" t="str">
        <f t="shared" si="19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20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3"/>
        <v/>
      </c>
      <c r="G125" s="29" t="str">
        <f t="shared" si="14"/>
        <v/>
      </c>
      <c r="H125" s="20" t="str">
        <f t="shared" si="15"/>
        <v/>
      </c>
      <c r="I125" s="20" t="str">
        <f t="shared" si="16"/>
        <v/>
      </c>
      <c r="J125" s="20" t="str">
        <f t="shared" si="17"/>
        <v/>
      </c>
      <c r="K125" s="31" t="str">
        <f t="shared" si="18"/>
        <v/>
      </c>
      <c r="L125" s="23" t="str">
        <f t="shared" si="19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20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3"/>
        <v/>
      </c>
      <c r="G126" s="29" t="str">
        <f t="shared" si="14"/>
        <v/>
      </c>
      <c r="H126" s="20" t="str">
        <f t="shared" si="15"/>
        <v/>
      </c>
      <c r="I126" s="20" t="str">
        <f t="shared" si="16"/>
        <v/>
      </c>
      <c r="J126" s="20" t="str">
        <f t="shared" si="17"/>
        <v/>
      </c>
      <c r="K126" s="31" t="str">
        <f t="shared" si="18"/>
        <v/>
      </c>
      <c r="L126" s="23" t="str">
        <f t="shared" si="19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20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3"/>
        <v/>
      </c>
      <c r="G127" s="29" t="str">
        <f t="shared" si="14"/>
        <v/>
      </c>
      <c r="H127" s="20" t="str">
        <f t="shared" si="15"/>
        <v/>
      </c>
      <c r="I127" s="20" t="str">
        <f t="shared" si="16"/>
        <v/>
      </c>
      <c r="J127" s="20" t="str">
        <f t="shared" si="17"/>
        <v/>
      </c>
      <c r="K127" s="31" t="str">
        <f t="shared" si="18"/>
        <v/>
      </c>
      <c r="L127" s="23" t="str">
        <f t="shared" si="19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20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3"/>
        <v/>
      </c>
      <c r="G128" s="29" t="str">
        <f t="shared" si="14"/>
        <v/>
      </c>
      <c r="H128" s="20" t="str">
        <f t="shared" si="15"/>
        <v/>
      </c>
      <c r="I128" s="20" t="str">
        <f t="shared" si="16"/>
        <v/>
      </c>
      <c r="J128" s="20" t="str">
        <f t="shared" si="17"/>
        <v/>
      </c>
      <c r="K128" s="31" t="str">
        <f t="shared" si="18"/>
        <v/>
      </c>
      <c r="L128" s="23" t="str">
        <f t="shared" si="19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20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3"/>
        <v/>
      </c>
      <c r="G129" s="29" t="str">
        <f t="shared" si="14"/>
        <v/>
      </c>
      <c r="H129" s="20" t="str">
        <f t="shared" si="15"/>
        <v/>
      </c>
      <c r="I129" s="20" t="str">
        <f t="shared" si="16"/>
        <v/>
      </c>
      <c r="J129" s="20" t="str">
        <f t="shared" si="17"/>
        <v/>
      </c>
      <c r="K129" s="31" t="str">
        <f t="shared" si="18"/>
        <v/>
      </c>
      <c r="L129" s="23" t="str">
        <f t="shared" si="19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20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3"/>
        <v/>
      </c>
      <c r="G130" s="29" t="str">
        <f t="shared" si="14"/>
        <v/>
      </c>
      <c r="H130" s="20" t="str">
        <f t="shared" si="15"/>
        <v/>
      </c>
      <c r="I130" s="20" t="str">
        <f t="shared" si="16"/>
        <v/>
      </c>
      <c r="J130" s="20" t="str">
        <f t="shared" si="17"/>
        <v/>
      </c>
      <c r="K130" s="31" t="str">
        <f t="shared" si="18"/>
        <v/>
      </c>
      <c r="L130" s="23" t="str">
        <f t="shared" si="19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20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3"/>
        <v/>
      </c>
      <c r="G131" s="29" t="str">
        <f t="shared" si="14"/>
        <v/>
      </c>
      <c r="H131" s="20" t="str">
        <f t="shared" si="15"/>
        <v/>
      </c>
      <c r="I131" s="20" t="str">
        <f t="shared" si="16"/>
        <v/>
      </c>
      <c r="J131" s="20" t="str">
        <f t="shared" si="17"/>
        <v/>
      </c>
      <c r="K131" s="31" t="str">
        <f t="shared" si="18"/>
        <v/>
      </c>
      <c r="L131" s="23" t="str">
        <f t="shared" si="19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20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3"/>
        <v/>
      </c>
      <c r="G132" s="29" t="str">
        <f t="shared" si="14"/>
        <v/>
      </c>
      <c r="H132" s="20" t="str">
        <f t="shared" si="15"/>
        <v/>
      </c>
      <c r="I132" s="20" t="str">
        <f t="shared" si="16"/>
        <v/>
      </c>
      <c r="J132" s="20" t="str">
        <f t="shared" si="17"/>
        <v/>
      </c>
      <c r="K132" s="31" t="str">
        <f t="shared" si="18"/>
        <v/>
      </c>
      <c r="L132" s="23" t="str">
        <f t="shared" si="19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20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3"/>
        <v/>
      </c>
      <c r="G133" s="29" t="str">
        <f t="shared" si="14"/>
        <v/>
      </c>
      <c r="H133" s="20" t="str">
        <f t="shared" si="15"/>
        <v/>
      </c>
      <c r="I133" s="20" t="str">
        <f t="shared" si="16"/>
        <v/>
      </c>
      <c r="J133" s="20" t="str">
        <f t="shared" si="17"/>
        <v/>
      </c>
      <c r="K133" s="31" t="str">
        <f t="shared" si="18"/>
        <v/>
      </c>
      <c r="L133" s="23" t="str">
        <f t="shared" si="19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20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3"/>
        <v/>
      </c>
      <c r="G134" s="29" t="str">
        <f t="shared" si="14"/>
        <v/>
      </c>
      <c r="H134" s="20" t="str">
        <f t="shared" si="15"/>
        <v/>
      </c>
      <c r="I134" s="20" t="str">
        <f t="shared" si="16"/>
        <v/>
      </c>
      <c r="J134" s="20" t="str">
        <f t="shared" si="17"/>
        <v/>
      </c>
      <c r="K134" s="31" t="str">
        <f t="shared" si="18"/>
        <v/>
      </c>
      <c r="L134" s="23" t="str">
        <f t="shared" si="19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20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3"/>
        <v/>
      </c>
      <c r="G135" s="29" t="str">
        <f t="shared" si="14"/>
        <v/>
      </c>
      <c r="H135" s="20" t="str">
        <f t="shared" si="15"/>
        <v/>
      </c>
      <c r="I135" s="20" t="str">
        <f t="shared" si="16"/>
        <v/>
      </c>
      <c r="J135" s="20" t="str">
        <f t="shared" si="17"/>
        <v/>
      </c>
      <c r="K135" s="31" t="str">
        <f t="shared" si="18"/>
        <v/>
      </c>
      <c r="L135" s="23" t="str">
        <f t="shared" si="19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20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3"/>
        <v/>
      </c>
      <c r="G136" s="29" t="str">
        <f t="shared" si="14"/>
        <v/>
      </c>
      <c r="H136" s="20" t="str">
        <f t="shared" si="15"/>
        <v/>
      </c>
      <c r="I136" s="20" t="str">
        <f t="shared" si="16"/>
        <v/>
      </c>
      <c r="J136" s="20" t="str">
        <f t="shared" si="17"/>
        <v/>
      </c>
      <c r="K136" s="31" t="str">
        <f t="shared" si="18"/>
        <v/>
      </c>
      <c r="L136" s="23" t="str">
        <f t="shared" si="19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20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21">IF(G137&lt;&gt;"",R137&amp;S137,"")</f>
        <v/>
      </c>
      <c r="G137" s="29" t="str">
        <f t="shared" ref="G137:G199" si="22">IF(AND((S137 &lt;&gt; ""),(S137 &gt;= 0)), ABS(IF(OR((R137=""),(R137="　")), S137, T137)), "")</f>
        <v/>
      </c>
      <c r="H137" s="20" t="str">
        <f t="shared" ref="H137:H199" si="23">IF(OR((R137=""),(R137="　")),IF(G137 &lt;&gt; "", T137, ""),IF(G137 &lt;&gt; "", U137, ""))</f>
        <v/>
      </c>
      <c r="I137" s="20" t="str">
        <f t="shared" ref="I137:I199" si="24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5">IF(G137 &lt;&gt; "", IF(OR((R137=""),(R137="　")), V137, W137),"")</f>
        <v/>
      </c>
      <c r="K137" s="31" t="str">
        <f t="shared" ref="K137:K199" si="26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7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8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21"/>
        <v/>
      </c>
      <c r="G138" s="29" t="str">
        <f t="shared" si="22"/>
        <v/>
      </c>
      <c r="H138" s="20" t="str">
        <f t="shared" si="23"/>
        <v/>
      </c>
      <c r="I138" s="20" t="str">
        <f t="shared" si="24"/>
        <v/>
      </c>
      <c r="J138" s="20" t="str">
        <f t="shared" si="25"/>
        <v/>
      </c>
      <c r="K138" s="31" t="str">
        <f t="shared" si="26"/>
        <v/>
      </c>
      <c r="L138" s="23" t="str">
        <f t="shared" si="27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8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21"/>
        <v/>
      </c>
      <c r="G139" s="29" t="str">
        <f t="shared" si="22"/>
        <v/>
      </c>
      <c r="H139" s="20" t="str">
        <f t="shared" si="23"/>
        <v/>
      </c>
      <c r="I139" s="20" t="str">
        <f t="shared" si="24"/>
        <v/>
      </c>
      <c r="J139" s="20" t="str">
        <f t="shared" si="25"/>
        <v/>
      </c>
      <c r="K139" s="31" t="str">
        <f t="shared" si="26"/>
        <v/>
      </c>
      <c r="L139" s="23" t="str">
        <f t="shared" si="27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8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21"/>
        <v/>
      </c>
      <c r="G140" s="29" t="str">
        <f t="shared" si="22"/>
        <v/>
      </c>
      <c r="H140" s="20" t="str">
        <f t="shared" si="23"/>
        <v/>
      </c>
      <c r="I140" s="20" t="str">
        <f t="shared" si="24"/>
        <v/>
      </c>
      <c r="J140" s="20" t="str">
        <f t="shared" si="25"/>
        <v/>
      </c>
      <c r="K140" s="31" t="str">
        <f t="shared" si="26"/>
        <v/>
      </c>
      <c r="L140" s="23" t="str">
        <f t="shared" si="27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8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21"/>
        <v/>
      </c>
      <c r="G141" s="29" t="str">
        <f t="shared" si="22"/>
        <v/>
      </c>
      <c r="H141" s="20" t="str">
        <f t="shared" si="23"/>
        <v/>
      </c>
      <c r="I141" s="20" t="str">
        <f t="shared" si="24"/>
        <v/>
      </c>
      <c r="J141" s="20" t="str">
        <f t="shared" si="25"/>
        <v/>
      </c>
      <c r="K141" s="31" t="str">
        <f t="shared" si="26"/>
        <v/>
      </c>
      <c r="L141" s="23" t="str">
        <f t="shared" si="27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8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21"/>
        <v/>
      </c>
      <c r="G142" s="29" t="str">
        <f t="shared" si="22"/>
        <v/>
      </c>
      <c r="H142" s="20" t="str">
        <f t="shared" si="23"/>
        <v/>
      </c>
      <c r="I142" s="20" t="str">
        <f t="shared" si="24"/>
        <v/>
      </c>
      <c r="J142" s="20" t="str">
        <f t="shared" si="25"/>
        <v/>
      </c>
      <c r="K142" s="31" t="str">
        <f t="shared" si="26"/>
        <v/>
      </c>
      <c r="L142" s="23" t="str">
        <f t="shared" si="27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8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21"/>
        <v/>
      </c>
      <c r="G143" s="29" t="str">
        <f t="shared" si="22"/>
        <v/>
      </c>
      <c r="H143" s="20" t="str">
        <f t="shared" si="23"/>
        <v/>
      </c>
      <c r="I143" s="20" t="str">
        <f t="shared" si="24"/>
        <v/>
      </c>
      <c r="J143" s="20" t="str">
        <f t="shared" si="25"/>
        <v/>
      </c>
      <c r="K143" s="31" t="str">
        <f t="shared" si="26"/>
        <v/>
      </c>
      <c r="L143" s="23" t="str">
        <f t="shared" si="27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8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21"/>
        <v/>
      </c>
      <c r="G144" s="29" t="str">
        <f t="shared" si="22"/>
        <v/>
      </c>
      <c r="H144" s="20" t="str">
        <f t="shared" si="23"/>
        <v/>
      </c>
      <c r="I144" s="20" t="str">
        <f t="shared" si="24"/>
        <v/>
      </c>
      <c r="J144" s="20" t="str">
        <f t="shared" si="25"/>
        <v/>
      </c>
      <c r="K144" s="31" t="str">
        <f t="shared" si="26"/>
        <v/>
      </c>
      <c r="L144" s="23" t="str">
        <f t="shared" si="27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8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21"/>
        <v/>
      </c>
      <c r="G145" s="29" t="str">
        <f t="shared" si="22"/>
        <v/>
      </c>
      <c r="H145" s="20" t="str">
        <f t="shared" si="23"/>
        <v/>
      </c>
      <c r="I145" s="20" t="str">
        <f t="shared" si="24"/>
        <v/>
      </c>
      <c r="J145" s="20" t="str">
        <f t="shared" si="25"/>
        <v/>
      </c>
      <c r="K145" s="31" t="str">
        <f t="shared" si="26"/>
        <v/>
      </c>
      <c r="L145" s="23" t="str">
        <f t="shared" si="27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8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21"/>
        <v/>
      </c>
      <c r="G146" s="29" t="str">
        <f t="shared" si="22"/>
        <v/>
      </c>
      <c r="H146" s="20" t="str">
        <f t="shared" si="23"/>
        <v/>
      </c>
      <c r="I146" s="20" t="str">
        <f t="shared" si="24"/>
        <v/>
      </c>
      <c r="J146" s="20" t="str">
        <f t="shared" si="25"/>
        <v/>
      </c>
      <c r="K146" s="31" t="str">
        <f t="shared" si="26"/>
        <v/>
      </c>
      <c r="L146" s="23" t="str">
        <f t="shared" si="27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8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21"/>
        <v/>
      </c>
      <c r="G147" s="29" t="str">
        <f t="shared" si="22"/>
        <v/>
      </c>
      <c r="H147" s="20" t="str">
        <f t="shared" si="23"/>
        <v/>
      </c>
      <c r="I147" s="20" t="str">
        <f t="shared" si="24"/>
        <v/>
      </c>
      <c r="J147" s="20" t="str">
        <f t="shared" si="25"/>
        <v/>
      </c>
      <c r="K147" s="31" t="str">
        <f t="shared" si="26"/>
        <v/>
      </c>
      <c r="L147" s="23" t="str">
        <f t="shared" si="27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8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21"/>
        <v/>
      </c>
      <c r="G148" s="29" t="str">
        <f t="shared" si="22"/>
        <v/>
      </c>
      <c r="H148" s="20" t="str">
        <f t="shared" si="23"/>
        <v/>
      </c>
      <c r="I148" s="20" t="str">
        <f t="shared" si="24"/>
        <v/>
      </c>
      <c r="J148" s="20" t="str">
        <f t="shared" si="25"/>
        <v/>
      </c>
      <c r="K148" s="31" t="str">
        <f t="shared" si="26"/>
        <v/>
      </c>
      <c r="L148" s="23" t="str">
        <f t="shared" si="27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8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21"/>
        <v/>
      </c>
      <c r="G149" s="29" t="str">
        <f t="shared" si="22"/>
        <v/>
      </c>
      <c r="H149" s="20" t="str">
        <f t="shared" si="23"/>
        <v/>
      </c>
      <c r="I149" s="20" t="str">
        <f t="shared" si="24"/>
        <v/>
      </c>
      <c r="J149" s="20" t="str">
        <f t="shared" si="25"/>
        <v/>
      </c>
      <c r="K149" s="31" t="str">
        <f t="shared" si="26"/>
        <v/>
      </c>
      <c r="L149" s="23" t="str">
        <f t="shared" si="27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8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21"/>
        <v/>
      </c>
      <c r="G150" s="29" t="str">
        <f t="shared" si="22"/>
        <v/>
      </c>
      <c r="H150" s="20" t="str">
        <f t="shared" si="23"/>
        <v/>
      </c>
      <c r="I150" s="20" t="str">
        <f t="shared" si="24"/>
        <v/>
      </c>
      <c r="J150" s="20" t="str">
        <f t="shared" si="25"/>
        <v/>
      </c>
      <c r="K150" s="31" t="str">
        <f t="shared" si="26"/>
        <v/>
      </c>
      <c r="L150" s="23" t="str">
        <f t="shared" si="27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8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21"/>
        <v/>
      </c>
      <c r="G151" s="29" t="str">
        <f t="shared" si="22"/>
        <v/>
      </c>
      <c r="H151" s="20" t="str">
        <f t="shared" si="23"/>
        <v/>
      </c>
      <c r="I151" s="20" t="str">
        <f t="shared" si="24"/>
        <v/>
      </c>
      <c r="J151" s="20" t="str">
        <f t="shared" si="25"/>
        <v/>
      </c>
      <c r="K151" s="31" t="str">
        <f t="shared" si="26"/>
        <v/>
      </c>
      <c r="L151" s="23" t="str">
        <f t="shared" si="27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8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21"/>
        <v/>
      </c>
      <c r="G152" s="29" t="str">
        <f t="shared" si="22"/>
        <v/>
      </c>
      <c r="H152" s="20" t="str">
        <f t="shared" si="23"/>
        <v/>
      </c>
      <c r="I152" s="20" t="str">
        <f t="shared" si="24"/>
        <v/>
      </c>
      <c r="J152" s="20" t="str">
        <f t="shared" si="25"/>
        <v/>
      </c>
      <c r="K152" s="31" t="str">
        <f t="shared" si="26"/>
        <v/>
      </c>
      <c r="L152" s="23" t="str">
        <f t="shared" si="27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8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21"/>
        <v/>
      </c>
      <c r="G153" s="29" t="str">
        <f t="shared" si="22"/>
        <v/>
      </c>
      <c r="H153" s="20" t="str">
        <f t="shared" si="23"/>
        <v/>
      </c>
      <c r="I153" s="20" t="str">
        <f t="shared" si="24"/>
        <v/>
      </c>
      <c r="J153" s="20" t="str">
        <f t="shared" si="25"/>
        <v/>
      </c>
      <c r="K153" s="31" t="str">
        <f t="shared" si="26"/>
        <v/>
      </c>
      <c r="L153" s="23" t="str">
        <f t="shared" si="27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8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21"/>
        <v/>
      </c>
      <c r="G154" s="29" t="str">
        <f t="shared" si="22"/>
        <v/>
      </c>
      <c r="H154" s="20" t="str">
        <f t="shared" si="23"/>
        <v/>
      </c>
      <c r="I154" s="20" t="str">
        <f t="shared" si="24"/>
        <v/>
      </c>
      <c r="J154" s="20" t="str">
        <f t="shared" si="25"/>
        <v/>
      </c>
      <c r="K154" s="31" t="str">
        <f t="shared" si="26"/>
        <v/>
      </c>
      <c r="L154" s="23" t="str">
        <f t="shared" si="27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8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21"/>
        <v/>
      </c>
      <c r="G155" s="29" t="str">
        <f t="shared" si="22"/>
        <v/>
      </c>
      <c r="H155" s="20" t="str">
        <f t="shared" si="23"/>
        <v/>
      </c>
      <c r="I155" s="20" t="str">
        <f t="shared" si="24"/>
        <v/>
      </c>
      <c r="J155" s="20" t="str">
        <f t="shared" si="25"/>
        <v/>
      </c>
      <c r="K155" s="31" t="str">
        <f t="shared" si="26"/>
        <v/>
      </c>
      <c r="L155" s="23" t="str">
        <f t="shared" si="27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8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21"/>
        <v/>
      </c>
      <c r="G156" s="29" t="str">
        <f t="shared" si="22"/>
        <v/>
      </c>
      <c r="H156" s="20" t="str">
        <f t="shared" si="23"/>
        <v/>
      </c>
      <c r="I156" s="20" t="str">
        <f t="shared" si="24"/>
        <v/>
      </c>
      <c r="J156" s="20" t="str">
        <f t="shared" si="25"/>
        <v/>
      </c>
      <c r="K156" s="31" t="str">
        <f t="shared" si="26"/>
        <v/>
      </c>
      <c r="L156" s="23" t="str">
        <f t="shared" si="27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8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21"/>
        <v/>
      </c>
      <c r="G157" s="29" t="str">
        <f t="shared" si="22"/>
        <v/>
      </c>
      <c r="H157" s="20" t="str">
        <f t="shared" si="23"/>
        <v/>
      </c>
      <c r="I157" s="20" t="str">
        <f t="shared" si="24"/>
        <v/>
      </c>
      <c r="J157" s="20" t="str">
        <f t="shared" si="25"/>
        <v/>
      </c>
      <c r="K157" s="31" t="str">
        <f t="shared" si="26"/>
        <v/>
      </c>
      <c r="L157" s="23" t="str">
        <f t="shared" si="27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8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21"/>
        <v/>
      </c>
      <c r="G158" s="29" t="str">
        <f t="shared" si="22"/>
        <v/>
      </c>
      <c r="H158" s="20" t="str">
        <f t="shared" si="23"/>
        <v/>
      </c>
      <c r="I158" s="20" t="str">
        <f t="shared" si="24"/>
        <v/>
      </c>
      <c r="J158" s="20" t="str">
        <f t="shared" si="25"/>
        <v/>
      </c>
      <c r="K158" s="31" t="str">
        <f t="shared" si="26"/>
        <v/>
      </c>
      <c r="L158" s="23" t="str">
        <f t="shared" si="27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8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21"/>
        <v/>
      </c>
      <c r="G159" s="29" t="str">
        <f t="shared" si="22"/>
        <v/>
      </c>
      <c r="H159" s="20" t="str">
        <f t="shared" si="23"/>
        <v/>
      </c>
      <c r="I159" s="20" t="str">
        <f t="shared" si="24"/>
        <v/>
      </c>
      <c r="J159" s="20" t="str">
        <f t="shared" si="25"/>
        <v/>
      </c>
      <c r="K159" s="31" t="str">
        <f t="shared" si="26"/>
        <v/>
      </c>
      <c r="L159" s="23" t="str">
        <f t="shared" si="27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8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21"/>
        <v/>
      </c>
      <c r="G160" s="29" t="str">
        <f t="shared" si="22"/>
        <v/>
      </c>
      <c r="H160" s="20" t="str">
        <f t="shared" si="23"/>
        <v/>
      </c>
      <c r="I160" s="20" t="str">
        <f t="shared" si="24"/>
        <v/>
      </c>
      <c r="J160" s="20" t="str">
        <f t="shared" si="25"/>
        <v/>
      </c>
      <c r="K160" s="31" t="str">
        <f t="shared" si="26"/>
        <v/>
      </c>
      <c r="L160" s="23" t="str">
        <f t="shared" si="27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8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21"/>
        <v/>
      </c>
      <c r="G161" s="29" t="str">
        <f t="shared" si="22"/>
        <v/>
      </c>
      <c r="H161" s="20" t="str">
        <f t="shared" si="23"/>
        <v/>
      </c>
      <c r="I161" s="20" t="str">
        <f t="shared" si="24"/>
        <v/>
      </c>
      <c r="J161" s="20" t="str">
        <f t="shared" si="25"/>
        <v/>
      </c>
      <c r="K161" s="31" t="str">
        <f t="shared" si="26"/>
        <v/>
      </c>
      <c r="L161" s="23" t="str">
        <f t="shared" si="27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8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21"/>
        <v/>
      </c>
      <c r="G162" s="29" t="str">
        <f t="shared" si="22"/>
        <v/>
      </c>
      <c r="H162" s="20" t="str">
        <f t="shared" si="23"/>
        <v/>
      </c>
      <c r="I162" s="20" t="str">
        <f t="shared" si="24"/>
        <v/>
      </c>
      <c r="J162" s="20" t="str">
        <f t="shared" si="25"/>
        <v/>
      </c>
      <c r="K162" s="31" t="str">
        <f t="shared" si="26"/>
        <v/>
      </c>
      <c r="L162" s="23" t="str">
        <f t="shared" si="27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8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21"/>
        <v/>
      </c>
      <c r="G163" s="29" t="str">
        <f t="shared" si="22"/>
        <v/>
      </c>
      <c r="H163" s="20" t="str">
        <f t="shared" si="23"/>
        <v/>
      </c>
      <c r="I163" s="20" t="str">
        <f t="shared" si="24"/>
        <v/>
      </c>
      <c r="J163" s="20" t="str">
        <f t="shared" si="25"/>
        <v/>
      </c>
      <c r="K163" s="31" t="str">
        <f t="shared" si="26"/>
        <v/>
      </c>
      <c r="L163" s="23" t="str">
        <f t="shared" si="27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8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21"/>
        <v/>
      </c>
      <c r="G164" s="29" t="str">
        <f t="shared" si="22"/>
        <v/>
      </c>
      <c r="H164" s="20" t="str">
        <f t="shared" si="23"/>
        <v/>
      </c>
      <c r="I164" s="20" t="str">
        <f t="shared" si="24"/>
        <v/>
      </c>
      <c r="J164" s="20" t="str">
        <f t="shared" si="25"/>
        <v/>
      </c>
      <c r="K164" s="31" t="str">
        <f t="shared" si="26"/>
        <v/>
      </c>
      <c r="L164" s="23" t="str">
        <f t="shared" si="27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8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21"/>
        <v/>
      </c>
      <c r="G165" s="29" t="str">
        <f t="shared" si="22"/>
        <v/>
      </c>
      <c r="H165" s="20" t="str">
        <f t="shared" si="23"/>
        <v/>
      </c>
      <c r="I165" s="20" t="str">
        <f t="shared" si="24"/>
        <v/>
      </c>
      <c r="J165" s="20" t="str">
        <f t="shared" si="25"/>
        <v/>
      </c>
      <c r="K165" s="31" t="str">
        <f t="shared" si="26"/>
        <v/>
      </c>
      <c r="L165" s="23" t="str">
        <f t="shared" si="27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8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21"/>
        <v/>
      </c>
      <c r="G166" s="29" t="str">
        <f t="shared" si="22"/>
        <v/>
      </c>
      <c r="H166" s="20" t="str">
        <f t="shared" si="23"/>
        <v/>
      </c>
      <c r="I166" s="20" t="str">
        <f t="shared" si="24"/>
        <v/>
      </c>
      <c r="J166" s="20" t="str">
        <f t="shared" si="25"/>
        <v/>
      </c>
      <c r="K166" s="31" t="str">
        <f t="shared" si="26"/>
        <v/>
      </c>
      <c r="L166" s="23" t="str">
        <f t="shared" si="27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8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21"/>
        <v/>
      </c>
      <c r="G167" s="29" t="str">
        <f t="shared" si="22"/>
        <v/>
      </c>
      <c r="H167" s="20" t="str">
        <f t="shared" si="23"/>
        <v/>
      </c>
      <c r="I167" s="20" t="str">
        <f t="shared" si="24"/>
        <v/>
      </c>
      <c r="J167" s="20" t="str">
        <f t="shared" si="25"/>
        <v/>
      </c>
      <c r="K167" s="31" t="str">
        <f t="shared" si="26"/>
        <v/>
      </c>
      <c r="L167" s="23" t="str">
        <f t="shared" si="27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8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21"/>
        <v/>
      </c>
      <c r="G168" s="29" t="str">
        <f t="shared" si="22"/>
        <v/>
      </c>
      <c r="H168" s="20" t="str">
        <f t="shared" si="23"/>
        <v/>
      </c>
      <c r="I168" s="20" t="str">
        <f t="shared" si="24"/>
        <v/>
      </c>
      <c r="J168" s="20" t="str">
        <f t="shared" si="25"/>
        <v/>
      </c>
      <c r="K168" s="31" t="str">
        <f t="shared" si="26"/>
        <v/>
      </c>
      <c r="L168" s="23" t="str">
        <f t="shared" si="27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8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21"/>
        <v/>
      </c>
      <c r="G169" s="29" t="str">
        <f t="shared" si="22"/>
        <v/>
      </c>
      <c r="H169" s="20" t="str">
        <f t="shared" si="23"/>
        <v/>
      </c>
      <c r="I169" s="20" t="str">
        <f t="shared" si="24"/>
        <v/>
      </c>
      <c r="J169" s="20" t="str">
        <f t="shared" si="25"/>
        <v/>
      </c>
      <c r="K169" s="31" t="str">
        <f t="shared" si="26"/>
        <v/>
      </c>
      <c r="L169" s="23" t="str">
        <f t="shared" si="27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8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21"/>
        <v/>
      </c>
      <c r="G170" s="29" t="str">
        <f t="shared" si="22"/>
        <v/>
      </c>
      <c r="H170" s="20" t="str">
        <f t="shared" si="23"/>
        <v/>
      </c>
      <c r="I170" s="20" t="str">
        <f t="shared" si="24"/>
        <v/>
      </c>
      <c r="J170" s="20" t="str">
        <f t="shared" si="25"/>
        <v/>
      </c>
      <c r="K170" s="31" t="str">
        <f t="shared" si="26"/>
        <v/>
      </c>
      <c r="L170" s="23" t="str">
        <f t="shared" si="27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8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21"/>
        <v/>
      </c>
      <c r="G171" s="29" t="str">
        <f t="shared" si="22"/>
        <v/>
      </c>
      <c r="H171" s="20" t="str">
        <f t="shared" si="23"/>
        <v/>
      </c>
      <c r="I171" s="20" t="str">
        <f t="shared" si="24"/>
        <v/>
      </c>
      <c r="J171" s="20" t="str">
        <f t="shared" si="25"/>
        <v/>
      </c>
      <c r="K171" s="31" t="str">
        <f t="shared" si="26"/>
        <v/>
      </c>
      <c r="L171" s="23" t="str">
        <f t="shared" si="27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8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21"/>
        <v/>
      </c>
      <c r="G172" s="29" t="str">
        <f t="shared" si="22"/>
        <v/>
      </c>
      <c r="H172" s="20" t="str">
        <f t="shared" si="23"/>
        <v/>
      </c>
      <c r="I172" s="20" t="str">
        <f t="shared" si="24"/>
        <v/>
      </c>
      <c r="J172" s="20" t="str">
        <f t="shared" si="25"/>
        <v/>
      </c>
      <c r="K172" s="31" t="str">
        <f t="shared" si="26"/>
        <v/>
      </c>
      <c r="L172" s="23" t="str">
        <f t="shared" si="27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8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21"/>
        <v/>
      </c>
      <c r="G173" s="29" t="str">
        <f t="shared" si="22"/>
        <v/>
      </c>
      <c r="H173" s="20" t="str">
        <f t="shared" si="23"/>
        <v/>
      </c>
      <c r="I173" s="20" t="str">
        <f t="shared" si="24"/>
        <v/>
      </c>
      <c r="J173" s="20" t="str">
        <f t="shared" si="25"/>
        <v/>
      </c>
      <c r="K173" s="31" t="str">
        <f t="shared" si="26"/>
        <v/>
      </c>
      <c r="L173" s="23" t="str">
        <f t="shared" si="27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8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21"/>
        <v/>
      </c>
      <c r="G174" s="29" t="str">
        <f t="shared" si="22"/>
        <v/>
      </c>
      <c r="H174" s="20" t="str">
        <f t="shared" si="23"/>
        <v/>
      </c>
      <c r="I174" s="20" t="str">
        <f t="shared" si="24"/>
        <v/>
      </c>
      <c r="J174" s="20" t="str">
        <f t="shared" si="25"/>
        <v/>
      </c>
      <c r="K174" s="31" t="str">
        <f t="shared" si="26"/>
        <v/>
      </c>
      <c r="L174" s="23" t="str">
        <f t="shared" si="27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8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21"/>
        <v/>
      </c>
      <c r="G175" s="29" t="str">
        <f t="shared" si="22"/>
        <v/>
      </c>
      <c r="H175" s="20" t="str">
        <f t="shared" si="23"/>
        <v/>
      </c>
      <c r="I175" s="20" t="str">
        <f t="shared" si="24"/>
        <v/>
      </c>
      <c r="J175" s="20" t="str">
        <f t="shared" si="25"/>
        <v/>
      </c>
      <c r="K175" s="31" t="str">
        <f t="shared" si="26"/>
        <v/>
      </c>
      <c r="L175" s="23" t="str">
        <f t="shared" si="27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8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21"/>
        <v/>
      </c>
      <c r="G176" s="29" t="str">
        <f t="shared" si="22"/>
        <v/>
      </c>
      <c r="H176" s="20" t="str">
        <f t="shared" si="23"/>
        <v/>
      </c>
      <c r="I176" s="20" t="str">
        <f t="shared" si="24"/>
        <v/>
      </c>
      <c r="J176" s="20" t="str">
        <f t="shared" si="25"/>
        <v/>
      </c>
      <c r="K176" s="31" t="str">
        <f t="shared" si="26"/>
        <v/>
      </c>
      <c r="L176" s="23" t="str">
        <f t="shared" si="27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8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21"/>
        <v/>
      </c>
      <c r="G177" s="29" t="str">
        <f t="shared" si="22"/>
        <v/>
      </c>
      <c r="H177" s="20" t="str">
        <f t="shared" si="23"/>
        <v/>
      </c>
      <c r="I177" s="20" t="str">
        <f t="shared" si="24"/>
        <v/>
      </c>
      <c r="J177" s="20" t="str">
        <f t="shared" si="25"/>
        <v/>
      </c>
      <c r="K177" s="31" t="str">
        <f t="shared" si="26"/>
        <v/>
      </c>
      <c r="L177" s="23" t="str">
        <f t="shared" si="27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8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21"/>
        <v/>
      </c>
      <c r="G178" s="29" t="str">
        <f t="shared" si="22"/>
        <v/>
      </c>
      <c r="H178" s="20" t="str">
        <f t="shared" si="23"/>
        <v/>
      </c>
      <c r="I178" s="20" t="str">
        <f t="shared" si="24"/>
        <v/>
      </c>
      <c r="J178" s="20" t="str">
        <f t="shared" si="25"/>
        <v/>
      </c>
      <c r="K178" s="31" t="str">
        <f t="shared" si="26"/>
        <v/>
      </c>
      <c r="L178" s="23" t="str">
        <f t="shared" si="27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8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21"/>
        <v/>
      </c>
      <c r="G179" s="29" t="str">
        <f t="shared" si="22"/>
        <v/>
      </c>
      <c r="H179" s="20" t="str">
        <f t="shared" si="23"/>
        <v/>
      </c>
      <c r="I179" s="20" t="str">
        <f t="shared" si="24"/>
        <v/>
      </c>
      <c r="J179" s="20" t="str">
        <f t="shared" si="25"/>
        <v/>
      </c>
      <c r="K179" s="31" t="str">
        <f t="shared" si="26"/>
        <v/>
      </c>
      <c r="L179" s="23" t="str">
        <f t="shared" si="27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8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21"/>
        <v/>
      </c>
      <c r="G180" s="29" t="str">
        <f t="shared" si="22"/>
        <v/>
      </c>
      <c r="H180" s="20" t="str">
        <f t="shared" si="23"/>
        <v/>
      </c>
      <c r="I180" s="20" t="str">
        <f t="shared" si="24"/>
        <v/>
      </c>
      <c r="J180" s="20" t="str">
        <f t="shared" si="25"/>
        <v/>
      </c>
      <c r="K180" s="31" t="str">
        <f t="shared" si="26"/>
        <v/>
      </c>
      <c r="L180" s="23" t="str">
        <f t="shared" si="27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8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21"/>
        <v/>
      </c>
      <c r="G181" s="29" t="str">
        <f t="shared" si="22"/>
        <v/>
      </c>
      <c r="H181" s="20" t="str">
        <f t="shared" si="23"/>
        <v/>
      </c>
      <c r="I181" s="20" t="str">
        <f t="shared" si="24"/>
        <v/>
      </c>
      <c r="J181" s="20" t="str">
        <f t="shared" si="25"/>
        <v/>
      </c>
      <c r="K181" s="31" t="str">
        <f t="shared" si="26"/>
        <v/>
      </c>
      <c r="L181" s="23" t="str">
        <f t="shared" si="27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8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21"/>
        <v/>
      </c>
      <c r="G182" s="29" t="str">
        <f t="shared" si="22"/>
        <v/>
      </c>
      <c r="H182" s="20" t="str">
        <f t="shared" si="23"/>
        <v/>
      </c>
      <c r="I182" s="20" t="str">
        <f t="shared" si="24"/>
        <v/>
      </c>
      <c r="J182" s="20" t="str">
        <f t="shared" si="25"/>
        <v/>
      </c>
      <c r="K182" s="31" t="str">
        <f t="shared" si="26"/>
        <v/>
      </c>
      <c r="L182" s="23" t="str">
        <f t="shared" si="27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8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21"/>
        <v/>
      </c>
      <c r="G183" s="29" t="str">
        <f t="shared" si="22"/>
        <v/>
      </c>
      <c r="H183" s="20" t="str">
        <f t="shared" si="23"/>
        <v/>
      </c>
      <c r="I183" s="20" t="str">
        <f t="shared" si="24"/>
        <v/>
      </c>
      <c r="J183" s="20" t="str">
        <f t="shared" si="25"/>
        <v/>
      </c>
      <c r="K183" s="31" t="str">
        <f t="shared" si="26"/>
        <v/>
      </c>
      <c r="L183" s="23" t="str">
        <f t="shared" si="27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8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21"/>
        <v/>
      </c>
      <c r="G184" s="29" t="str">
        <f t="shared" si="22"/>
        <v/>
      </c>
      <c r="H184" s="20" t="str">
        <f t="shared" si="23"/>
        <v/>
      </c>
      <c r="I184" s="20" t="str">
        <f t="shared" si="24"/>
        <v/>
      </c>
      <c r="J184" s="20" t="str">
        <f t="shared" si="25"/>
        <v/>
      </c>
      <c r="K184" s="31" t="str">
        <f t="shared" si="26"/>
        <v/>
      </c>
      <c r="L184" s="23" t="str">
        <f t="shared" si="27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8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21"/>
        <v/>
      </c>
      <c r="G185" s="29" t="str">
        <f t="shared" si="22"/>
        <v/>
      </c>
      <c r="H185" s="20" t="str">
        <f t="shared" si="23"/>
        <v/>
      </c>
      <c r="I185" s="20" t="str">
        <f t="shared" si="24"/>
        <v/>
      </c>
      <c r="J185" s="20" t="str">
        <f t="shared" si="25"/>
        <v/>
      </c>
      <c r="K185" s="31" t="str">
        <f t="shared" si="26"/>
        <v/>
      </c>
      <c r="L185" s="23" t="str">
        <f t="shared" si="27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8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21"/>
        <v/>
      </c>
      <c r="G186" s="29" t="str">
        <f t="shared" si="22"/>
        <v/>
      </c>
      <c r="H186" s="20" t="str">
        <f t="shared" si="23"/>
        <v/>
      </c>
      <c r="I186" s="20" t="str">
        <f t="shared" si="24"/>
        <v/>
      </c>
      <c r="J186" s="20" t="str">
        <f t="shared" si="25"/>
        <v/>
      </c>
      <c r="K186" s="31" t="str">
        <f t="shared" si="26"/>
        <v/>
      </c>
      <c r="L186" s="23" t="str">
        <f t="shared" si="27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8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21"/>
        <v/>
      </c>
      <c r="G187" s="29" t="str">
        <f t="shared" si="22"/>
        <v/>
      </c>
      <c r="H187" s="20" t="str">
        <f t="shared" si="23"/>
        <v/>
      </c>
      <c r="I187" s="20" t="str">
        <f t="shared" si="24"/>
        <v/>
      </c>
      <c r="J187" s="20" t="str">
        <f t="shared" si="25"/>
        <v/>
      </c>
      <c r="K187" s="31" t="str">
        <f t="shared" si="26"/>
        <v/>
      </c>
      <c r="L187" s="23" t="str">
        <f t="shared" si="27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8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21"/>
        <v/>
      </c>
      <c r="G188" s="29" t="str">
        <f t="shared" si="22"/>
        <v/>
      </c>
      <c r="H188" s="20" t="str">
        <f t="shared" si="23"/>
        <v/>
      </c>
      <c r="I188" s="20" t="str">
        <f t="shared" si="24"/>
        <v/>
      </c>
      <c r="J188" s="20" t="str">
        <f t="shared" si="25"/>
        <v/>
      </c>
      <c r="K188" s="31" t="str">
        <f t="shared" si="26"/>
        <v/>
      </c>
      <c r="L188" s="23" t="str">
        <f t="shared" si="27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8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21"/>
        <v/>
      </c>
      <c r="G189" s="29" t="str">
        <f t="shared" si="22"/>
        <v/>
      </c>
      <c r="H189" s="20" t="str">
        <f t="shared" si="23"/>
        <v/>
      </c>
      <c r="I189" s="20" t="str">
        <f t="shared" si="24"/>
        <v/>
      </c>
      <c r="J189" s="20" t="str">
        <f t="shared" si="25"/>
        <v/>
      </c>
      <c r="K189" s="31" t="str">
        <f t="shared" si="26"/>
        <v/>
      </c>
      <c r="L189" s="23" t="str">
        <f t="shared" si="27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8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21"/>
        <v/>
      </c>
      <c r="G190" s="29" t="str">
        <f t="shared" si="22"/>
        <v/>
      </c>
      <c r="H190" s="20" t="str">
        <f t="shared" si="23"/>
        <v/>
      </c>
      <c r="I190" s="20" t="str">
        <f t="shared" si="24"/>
        <v/>
      </c>
      <c r="J190" s="20" t="str">
        <f t="shared" si="25"/>
        <v/>
      </c>
      <c r="K190" s="31" t="str">
        <f t="shared" si="26"/>
        <v/>
      </c>
      <c r="L190" s="23" t="str">
        <f t="shared" si="27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8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21"/>
        <v/>
      </c>
      <c r="G191" s="29" t="str">
        <f t="shared" si="22"/>
        <v/>
      </c>
      <c r="H191" s="20" t="str">
        <f t="shared" si="23"/>
        <v/>
      </c>
      <c r="I191" s="20" t="str">
        <f t="shared" si="24"/>
        <v/>
      </c>
      <c r="J191" s="20" t="str">
        <f t="shared" si="25"/>
        <v/>
      </c>
      <c r="K191" s="31" t="str">
        <f t="shared" si="26"/>
        <v/>
      </c>
      <c r="L191" s="23" t="str">
        <f t="shared" si="27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8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21"/>
        <v/>
      </c>
      <c r="G192" s="29" t="str">
        <f t="shared" si="22"/>
        <v/>
      </c>
      <c r="H192" s="20" t="str">
        <f t="shared" si="23"/>
        <v/>
      </c>
      <c r="I192" s="20" t="str">
        <f t="shared" si="24"/>
        <v/>
      </c>
      <c r="J192" s="20" t="str">
        <f t="shared" si="25"/>
        <v/>
      </c>
      <c r="K192" s="31" t="str">
        <f t="shared" si="26"/>
        <v/>
      </c>
      <c r="L192" s="23" t="str">
        <f t="shared" si="27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8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21"/>
        <v/>
      </c>
      <c r="G193" s="29" t="str">
        <f t="shared" si="22"/>
        <v/>
      </c>
      <c r="H193" s="20" t="str">
        <f t="shared" si="23"/>
        <v/>
      </c>
      <c r="I193" s="20" t="str">
        <f t="shared" si="24"/>
        <v/>
      </c>
      <c r="J193" s="20" t="str">
        <f t="shared" si="25"/>
        <v/>
      </c>
      <c r="K193" s="31" t="str">
        <f t="shared" si="26"/>
        <v/>
      </c>
      <c r="L193" s="23" t="str">
        <f t="shared" si="27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8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21"/>
        <v/>
      </c>
      <c r="G194" s="29" t="str">
        <f t="shared" si="22"/>
        <v/>
      </c>
      <c r="H194" s="20" t="str">
        <f t="shared" si="23"/>
        <v/>
      </c>
      <c r="I194" s="20" t="str">
        <f t="shared" si="24"/>
        <v/>
      </c>
      <c r="J194" s="20" t="str">
        <f t="shared" si="25"/>
        <v/>
      </c>
      <c r="K194" s="31" t="str">
        <f t="shared" si="26"/>
        <v/>
      </c>
      <c r="L194" s="23" t="str">
        <f t="shared" si="27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8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21"/>
        <v/>
      </c>
      <c r="G195" s="29" t="str">
        <f t="shared" si="22"/>
        <v/>
      </c>
      <c r="H195" s="20" t="str">
        <f t="shared" si="23"/>
        <v/>
      </c>
      <c r="I195" s="20" t="str">
        <f t="shared" si="24"/>
        <v/>
      </c>
      <c r="J195" s="20" t="str">
        <f t="shared" si="25"/>
        <v/>
      </c>
      <c r="K195" s="31" t="str">
        <f t="shared" si="26"/>
        <v/>
      </c>
      <c r="L195" s="23" t="str">
        <f t="shared" si="27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8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21"/>
        <v/>
      </c>
      <c r="G196" s="29" t="str">
        <f t="shared" si="22"/>
        <v/>
      </c>
      <c r="H196" s="20" t="str">
        <f t="shared" si="23"/>
        <v/>
      </c>
      <c r="I196" s="20" t="str">
        <f t="shared" si="24"/>
        <v/>
      </c>
      <c r="J196" s="20" t="str">
        <f t="shared" si="25"/>
        <v/>
      </c>
      <c r="K196" s="31" t="str">
        <f t="shared" si="26"/>
        <v/>
      </c>
      <c r="L196" s="23" t="str">
        <f t="shared" si="27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8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21"/>
        <v/>
      </c>
      <c r="G197" s="29" t="str">
        <f t="shared" si="22"/>
        <v/>
      </c>
      <c r="H197" s="20" t="str">
        <f t="shared" si="23"/>
        <v/>
      </c>
      <c r="I197" s="20" t="str">
        <f t="shared" si="24"/>
        <v/>
      </c>
      <c r="J197" s="20" t="str">
        <f t="shared" si="25"/>
        <v/>
      </c>
      <c r="K197" s="31" t="str">
        <f t="shared" si="26"/>
        <v/>
      </c>
      <c r="L197" s="23" t="str">
        <f t="shared" si="27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8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21"/>
        <v/>
      </c>
      <c r="G198" s="29" t="str">
        <f t="shared" si="22"/>
        <v/>
      </c>
      <c r="H198" s="20" t="str">
        <f t="shared" si="23"/>
        <v/>
      </c>
      <c r="I198" s="20" t="str">
        <f t="shared" si="24"/>
        <v/>
      </c>
      <c r="J198" s="20" t="str">
        <f t="shared" si="25"/>
        <v/>
      </c>
      <c r="K198" s="31" t="str">
        <f t="shared" si="26"/>
        <v/>
      </c>
      <c r="L198" s="23" t="str">
        <f t="shared" si="27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8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21"/>
        <v/>
      </c>
      <c r="G199" s="29" t="str">
        <f t="shared" si="22"/>
        <v/>
      </c>
      <c r="H199" s="20" t="str">
        <f t="shared" si="23"/>
        <v/>
      </c>
      <c r="I199" s="20" t="str">
        <f t="shared" si="24"/>
        <v/>
      </c>
      <c r="J199" s="20" t="str">
        <f t="shared" si="25"/>
        <v/>
      </c>
      <c r="K199" s="31" t="str">
        <f t="shared" si="26"/>
        <v/>
      </c>
      <c r="L199" s="23" t="str">
        <f t="shared" si="27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8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9">IF(G200&lt;&gt;"",R200&amp;S200,"")</f>
        <v/>
      </c>
      <c r="G200" s="29" t="str">
        <f t="shared" ref="G200" si="30">IF(AND((S200 &lt;&gt; ""),(S200 &gt;= 0)), ABS(IF(OR((R200=""),(R200="　")), S200, T200)), "")</f>
        <v/>
      </c>
      <c r="H200" s="20" t="str">
        <f t="shared" ref="H200" si="31">IF(OR((R200=""),(R200="　")),IF(G200 &lt;&gt; "", T200, ""),IF(G200 &lt;&gt; "", U200, ""))</f>
        <v/>
      </c>
      <c r="I200" s="20" t="str">
        <f t="shared" ref="I200" si="32">IF(G200 &lt;&gt; "", IF(COUNTIF(IF(OR((R200=""),(R200="　")), U200, V200),"*男*"),"男性",IF(COUNTIF(IF(OR((R200=""),(R200="　")), U200, V200),"*女*"),"女性","ー")),"")</f>
        <v/>
      </c>
      <c r="J200" s="20" t="str">
        <f t="shared" ref="J200" si="33">IF(G200 &lt;&gt; "", IF(OR((R200=""),(R200="　")), V200, W200),"")</f>
        <v/>
      </c>
      <c r="K200" s="31" t="str">
        <f t="shared" ref="K200" si="34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5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6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7" zoomScale="70" zoomScaleNormal="70" workbookViewId="0">
      <selection activeCell="K202" sqref="K202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2022/12/23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99999877001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鶴岡市</v>
      </c>
      <c r="H3" s="10" t="str">
        <f>IF(ROW(G1)&gt;MAX(Main!$C$4:$C$1048576),"",INDEX(Main!K$4:K$1048576,MATCH(ROW(G1),Main!$C$4:$C$1048576,0)))</f>
        <v>99999877001介護施設</v>
      </c>
      <c r="I3" s="1">
        <f>IF(H3&lt;&gt;"",IF(ROW(G1)&gt;MAX(Main!$C$4:$C$1048576),"",INDEX(Main!N$4:N$1048576,MATCH(ROW(G1),Main!$C$4:$C$1048576,0))),"")</f>
        <v>99999877001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介護施設</v>
      </c>
      <c r="K3" s="27" t="str">
        <f t="shared" ref="K3:K66" si="1">IF(ISERROR(FIND($Y$1, $C3)), $C3&amp;
"例目",
"クラスターNo."&amp;LEFT(REPLACE($C3, 1, LEN($Y$1), ""), LEN($C3)-3-LEN($Y$1)))</f>
        <v>クラスターNo.877</v>
      </c>
      <c r="M3" s="4" t="str">
        <f>TEXT(IF(ROW(A1)&gt;MAX(Main!$D$4:$D$1048576),"",INDEX(Main!Q$4:Q$1048576,MATCH(ROW(A1),Main!$D$4:$D$1048576,0))), "yyyy/m/d")</f>
        <v>2022/12/23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99999877001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鶴岡市</v>
      </c>
      <c r="S3" s="9" t="str">
        <f>IF(ROW(G1)&gt;MAX(Main!$D$4:$D$1048576),"",INDEX(Main!K$4:K$1048576,MATCH(ROW(G1),Main!$D$4:$D$1048576,0)))</f>
        <v>99999877001介護施設</v>
      </c>
      <c r="T3" s="1">
        <f>IF(S3&lt;&gt;"",IF(ROW(G1)&gt;MAX(Main!$D$4:$D$1048576),"",INDEX(Main!N$4:N$1048576,MATCH(ROW(G1),Main!$D$4:$D$1048576,0))),"")</f>
        <v>99999877001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介護施設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2022/12/23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99999877002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鶴岡市</v>
      </c>
      <c r="H4" s="10" t="str">
        <f>IF(ROW(G2)&gt;MAX(Main!$C$4:$C$1048576),"",INDEX(Main!K$4:K$1048576,MATCH(ROW(G2),Main!$C$4:$C$1048576,0)))</f>
        <v>99999877001関連</v>
      </c>
      <c r="I4" s="1">
        <f>IF(H4&lt;&gt;"",IF(ROW(G2)&gt;MAX(Main!$C$4:$C$1048576),"",INDEX(Main!N$4:N$1048576,MATCH(ROW(G2),Main!$C$4:$C$1048576,0))),"")</f>
        <v>99999877001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クラスターNo.877</v>
      </c>
      <c r="M4" s="4" t="str">
        <f>TEXT(IF(ROW(A2)&gt;MAX(Main!$D$4:$D$1048576),"",INDEX(Main!Q$4:Q$1048576,MATCH(ROW(A2),Main!$D$4:$D$1048576,0))), "yyyy/m/d")</f>
        <v>2022/12/23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99999877002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鶴岡市</v>
      </c>
      <c r="S4" s="9" t="str">
        <f>IF(ROW(G2)&gt;MAX(Main!$D$4:$D$1048576),"",INDEX(Main!K$4:K$1048576,MATCH(ROW(G2),Main!$D$4:$D$1048576,0)))</f>
        <v>99999877001関連</v>
      </c>
      <c r="T4" s="1">
        <f>IF(S4&lt;&gt;"",IF(ROW(G2)&gt;MAX(Main!$D$4:$D$1048576),"",INDEX(Main!N$4:N$1048576,MATCH(ROW(G2),Main!$D$4:$D$1048576,0))),"")</f>
        <v>99999877001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2022/12/23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99999877003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鶴岡市</v>
      </c>
      <c r="H5" s="10" t="str">
        <f>IF(ROW(G3)&gt;MAX(Main!$C$4:$C$1048576),"",INDEX(Main!K$4:K$1048576,MATCH(ROW(G3),Main!$C$4:$C$1048576,0)))</f>
        <v>99999877001関連</v>
      </c>
      <c r="I5" s="1">
        <f>IF(H5&lt;&gt;"",IF(ROW(G3)&gt;MAX(Main!$C$4:$C$1048576),"",INDEX(Main!N$4:N$1048576,MATCH(ROW(G3),Main!$C$4:$C$1048576,0))),"")</f>
        <v>99999877001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クラスターNo.877</v>
      </c>
      <c r="M5" s="4" t="str">
        <f>TEXT(IF(ROW(A3)&gt;MAX(Main!$D$4:$D$1048576),"",INDEX(Main!Q$4:Q$1048576,MATCH(ROW(A3),Main!$D$4:$D$1048576,0))), "yyyy/m/d")</f>
        <v>2022/12/23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99999877003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鶴岡市</v>
      </c>
      <c r="S5" s="9" t="str">
        <f>IF(ROW(G3)&gt;MAX(Main!$D$4:$D$1048576),"",INDEX(Main!K$4:K$1048576,MATCH(ROW(G3),Main!$D$4:$D$1048576,0)))</f>
        <v>99999877001関連</v>
      </c>
      <c r="T5" s="1">
        <f>IF(S5&lt;&gt;"",IF(ROW(G3)&gt;MAX(Main!$D$4:$D$1048576),"",INDEX(Main!N$4:N$1048576,MATCH(ROW(G3),Main!$D$4:$D$1048576,0))),"")</f>
        <v>99999877001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2022/12/23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99999877004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鶴岡市</v>
      </c>
      <c r="H6" s="10" t="str">
        <f>IF(ROW(G4)&gt;MAX(Main!$C$4:$C$1048576),"",INDEX(Main!K$4:K$1048576,MATCH(ROW(G4),Main!$C$4:$C$1048576,0)))</f>
        <v>99999877001関連</v>
      </c>
      <c r="I6" s="1">
        <f>IF(H6&lt;&gt;"",IF(ROW(G4)&gt;MAX(Main!$C$4:$C$1048576),"",INDEX(Main!N$4:N$1048576,MATCH(ROW(G4),Main!$C$4:$C$1048576,0))),"")</f>
        <v>99999877001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クラスターNo.877</v>
      </c>
      <c r="M6" s="4" t="str">
        <f>TEXT(IF(ROW(A4)&gt;MAX(Main!$D$4:$D$1048576),"",INDEX(Main!Q$4:Q$1048576,MATCH(ROW(A4),Main!$D$4:$D$1048576,0))), "yyyy/m/d")</f>
        <v>2022/12/23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99999877004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鶴岡市</v>
      </c>
      <c r="S6" s="9" t="str">
        <f>IF(ROW(G4)&gt;MAX(Main!$D$4:$D$1048576),"",INDEX(Main!K$4:K$1048576,MATCH(ROW(G4),Main!$D$4:$D$1048576,0)))</f>
        <v>99999877001関連</v>
      </c>
      <c r="T6" s="1">
        <f>IF(S6&lt;&gt;"",IF(ROW(G4)&gt;MAX(Main!$D$4:$D$1048576),"",INDEX(Main!N$4:N$1048576,MATCH(ROW(G4),Main!$D$4:$D$1048576,0))),"")</f>
        <v>99999877001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2022/12/23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99999877005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鶴岡市</v>
      </c>
      <c r="H7" s="10" t="str">
        <f>IF(ROW(G5)&gt;MAX(Main!$C$4:$C$1048576),"",INDEX(Main!K$4:K$1048576,MATCH(ROW(G5),Main!$C$4:$C$1048576,0)))</f>
        <v>99999877001関連</v>
      </c>
      <c r="I7" s="1">
        <f>IF(H7&lt;&gt;"",IF(ROW(G5)&gt;MAX(Main!$C$4:$C$1048576),"",INDEX(Main!N$4:N$1048576,MATCH(ROW(G5),Main!$C$4:$C$1048576,0))),"")</f>
        <v>99999877001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クラスターNo.877</v>
      </c>
      <c r="M7" s="4" t="str">
        <f>TEXT(IF(ROW(A5)&gt;MAX(Main!$D$4:$D$1048576),"",INDEX(Main!Q$4:Q$1048576,MATCH(ROW(A5),Main!$D$4:$D$1048576,0))), "yyyy/m/d")</f>
        <v>2022/12/23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99999877005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鶴岡市</v>
      </c>
      <c r="S7" s="9" t="str">
        <f>IF(ROW(G5)&gt;MAX(Main!$D$4:$D$1048576),"",INDEX(Main!K$4:K$1048576,MATCH(ROW(G5),Main!$D$4:$D$1048576,0)))</f>
        <v>99999877001関連</v>
      </c>
      <c r="T7" s="1">
        <f>IF(S7&lt;&gt;"",IF(ROW(G5)&gt;MAX(Main!$D$4:$D$1048576),"",INDEX(Main!N$4:N$1048576,MATCH(ROW(G5),Main!$D$4:$D$1048576,0))),"")</f>
        <v>99999877001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2022/12/23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99999877006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鶴岡市</v>
      </c>
      <c r="H8" s="10" t="str">
        <f>IF(ROW(G6)&gt;MAX(Main!$C$4:$C$1048576),"",INDEX(Main!K$4:K$1048576,MATCH(ROW(G6),Main!$C$4:$C$1048576,0)))</f>
        <v>99999877001関連</v>
      </c>
      <c r="I8" s="1">
        <f>IF(H8&lt;&gt;"",IF(ROW(G6)&gt;MAX(Main!$C$4:$C$1048576),"",INDEX(Main!N$4:N$1048576,MATCH(ROW(G6),Main!$C$4:$C$1048576,0))),"")</f>
        <v>99999877001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クラスターNo.877</v>
      </c>
      <c r="M8" s="4" t="str">
        <f>TEXT(IF(ROW(A6)&gt;MAX(Main!$D$4:$D$1048576),"",INDEX(Main!Q$4:Q$1048576,MATCH(ROW(A6),Main!$D$4:$D$1048576,0))), "yyyy/m/d")</f>
        <v>2022/12/23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99999877006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鶴岡市</v>
      </c>
      <c r="S8" s="9" t="str">
        <f>IF(ROW(G6)&gt;MAX(Main!$D$4:$D$1048576),"",INDEX(Main!K$4:K$1048576,MATCH(ROW(G6),Main!$D$4:$D$1048576,0)))</f>
        <v>99999877001関連</v>
      </c>
      <c r="T8" s="1">
        <f>IF(S8&lt;&gt;"",IF(ROW(G6)&gt;MAX(Main!$D$4:$D$1048576),"",INDEX(Main!N$4:N$1048576,MATCH(ROW(G6),Main!$D$4:$D$1048576,0))),"")</f>
        <v>99999877001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>2022/12/23</v>
      </c>
      <c r="C9" s="1">
        <f>IF(IF(ROW(A7)&gt;MAX(Main!$C$4:$C$1048576),"",INDEX(Main!G$4:G$1048576,MATCH(ROW(A7),Main!$C$4:$C$1048576,0)))="",IF(B9="","",C8),IF(ROW(A7)&gt;MAX(Main!$C$4:$C$1048576),"",INDEX(Main!G$4:G$1048576,MATCH(ROW(A7),Main!$C$4:$C$1048576,0))))</f>
        <v>99999877007</v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>-</v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>ー</v>
      </c>
      <c r="F9" s="1" t="str">
        <f t="shared" si="0"/>
        <v>else</v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>鶴岡市</v>
      </c>
      <c r="H9" s="10" t="str">
        <f>IF(ROW(G7)&gt;MAX(Main!$C$4:$C$1048576),"",INDEX(Main!K$4:K$1048576,MATCH(ROW(G7),Main!$C$4:$C$1048576,0)))</f>
        <v>99999877001関連</v>
      </c>
      <c r="I9" s="1">
        <f>IF(H9&lt;&gt;"",IF(ROW(G7)&gt;MAX(Main!$C$4:$C$1048576),"",INDEX(Main!N$4:N$1048576,MATCH(ROW(G7),Main!$C$4:$C$1048576,0))),"")</f>
        <v>99999877001</v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>関連</v>
      </c>
      <c r="K9" s="27" t="str">
        <f t="shared" si="1"/>
        <v>クラスターNo.877</v>
      </c>
      <c r="M9" s="4" t="str">
        <f>TEXT(IF(ROW(A7)&gt;MAX(Main!$D$4:$D$1048576),"",INDEX(Main!Q$4:Q$1048576,MATCH(ROW(A7),Main!$D$4:$D$1048576,0))), "yyyy/m/d")</f>
        <v>2022/12/23</v>
      </c>
      <c r="N9" s="1">
        <f>IF(IF(ROW(A7)&gt;MAX(Main!$D$4:$D$1048576),"",INDEX(Main!G$4:G$1048576,MATCH(ROW(A7),Main!$D$4:$D$1048576,0)))="",IF(M9="","",N8),IF(ROW(A7)&gt;MAX(Main!$D$4:$D$1048576),"",INDEX(Main!G$4:G$1048576,MATCH(ROW(A7),Main!$D$4:$D$1048576,0))))</f>
        <v>99999877007</v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>-</v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>ー</v>
      </c>
      <c r="Q9" s="1" t="str">
        <f t="shared" si="2"/>
        <v>else</v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>鶴岡市</v>
      </c>
      <c r="S9" s="9" t="str">
        <f>IF(ROW(G7)&gt;MAX(Main!$D$4:$D$1048576),"",INDEX(Main!K$4:K$1048576,MATCH(ROW(G7),Main!$D$4:$D$1048576,0)))</f>
        <v>99999877001関連</v>
      </c>
      <c r="T9" s="1">
        <f>IF(S9&lt;&gt;"",IF(ROW(G7)&gt;MAX(Main!$D$4:$D$1048576),"",INDEX(Main!N$4:N$1048576,MATCH(ROW(G7),Main!$D$4:$D$1048576,0))),"")</f>
        <v>99999877001</v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>関連</v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>2022/12/23</v>
      </c>
      <c r="C10" s="1">
        <f>IF(IF(ROW(A8)&gt;MAX(Main!$C$4:$C$1048576),"",INDEX(Main!G$4:G$1048576,MATCH(ROW(A8),Main!$C$4:$C$1048576,0)))="",IF(B10="","",C9),IF(ROW(A8)&gt;MAX(Main!$C$4:$C$1048576),"",INDEX(Main!G$4:G$1048576,MATCH(ROW(A8),Main!$C$4:$C$1048576,0))))</f>
        <v>99999877008</v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>-</v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>ー</v>
      </c>
      <c r="F10" s="1" t="str">
        <f t="shared" si="0"/>
        <v>else</v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>鶴岡市</v>
      </c>
      <c r="H10" s="10" t="str">
        <f>IF(ROW(G8)&gt;MAX(Main!$C$4:$C$1048576),"",INDEX(Main!K$4:K$1048576,MATCH(ROW(G8),Main!$C$4:$C$1048576,0)))</f>
        <v>99999877001関連</v>
      </c>
      <c r="I10" s="1">
        <f>IF(H10&lt;&gt;"",IF(ROW(G8)&gt;MAX(Main!$C$4:$C$1048576),"",INDEX(Main!N$4:N$1048576,MATCH(ROW(G8),Main!$C$4:$C$1048576,0))),"")</f>
        <v>99999877001</v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>関連</v>
      </c>
      <c r="K10" s="27" t="str">
        <f t="shared" si="1"/>
        <v>クラスターNo.877</v>
      </c>
      <c r="M10" s="4" t="str">
        <f>TEXT(IF(ROW(A8)&gt;MAX(Main!$D$4:$D$1048576),"",INDEX(Main!Q$4:Q$1048576,MATCH(ROW(A8),Main!$D$4:$D$1048576,0))), "yyyy/m/d")</f>
        <v>2022/12/23</v>
      </c>
      <c r="N10" s="1">
        <f>IF(IF(ROW(A8)&gt;MAX(Main!$D$4:$D$1048576),"",INDEX(Main!G$4:G$1048576,MATCH(ROW(A8),Main!$D$4:$D$1048576,0)))="",IF(M10="","",N9),IF(ROW(A8)&gt;MAX(Main!$D$4:$D$1048576),"",INDEX(Main!G$4:G$1048576,MATCH(ROW(A8),Main!$D$4:$D$1048576,0))))</f>
        <v>99999877008</v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>-</v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>ー</v>
      </c>
      <c r="Q10" s="1" t="str">
        <f t="shared" si="2"/>
        <v>else</v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>鶴岡市</v>
      </c>
      <c r="S10" s="9" t="str">
        <f>IF(ROW(G8)&gt;MAX(Main!$D$4:$D$1048576),"",INDEX(Main!K$4:K$1048576,MATCH(ROW(G8),Main!$D$4:$D$1048576,0)))</f>
        <v>99999877001関連</v>
      </c>
      <c r="T10" s="1">
        <f>IF(S10&lt;&gt;"",IF(ROW(G8)&gt;MAX(Main!$D$4:$D$1048576),"",INDEX(Main!N$4:N$1048576,MATCH(ROW(G8),Main!$D$4:$D$1048576,0))),"")</f>
        <v>99999877001</v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>関連</v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>2022/12/23</v>
      </c>
      <c r="C11" s="1">
        <f>IF(IF(ROW(A9)&gt;MAX(Main!$C$4:$C$1048576),"",INDEX(Main!G$4:G$1048576,MATCH(ROW(A9),Main!$C$4:$C$1048576,0)))="",IF(B11="","",C10),IF(ROW(A9)&gt;MAX(Main!$C$4:$C$1048576),"",INDEX(Main!G$4:G$1048576,MATCH(ROW(A9),Main!$C$4:$C$1048576,0))))</f>
        <v>99999877009</v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>-</v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>ー</v>
      </c>
      <c r="F11" s="1" t="str">
        <f t="shared" si="0"/>
        <v>else</v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>鶴岡市</v>
      </c>
      <c r="H11" s="10" t="str">
        <f>IF(ROW(G9)&gt;MAX(Main!$C$4:$C$1048576),"",INDEX(Main!K$4:K$1048576,MATCH(ROW(G9),Main!$C$4:$C$1048576,0)))</f>
        <v>99999877001関連</v>
      </c>
      <c r="I11" s="1">
        <f>IF(H11&lt;&gt;"",IF(ROW(G9)&gt;MAX(Main!$C$4:$C$1048576),"",INDEX(Main!N$4:N$1048576,MATCH(ROW(G9),Main!$C$4:$C$1048576,0))),"")</f>
        <v>99999877001</v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>関連</v>
      </c>
      <c r="K11" s="27" t="str">
        <f t="shared" si="1"/>
        <v>クラスターNo.877</v>
      </c>
      <c r="M11" s="4" t="str">
        <f>TEXT(IF(ROW(A9)&gt;MAX(Main!$D$4:$D$1048576),"",INDEX(Main!Q$4:Q$1048576,MATCH(ROW(A9),Main!$D$4:$D$1048576,0))), "yyyy/m/d")</f>
        <v>2022/12/23</v>
      </c>
      <c r="N11" s="1">
        <f>IF(IF(ROW(A9)&gt;MAX(Main!$D$4:$D$1048576),"",INDEX(Main!G$4:G$1048576,MATCH(ROW(A9),Main!$D$4:$D$1048576,0)))="",IF(M11="","",N10),IF(ROW(A9)&gt;MAX(Main!$D$4:$D$1048576),"",INDEX(Main!G$4:G$1048576,MATCH(ROW(A9),Main!$D$4:$D$1048576,0))))</f>
        <v>99999877009</v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>-</v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>ー</v>
      </c>
      <c r="Q11" s="1" t="str">
        <f t="shared" si="2"/>
        <v>else</v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>鶴岡市</v>
      </c>
      <c r="S11" s="9" t="str">
        <f>IF(ROW(G9)&gt;MAX(Main!$D$4:$D$1048576),"",INDEX(Main!K$4:K$1048576,MATCH(ROW(G9),Main!$D$4:$D$1048576,0)))</f>
        <v>99999877001関連</v>
      </c>
      <c r="T11" s="1">
        <f>IF(S11&lt;&gt;"",IF(ROW(G9)&gt;MAX(Main!$D$4:$D$1048576),"",INDEX(Main!N$4:N$1048576,MATCH(ROW(G9),Main!$D$4:$D$1048576,0))),"")</f>
        <v>99999877001</v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>関連</v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>2022/12/23</v>
      </c>
      <c r="C12" s="1">
        <f>IF(IF(ROW(A10)&gt;MAX(Main!$C$4:$C$1048576),"",INDEX(Main!G$4:G$1048576,MATCH(ROW(A10),Main!$C$4:$C$1048576,0)))="",IF(B12="","",C11),IF(ROW(A10)&gt;MAX(Main!$C$4:$C$1048576),"",INDEX(Main!G$4:G$1048576,MATCH(ROW(A10),Main!$C$4:$C$1048576,0))))</f>
        <v>99999877010</v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>-</v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>ー</v>
      </c>
      <c r="F12" s="1" t="str">
        <f t="shared" si="0"/>
        <v>else</v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>鶴岡市</v>
      </c>
      <c r="H12" s="10" t="str">
        <f>IF(ROW(G10)&gt;MAX(Main!$C$4:$C$1048576),"",INDEX(Main!K$4:K$1048576,MATCH(ROW(G10),Main!$C$4:$C$1048576,0)))</f>
        <v>99999877001関連</v>
      </c>
      <c r="I12" s="1">
        <f>IF(H12&lt;&gt;"",IF(ROW(G10)&gt;MAX(Main!$C$4:$C$1048576),"",INDEX(Main!N$4:N$1048576,MATCH(ROW(G10),Main!$C$4:$C$1048576,0))),"")</f>
        <v>99999877001</v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>関連</v>
      </c>
      <c r="K12" s="27" t="str">
        <f t="shared" si="1"/>
        <v>クラスターNo.877</v>
      </c>
      <c r="M12" s="4" t="str">
        <f>TEXT(IF(ROW(A10)&gt;MAX(Main!$D$4:$D$1048576),"",INDEX(Main!Q$4:Q$1048576,MATCH(ROW(A10),Main!$D$4:$D$1048576,0))), "yyyy/m/d")</f>
        <v>2022/12/23</v>
      </c>
      <c r="N12" s="1">
        <f>IF(IF(ROW(A10)&gt;MAX(Main!$D$4:$D$1048576),"",INDEX(Main!G$4:G$1048576,MATCH(ROW(A10),Main!$D$4:$D$1048576,0)))="",IF(M12="","",N11),IF(ROW(A10)&gt;MAX(Main!$D$4:$D$1048576),"",INDEX(Main!G$4:G$1048576,MATCH(ROW(A10),Main!$D$4:$D$1048576,0))))</f>
        <v>99999877010</v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>-</v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>ー</v>
      </c>
      <c r="Q12" s="1" t="str">
        <f t="shared" si="2"/>
        <v>else</v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>鶴岡市</v>
      </c>
      <c r="S12" s="9" t="str">
        <f>IF(ROW(G10)&gt;MAX(Main!$D$4:$D$1048576),"",INDEX(Main!K$4:K$1048576,MATCH(ROW(G10),Main!$D$4:$D$1048576,0)))</f>
        <v>99999877001関連</v>
      </c>
      <c r="T12" s="1">
        <f>IF(S12&lt;&gt;"",IF(ROW(G10)&gt;MAX(Main!$D$4:$D$1048576),"",INDEX(Main!N$4:N$1048576,MATCH(ROW(G10),Main!$D$4:$D$1048576,0))),"")</f>
        <v>99999877001</v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>関連</v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>2022/12/23</v>
      </c>
      <c r="C13" s="1">
        <f>IF(IF(ROW(A11)&gt;MAX(Main!$C$4:$C$1048576),"",INDEX(Main!G$4:G$1048576,MATCH(ROW(A11),Main!$C$4:$C$1048576,0)))="",IF(B13="","",C12),IF(ROW(A11)&gt;MAX(Main!$C$4:$C$1048576),"",INDEX(Main!G$4:G$1048576,MATCH(ROW(A11),Main!$C$4:$C$1048576,0))))</f>
        <v>99999877011</v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>-</v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>ー</v>
      </c>
      <c r="F13" s="1" t="str">
        <f t="shared" si="0"/>
        <v>else</v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>鶴岡市</v>
      </c>
      <c r="H13" s="10" t="str">
        <f>IF(ROW(G11)&gt;MAX(Main!$C$4:$C$1048576),"",INDEX(Main!K$4:K$1048576,MATCH(ROW(G11),Main!$C$4:$C$1048576,0)))</f>
        <v>99999877001関連</v>
      </c>
      <c r="I13" s="1">
        <f>IF(H13&lt;&gt;"",IF(ROW(G11)&gt;MAX(Main!$C$4:$C$1048576),"",INDEX(Main!N$4:N$1048576,MATCH(ROW(G11),Main!$C$4:$C$1048576,0))),"")</f>
        <v>99999877001</v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>関連</v>
      </c>
      <c r="K13" s="27" t="str">
        <f t="shared" si="1"/>
        <v>クラスターNo.877</v>
      </c>
      <c r="M13" s="4" t="str">
        <f>TEXT(IF(ROW(A11)&gt;MAX(Main!$D$4:$D$1048576),"",INDEX(Main!Q$4:Q$1048576,MATCH(ROW(A11),Main!$D$4:$D$1048576,0))), "yyyy/m/d")</f>
        <v>2022/12/23</v>
      </c>
      <c r="N13" s="1">
        <f>IF(IF(ROW(A11)&gt;MAX(Main!$D$4:$D$1048576),"",INDEX(Main!G$4:G$1048576,MATCH(ROW(A11),Main!$D$4:$D$1048576,0)))="",IF(M13="","",N12),IF(ROW(A11)&gt;MAX(Main!$D$4:$D$1048576),"",INDEX(Main!G$4:G$1048576,MATCH(ROW(A11),Main!$D$4:$D$1048576,0))))</f>
        <v>99999877011</v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>-</v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>ー</v>
      </c>
      <c r="Q13" s="1" t="str">
        <f t="shared" si="2"/>
        <v>else</v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>鶴岡市</v>
      </c>
      <c r="S13" s="9" t="str">
        <f>IF(ROW(G11)&gt;MAX(Main!$D$4:$D$1048576),"",INDEX(Main!K$4:K$1048576,MATCH(ROW(G11),Main!$D$4:$D$1048576,0)))</f>
        <v>99999877001関連</v>
      </c>
      <c r="T13" s="1">
        <f>IF(S13&lt;&gt;"",IF(ROW(G11)&gt;MAX(Main!$D$4:$D$1048576),"",INDEX(Main!N$4:N$1048576,MATCH(ROW(G11),Main!$D$4:$D$1048576,0))),"")</f>
        <v>99999877001</v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>関連</v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>2022/12/23</v>
      </c>
      <c r="C14" s="1">
        <f>IF(IF(ROW(A12)&gt;MAX(Main!$C$4:$C$1048576),"",INDEX(Main!G$4:G$1048576,MATCH(ROW(A12),Main!$C$4:$C$1048576,0)))="",IF(B14="","",C13),IF(ROW(A12)&gt;MAX(Main!$C$4:$C$1048576),"",INDEX(Main!G$4:G$1048576,MATCH(ROW(A12),Main!$C$4:$C$1048576,0))))</f>
        <v>99999877012</v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>-</v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>ー</v>
      </c>
      <c r="F14" s="1" t="str">
        <f t="shared" si="0"/>
        <v>else</v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>鶴岡市</v>
      </c>
      <c r="H14" s="10" t="str">
        <f>IF(ROW(G12)&gt;MAX(Main!$C$4:$C$1048576),"",INDEX(Main!K$4:K$1048576,MATCH(ROW(G12),Main!$C$4:$C$1048576,0)))</f>
        <v>99999877001関連</v>
      </c>
      <c r="I14" s="1">
        <f>IF(H14&lt;&gt;"",IF(ROW(G12)&gt;MAX(Main!$C$4:$C$1048576),"",INDEX(Main!N$4:N$1048576,MATCH(ROW(G12),Main!$C$4:$C$1048576,0))),"")</f>
        <v>99999877001</v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>関連</v>
      </c>
      <c r="K14" s="27" t="str">
        <f t="shared" si="1"/>
        <v>クラスターNo.877</v>
      </c>
      <c r="M14" s="4" t="str">
        <f>TEXT(IF(ROW(A12)&gt;MAX(Main!$D$4:$D$1048576),"",INDEX(Main!Q$4:Q$1048576,MATCH(ROW(A12),Main!$D$4:$D$1048576,0))), "yyyy/m/d")</f>
        <v>2022/12/23</v>
      </c>
      <c r="N14" s="1">
        <f>IF(IF(ROW(A12)&gt;MAX(Main!$D$4:$D$1048576),"",INDEX(Main!G$4:G$1048576,MATCH(ROW(A12),Main!$D$4:$D$1048576,0)))="",IF(M14="","",N13),IF(ROW(A12)&gt;MAX(Main!$D$4:$D$1048576),"",INDEX(Main!G$4:G$1048576,MATCH(ROW(A12),Main!$D$4:$D$1048576,0))))</f>
        <v>99999877012</v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>-</v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>ー</v>
      </c>
      <c r="Q14" s="1" t="str">
        <f t="shared" si="2"/>
        <v>else</v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>鶴岡市</v>
      </c>
      <c r="S14" s="9" t="str">
        <f>IF(ROW(G12)&gt;MAX(Main!$D$4:$D$1048576),"",INDEX(Main!K$4:K$1048576,MATCH(ROW(G12),Main!$D$4:$D$1048576,0)))</f>
        <v>99999877001関連</v>
      </c>
      <c r="T14" s="1">
        <f>IF(S14&lt;&gt;"",IF(ROW(G12)&gt;MAX(Main!$D$4:$D$1048576),"",INDEX(Main!N$4:N$1048576,MATCH(ROW(G12),Main!$D$4:$D$1048576,0))),"")</f>
        <v>99999877001</v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>関連</v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>2022/12/23</v>
      </c>
      <c r="C15" s="1">
        <f>IF(IF(ROW(A13)&gt;MAX(Main!$C$4:$C$1048576),"",INDEX(Main!G$4:G$1048576,MATCH(ROW(A13),Main!$C$4:$C$1048576,0)))="",IF(B15="","",C14),IF(ROW(A13)&gt;MAX(Main!$C$4:$C$1048576),"",INDEX(Main!G$4:G$1048576,MATCH(ROW(A13),Main!$C$4:$C$1048576,0))))</f>
        <v>99999877013</v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>-</v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>ー</v>
      </c>
      <c r="F15" s="1" t="str">
        <f t="shared" si="0"/>
        <v>else</v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>鶴岡市</v>
      </c>
      <c r="H15" s="10" t="str">
        <f>IF(ROW(G13)&gt;MAX(Main!$C$4:$C$1048576),"",INDEX(Main!K$4:K$1048576,MATCH(ROW(G13),Main!$C$4:$C$1048576,0)))</f>
        <v>99999877001関連</v>
      </c>
      <c r="I15" s="1">
        <f>IF(H15&lt;&gt;"",IF(ROW(G13)&gt;MAX(Main!$C$4:$C$1048576),"",INDEX(Main!N$4:N$1048576,MATCH(ROW(G13),Main!$C$4:$C$1048576,0))),"")</f>
        <v>99999877001</v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>関連</v>
      </c>
      <c r="K15" s="27" t="str">
        <f t="shared" si="1"/>
        <v>クラスターNo.877</v>
      </c>
      <c r="M15" s="4" t="str">
        <f>TEXT(IF(ROW(A13)&gt;MAX(Main!$D$4:$D$1048576),"",INDEX(Main!Q$4:Q$1048576,MATCH(ROW(A13),Main!$D$4:$D$1048576,0))), "yyyy/m/d")</f>
        <v>2022/12/23</v>
      </c>
      <c r="N15" s="1">
        <f>IF(IF(ROW(A13)&gt;MAX(Main!$D$4:$D$1048576),"",INDEX(Main!G$4:G$1048576,MATCH(ROW(A13),Main!$D$4:$D$1048576,0)))="",IF(M15="","",N14),IF(ROW(A13)&gt;MAX(Main!$D$4:$D$1048576),"",INDEX(Main!G$4:G$1048576,MATCH(ROW(A13),Main!$D$4:$D$1048576,0))))</f>
        <v>99999877013</v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>-</v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>ー</v>
      </c>
      <c r="Q15" s="1" t="str">
        <f t="shared" si="2"/>
        <v>else</v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>鶴岡市</v>
      </c>
      <c r="S15" s="9" t="str">
        <f>IF(ROW(G13)&gt;MAX(Main!$D$4:$D$1048576),"",INDEX(Main!K$4:K$1048576,MATCH(ROW(G13),Main!$D$4:$D$1048576,0)))</f>
        <v>99999877001関連</v>
      </c>
      <c r="T15" s="1">
        <f>IF(S15&lt;&gt;"",IF(ROW(G13)&gt;MAX(Main!$D$4:$D$1048576),"",INDEX(Main!N$4:N$1048576,MATCH(ROW(G13),Main!$D$4:$D$1048576,0))),"")</f>
        <v>99999877001</v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>関連</v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>2022/12/23</v>
      </c>
      <c r="C16" s="1">
        <f>IF(IF(ROW(A14)&gt;MAX(Main!$C$4:$C$1048576),"",INDEX(Main!G$4:G$1048576,MATCH(ROW(A14),Main!$C$4:$C$1048576,0)))="",IF(B16="","",C15),IF(ROW(A14)&gt;MAX(Main!$C$4:$C$1048576),"",INDEX(Main!G$4:G$1048576,MATCH(ROW(A14),Main!$C$4:$C$1048576,0))))</f>
        <v>99999877014</v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>-</v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>ー</v>
      </c>
      <c r="F16" s="1" t="str">
        <f t="shared" si="0"/>
        <v>else</v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>鶴岡市</v>
      </c>
      <c r="H16" s="10" t="str">
        <f>IF(ROW(G14)&gt;MAX(Main!$C$4:$C$1048576),"",INDEX(Main!K$4:K$1048576,MATCH(ROW(G14),Main!$C$4:$C$1048576,0)))</f>
        <v>99999877001関連</v>
      </c>
      <c r="I16" s="1">
        <f>IF(H16&lt;&gt;"",IF(ROW(G14)&gt;MAX(Main!$C$4:$C$1048576),"",INDEX(Main!N$4:N$1048576,MATCH(ROW(G14),Main!$C$4:$C$1048576,0))),"")</f>
        <v>99999877001</v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>関連</v>
      </c>
      <c r="K16" s="27" t="str">
        <f t="shared" si="1"/>
        <v>クラスターNo.877</v>
      </c>
      <c r="M16" s="4" t="str">
        <f>TEXT(IF(ROW(A14)&gt;MAX(Main!$D$4:$D$1048576),"",INDEX(Main!Q$4:Q$1048576,MATCH(ROW(A14),Main!$D$4:$D$1048576,0))), "yyyy/m/d")</f>
        <v>2022/12/23</v>
      </c>
      <c r="N16" s="1">
        <f>IF(IF(ROW(A14)&gt;MAX(Main!$D$4:$D$1048576),"",INDEX(Main!G$4:G$1048576,MATCH(ROW(A14),Main!$D$4:$D$1048576,0)))="",IF(M16="","",N15),IF(ROW(A14)&gt;MAX(Main!$D$4:$D$1048576),"",INDEX(Main!G$4:G$1048576,MATCH(ROW(A14),Main!$D$4:$D$1048576,0))))</f>
        <v>99999877014</v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>-</v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>ー</v>
      </c>
      <c r="Q16" s="1" t="str">
        <f t="shared" si="2"/>
        <v>else</v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>鶴岡市</v>
      </c>
      <c r="S16" s="9" t="str">
        <f>IF(ROW(G14)&gt;MAX(Main!$D$4:$D$1048576),"",INDEX(Main!K$4:K$1048576,MATCH(ROW(G14),Main!$D$4:$D$1048576,0)))</f>
        <v>99999877001関連</v>
      </c>
      <c r="T16" s="1">
        <f>IF(S16&lt;&gt;"",IF(ROW(G14)&gt;MAX(Main!$D$4:$D$1048576),"",INDEX(Main!N$4:N$1048576,MATCH(ROW(G14),Main!$D$4:$D$1048576,0))),"")</f>
        <v>99999877001</v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>関連</v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>2022/12/23</v>
      </c>
      <c r="C17" s="1">
        <f>IF(IF(ROW(A15)&gt;MAX(Main!$C$4:$C$1048576),"",INDEX(Main!G$4:G$1048576,MATCH(ROW(A15),Main!$C$4:$C$1048576,0)))="",IF(B17="","",C16),IF(ROW(A15)&gt;MAX(Main!$C$4:$C$1048576),"",INDEX(Main!G$4:G$1048576,MATCH(ROW(A15),Main!$C$4:$C$1048576,0))))</f>
        <v>99999877015</v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>-</v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>ー</v>
      </c>
      <c r="F17" s="1" t="str">
        <f t="shared" si="0"/>
        <v>else</v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>鶴岡市</v>
      </c>
      <c r="H17" s="10" t="str">
        <f>IF(ROW(G15)&gt;MAX(Main!$C$4:$C$1048576),"",INDEX(Main!K$4:K$1048576,MATCH(ROW(G15),Main!$C$4:$C$1048576,0)))</f>
        <v>99999877001関連</v>
      </c>
      <c r="I17" s="1">
        <f>IF(H17&lt;&gt;"",IF(ROW(G15)&gt;MAX(Main!$C$4:$C$1048576),"",INDEX(Main!N$4:N$1048576,MATCH(ROW(G15),Main!$C$4:$C$1048576,0))),"")</f>
        <v>99999877001</v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>関連</v>
      </c>
      <c r="K17" s="27" t="str">
        <f t="shared" si="1"/>
        <v>クラスターNo.877</v>
      </c>
      <c r="M17" s="4" t="str">
        <f>TEXT(IF(ROW(A15)&gt;MAX(Main!$D$4:$D$1048576),"",INDEX(Main!Q$4:Q$1048576,MATCH(ROW(A15),Main!$D$4:$D$1048576,0))), "yyyy/m/d")</f>
        <v>2022/12/23</v>
      </c>
      <c r="N17" s="1">
        <f>IF(IF(ROW(A15)&gt;MAX(Main!$D$4:$D$1048576),"",INDEX(Main!G$4:G$1048576,MATCH(ROW(A15),Main!$D$4:$D$1048576,0)))="",IF(M17="","",N16),IF(ROW(A15)&gt;MAX(Main!$D$4:$D$1048576),"",INDEX(Main!G$4:G$1048576,MATCH(ROW(A15),Main!$D$4:$D$1048576,0))))</f>
        <v>99999877015</v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>-</v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>ー</v>
      </c>
      <c r="Q17" s="1" t="str">
        <f t="shared" si="2"/>
        <v>else</v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>鶴岡市</v>
      </c>
      <c r="S17" s="9" t="str">
        <f>IF(ROW(G15)&gt;MAX(Main!$D$4:$D$1048576),"",INDEX(Main!K$4:K$1048576,MATCH(ROW(G15),Main!$D$4:$D$1048576,0)))</f>
        <v>99999877001関連</v>
      </c>
      <c r="T17" s="1">
        <f>IF(S17&lt;&gt;"",IF(ROW(G15)&gt;MAX(Main!$D$4:$D$1048576),"",INDEX(Main!N$4:N$1048576,MATCH(ROW(G15),Main!$D$4:$D$1048576,0))),"")</f>
        <v>99999877001</v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>関連</v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>2022/12/23</v>
      </c>
      <c r="C18" s="1">
        <f>IF(IF(ROW(A16)&gt;MAX(Main!$C$4:$C$1048576),"",INDEX(Main!G$4:G$1048576,MATCH(ROW(A16),Main!$C$4:$C$1048576,0)))="",IF(B18="","",C17),IF(ROW(A16)&gt;MAX(Main!$C$4:$C$1048576),"",INDEX(Main!G$4:G$1048576,MATCH(ROW(A16),Main!$C$4:$C$1048576,0))))</f>
        <v>99999877016</v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>-</v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>ー</v>
      </c>
      <c r="F18" s="1" t="str">
        <f t="shared" si="0"/>
        <v>else</v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>鶴岡市</v>
      </c>
      <c r="H18" s="10" t="str">
        <f>IF(ROW(G16)&gt;MAX(Main!$C$4:$C$1048576),"",INDEX(Main!K$4:K$1048576,MATCH(ROW(G16),Main!$C$4:$C$1048576,0)))</f>
        <v>99999877001関連</v>
      </c>
      <c r="I18" s="1">
        <f>IF(H18&lt;&gt;"",IF(ROW(G16)&gt;MAX(Main!$C$4:$C$1048576),"",INDEX(Main!N$4:N$1048576,MATCH(ROW(G16),Main!$C$4:$C$1048576,0))),"")</f>
        <v>99999877001</v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>関連</v>
      </c>
      <c r="K18" s="27" t="str">
        <f t="shared" si="1"/>
        <v>クラスターNo.877</v>
      </c>
      <c r="M18" s="4" t="str">
        <f>TEXT(IF(ROW(A16)&gt;MAX(Main!$D$4:$D$1048576),"",INDEX(Main!Q$4:Q$1048576,MATCH(ROW(A16),Main!$D$4:$D$1048576,0))), "yyyy/m/d")</f>
        <v>2022/12/23</v>
      </c>
      <c r="N18" s="1">
        <f>IF(IF(ROW(A16)&gt;MAX(Main!$D$4:$D$1048576),"",INDEX(Main!G$4:G$1048576,MATCH(ROW(A16),Main!$D$4:$D$1048576,0)))="",IF(M18="","",N17),IF(ROW(A16)&gt;MAX(Main!$D$4:$D$1048576),"",INDEX(Main!G$4:G$1048576,MATCH(ROW(A16),Main!$D$4:$D$1048576,0))))</f>
        <v>99999877016</v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>-</v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>ー</v>
      </c>
      <c r="Q18" s="1" t="str">
        <f t="shared" si="2"/>
        <v>else</v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>鶴岡市</v>
      </c>
      <c r="S18" s="9" t="str">
        <f>IF(ROW(G16)&gt;MAX(Main!$D$4:$D$1048576),"",INDEX(Main!K$4:K$1048576,MATCH(ROW(G16),Main!$D$4:$D$1048576,0)))</f>
        <v>99999877001関連</v>
      </c>
      <c r="T18" s="1">
        <f>IF(S18&lt;&gt;"",IF(ROW(G16)&gt;MAX(Main!$D$4:$D$1048576),"",INDEX(Main!N$4:N$1048576,MATCH(ROW(G16),Main!$D$4:$D$1048576,0))),"")</f>
        <v>99999877001</v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>関連</v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>2022/12/23</v>
      </c>
      <c r="C19" s="1">
        <f>IF(IF(ROW(A17)&gt;MAX(Main!$C$4:$C$1048576),"",INDEX(Main!G$4:G$1048576,MATCH(ROW(A17),Main!$C$4:$C$1048576,0)))="",IF(B19="","",C18),IF(ROW(A17)&gt;MAX(Main!$C$4:$C$1048576),"",INDEX(Main!G$4:G$1048576,MATCH(ROW(A17),Main!$C$4:$C$1048576,0))))</f>
        <v>99999877017</v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>-</v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>ー</v>
      </c>
      <c r="F19" s="1" t="str">
        <f t="shared" si="0"/>
        <v>else</v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>鶴岡市</v>
      </c>
      <c r="H19" s="10" t="str">
        <f>IF(ROW(G17)&gt;MAX(Main!$C$4:$C$1048576),"",INDEX(Main!K$4:K$1048576,MATCH(ROW(G17),Main!$C$4:$C$1048576,0)))</f>
        <v>99999877001関連</v>
      </c>
      <c r="I19" s="1">
        <f>IF(H19&lt;&gt;"",IF(ROW(G17)&gt;MAX(Main!$C$4:$C$1048576),"",INDEX(Main!N$4:N$1048576,MATCH(ROW(G17),Main!$C$4:$C$1048576,0))),"")</f>
        <v>99999877001</v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>関連</v>
      </c>
      <c r="K19" s="27" t="str">
        <f t="shared" si="1"/>
        <v>クラスターNo.877</v>
      </c>
      <c r="M19" s="4" t="str">
        <f>TEXT(IF(ROW(A17)&gt;MAX(Main!$D$4:$D$1048576),"",INDEX(Main!Q$4:Q$1048576,MATCH(ROW(A17),Main!$D$4:$D$1048576,0))), "yyyy/m/d")</f>
        <v>2022/12/23</v>
      </c>
      <c r="N19" s="1">
        <f>IF(IF(ROW(A17)&gt;MAX(Main!$D$4:$D$1048576),"",INDEX(Main!G$4:G$1048576,MATCH(ROW(A17),Main!$D$4:$D$1048576,0)))="",IF(M19="","",N18),IF(ROW(A17)&gt;MAX(Main!$D$4:$D$1048576),"",INDEX(Main!G$4:G$1048576,MATCH(ROW(A17),Main!$D$4:$D$1048576,0))))</f>
        <v>99999877017</v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>-</v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>ー</v>
      </c>
      <c r="Q19" s="1" t="str">
        <f t="shared" si="2"/>
        <v>else</v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>鶴岡市</v>
      </c>
      <c r="S19" s="9" t="str">
        <f>IF(ROW(G17)&gt;MAX(Main!$D$4:$D$1048576),"",INDEX(Main!K$4:K$1048576,MATCH(ROW(G17),Main!$D$4:$D$1048576,0)))</f>
        <v>99999877001関連</v>
      </c>
      <c r="T19" s="1">
        <f>IF(S19&lt;&gt;"",IF(ROW(G17)&gt;MAX(Main!$D$4:$D$1048576),"",INDEX(Main!N$4:N$1048576,MATCH(ROW(G17),Main!$D$4:$D$1048576,0))),"")</f>
        <v>99999877001</v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>関連</v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>2022/12/23</v>
      </c>
      <c r="C20" s="1">
        <f>IF(IF(ROW(A18)&gt;MAX(Main!$C$4:$C$1048576),"",INDEX(Main!G$4:G$1048576,MATCH(ROW(A18),Main!$C$4:$C$1048576,0)))="",IF(B20="","",C19),IF(ROW(A18)&gt;MAX(Main!$C$4:$C$1048576),"",INDEX(Main!G$4:G$1048576,MATCH(ROW(A18),Main!$C$4:$C$1048576,0))))</f>
        <v>99999877018</v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>-</v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>ー</v>
      </c>
      <c r="F20" s="1" t="str">
        <f t="shared" si="0"/>
        <v>else</v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>鶴岡市</v>
      </c>
      <c r="H20" s="10" t="str">
        <f>IF(ROW(G18)&gt;MAX(Main!$C$4:$C$1048576),"",INDEX(Main!K$4:K$1048576,MATCH(ROW(G18),Main!$C$4:$C$1048576,0)))</f>
        <v>99999877001関連</v>
      </c>
      <c r="I20" s="1">
        <f>IF(H20&lt;&gt;"",IF(ROW(G18)&gt;MAX(Main!$C$4:$C$1048576),"",INDEX(Main!N$4:N$1048576,MATCH(ROW(G18),Main!$C$4:$C$1048576,0))),"")</f>
        <v>99999877001</v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>関連</v>
      </c>
      <c r="K20" s="27" t="str">
        <f t="shared" si="1"/>
        <v>クラスターNo.877</v>
      </c>
      <c r="M20" s="4" t="str">
        <f>TEXT(IF(ROW(A18)&gt;MAX(Main!$D$4:$D$1048576),"",INDEX(Main!Q$4:Q$1048576,MATCH(ROW(A18),Main!$D$4:$D$1048576,0))), "yyyy/m/d")</f>
        <v>2022/12/23</v>
      </c>
      <c r="N20" s="1">
        <f>IF(IF(ROW(A18)&gt;MAX(Main!$D$4:$D$1048576),"",INDEX(Main!G$4:G$1048576,MATCH(ROW(A18),Main!$D$4:$D$1048576,0)))="",IF(M20="","",N19),IF(ROW(A18)&gt;MAX(Main!$D$4:$D$1048576),"",INDEX(Main!G$4:G$1048576,MATCH(ROW(A18),Main!$D$4:$D$1048576,0))))</f>
        <v>99999877018</v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>-</v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>ー</v>
      </c>
      <c r="Q20" s="1" t="str">
        <f t="shared" si="2"/>
        <v>else</v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>鶴岡市</v>
      </c>
      <c r="S20" s="9" t="str">
        <f>IF(ROW(G18)&gt;MAX(Main!$D$4:$D$1048576),"",INDEX(Main!K$4:K$1048576,MATCH(ROW(G18),Main!$D$4:$D$1048576,0)))</f>
        <v>99999877001関連</v>
      </c>
      <c r="T20" s="1">
        <f>IF(S20&lt;&gt;"",IF(ROW(G18)&gt;MAX(Main!$D$4:$D$1048576),"",INDEX(Main!N$4:N$1048576,MATCH(ROW(G18),Main!$D$4:$D$1048576,0))),"")</f>
        <v>99999877001</v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>関連</v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>2022/12/23</v>
      </c>
      <c r="C21" s="1">
        <f>IF(IF(ROW(A19)&gt;MAX(Main!$C$4:$C$1048576),"",INDEX(Main!G$4:G$1048576,MATCH(ROW(A19),Main!$C$4:$C$1048576,0)))="",IF(B21="","",C20),IF(ROW(A19)&gt;MAX(Main!$C$4:$C$1048576),"",INDEX(Main!G$4:G$1048576,MATCH(ROW(A19),Main!$C$4:$C$1048576,0))))</f>
        <v>99999877019</v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>-</v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>ー</v>
      </c>
      <c r="F21" s="1" t="str">
        <f t="shared" si="0"/>
        <v>else</v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>鶴岡市</v>
      </c>
      <c r="H21" s="10" t="str">
        <f>IF(ROW(G19)&gt;MAX(Main!$C$4:$C$1048576),"",INDEX(Main!K$4:K$1048576,MATCH(ROW(G19),Main!$C$4:$C$1048576,0)))</f>
        <v>99999877001関連</v>
      </c>
      <c r="I21" s="1">
        <f>IF(H21&lt;&gt;"",IF(ROW(G19)&gt;MAX(Main!$C$4:$C$1048576),"",INDEX(Main!N$4:N$1048576,MATCH(ROW(G19),Main!$C$4:$C$1048576,0))),"")</f>
        <v>99999877001</v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>関連</v>
      </c>
      <c r="K21" s="27" t="str">
        <f t="shared" si="1"/>
        <v>クラスターNo.877</v>
      </c>
      <c r="M21" s="4" t="str">
        <f>TEXT(IF(ROW(A19)&gt;MAX(Main!$D$4:$D$1048576),"",INDEX(Main!Q$4:Q$1048576,MATCH(ROW(A19),Main!$D$4:$D$1048576,0))), "yyyy/m/d")</f>
        <v>2022/12/23</v>
      </c>
      <c r="N21" s="1">
        <f>IF(IF(ROW(A19)&gt;MAX(Main!$D$4:$D$1048576),"",INDEX(Main!G$4:G$1048576,MATCH(ROW(A19),Main!$D$4:$D$1048576,0)))="",IF(M21="","",N20),IF(ROW(A19)&gt;MAX(Main!$D$4:$D$1048576),"",INDEX(Main!G$4:G$1048576,MATCH(ROW(A19),Main!$D$4:$D$1048576,0))))</f>
        <v>99999877019</v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>-</v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>ー</v>
      </c>
      <c r="Q21" s="1" t="str">
        <f t="shared" si="2"/>
        <v>else</v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>鶴岡市</v>
      </c>
      <c r="S21" s="9" t="str">
        <f>IF(ROW(G19)&gt;MAX(Main!$D$4:$D$1048576),"",INDEX(Main!K$4:K$1048576,MATCH(ROW(G19),Main!$D$4:$D$1048576,0)))</f>
        <v>99999877001関連</v>
      </c>
      <c r="T21" s="1">
        <f>IF(S21&lt;&gt;"",IF(ROW(G19)&gt;MAX(Main!$D$4:$D$1048576),"",INDEX(Main!N$4:N$1048576,MATCH(ROW(G19),Main!$D$4:$D$1048576,0))),"")</f>
        <v>99999877001</v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>関連</v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>2022/12/23</v>
      </c>
      <c r="C22" s="1">
        <f>IF(IF(ROW(A20)&gt;MAX(Main!$C$4:$C$1048576),"",INDEX(Main!G$4:G$1048576,MATCH(ROW(A20),Main!$C$4:$C$1048576,0)))="",IF(B22="","",C21),IF(ROW(A20)&gt;MAX(Main!$C$4:$C$1048576),"",INDEX(Main!G$4:G$1048576,MATCH(ROW(A20),Main!$C$4:$C$1048576,0))))</f>
        <v>99999877020</v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>-</v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>ー</v>
      </c>
      <c r="F22" s="1" t="str">
        <f t="shared" si="0"/>
        <v>else</v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>鶴岡市</v>
      </c>
      <c r="H22" s="10" t="str">
        <f>IF(ROW(G20)&gt;MAX(Main!$C$4:$C$1048576),"",INDEX(Main!K$4:K$1048576,MATCH(ROW(G20),Main!$C$4:$C$1048576,0)))</f>
        <v>99999877001関連</v>
      </c>
      <c r="I22" s="1">
        <f>IF(H22&lt;&gt;"",IF(ROW(G20)&gt;MAX(Main!$C$4:$C$1048576),"",INDEX(Main!N$4:N$1048576,MATCH(ROW(G20),Main!$C$4:$C$1048576,0))),"")</f>
        <v>99999877001</v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>関連</v>
      </c>
      <c r="K22" s="27" t="str">
        <f t="shared" si="1"/>
        <v>クラスターNo.877</v>
      </c>
      <c r="M22" s="4" t="str">
        <f>TEXT(IF(ROW(A20)&gt;MAX(Main!$D$4:$D$1048576),"",INDEX(Main!Q$4:Q$1048576,MATCH(ROW(A20),Main!$D$4:$D$1048576,0))), "yyyy/m/d")</f>
        <v>2022/12/23</v>
      </c>
      <c r="N22" s="1">
        <f>IF(IF(ROW(A20)&gt;MAX(Main!$D$4:$D$1048576),"",INDEX(Main!G$4:G$1048576,MATCH(ROW(A20),Main!$D$4:$D$1048576,0)))="",IF(M22="","",N21),IF(ROW(A20)&gt;MAX(Main!$D$4:$D$1048576),"",INDEX(Main!G$4:G$1048576,MATCH(ROW(A20),Main!$D$4:$D$1048576,0))))</f>
        <v>99999877020</v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>-</v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>ー</v>
      </c>
      <c r="Q22" s="1" t="str">
        <f t="shared" si="2"/>
        <v>else</v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>鶴岡市</v>
      </c>
      <c r="S22" s="9" t="str">
        <f>IF(ROW(G20)&gt;MAX(Main!$D$4:$D$1048576),"",INDEX(Main!K$4:K$1048576,MATCH(ROW(G20),Main!$D$4:$D$1048576,0)))</f>
        <v>99999877001関連</v>
      </c>
      <c r="T22" s="1">
        <f>IF(S22&lt;&gt;"",IF(ROW(G20)&gt;MAX(Main!$D$4:$D$1048576),"",INDEX(Main!N$4:N$1048576,MATCH(ROW(G20),Main!$D$4:$D$1048576,0))),"")</f>
        <v>99999877001</v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>関連</v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>2022/12/23</v>
      </c>
      <c r="C23" s="1">
        <f>IF(IF(ROW(A21)&gt;MAX(Main!$C$4:$C$1048576),"",INDEX(Main!G$4:G$1048576,MATCH(ROW(A21),Main!$C$4:$C$1048576,0)))="",IF(B23="","",C22),IF(ROW(A21)&gt;MAX(Main!$C$4:$C$1048576),"",INDEX(Main!G$4:G$1048576,MATCH(ROW(A21),Main!$C$4:$C$1048576,0))))</f>
        <v>99999877021</v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>-</v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>ー</v>
      </c>
      <c r="F23" s="1" t="str">
        <f t="shared" si="0"/>
        <v>else</v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>鶴岡市</v>
      </c>
      <c r="H23" s="10" t="str">
        <f>IF(ROW(G21)&gt;MAX(Main!$C$4:$C$1048576),"",INDEX(Main!K$4:K$1048576,MATCH(ROW(G21),Main!$C$4:$C$1048576,0)))</f>
        <v>99999877001関連</v>
      </c>
      <c r="I23" s="1">
        <f>IF(H23&lt;&gt;"",IF(ROW(G21)&gt;MAX(Main!$C$4:$C$1048576),"",INDEX(Main!N$4:N$1048576,MATCH(ROW(G21),Main!$C$4:$C$1048576,0))),"")</f>
        <v>99999877001</v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>関連</v>
      </c>
      <c r="K23" s="27" t="str">
        <f t="shared" si="1"/>
        <v>クラスターNo.877</v>
      </c>
      <c r="M23" s="4" t="str">
        <f>TEXT(IF(ROW(A21)&gt;MAX(Main!$D$4:$D$1048576),"",INDEX(Main!Q$4:Q$1048576,MATCH(ROW(A21),Main!$D$4:$D$1048576,0))), "yyyy/m/d")</f>
        <v>2022/12/23</v>
      </c>
      <c r="N23" s="1">
        <f>IF(IF(ROW(A21)&gt;MAX(Main!$D$4:$D$1048576),"",INDEX(Main!G$4:G$1048576,MATCH(ROW(A21),Main!$D$4:$D$1048576,0)))="",IF(M23="","",N22),IF(ROW(A21)&gt;MAX(Main!$D$4:$D$1048576),"",INDEX(Main!G$4:G$1048576,MATCH(ROW(A21),Main!$D$4:$D$1048576,0))))</f>
        <v>99999877021</v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>-</v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>ー</v>
      </c>
      <c r="Q23" s="1" t="str">
        <f t="shared" si="2"/>
        <v>else</v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>鶴岡市</v>
      </c>
      <c r="S23" s="9" t="str">
        <f>IF(ROW(G21)&gt;MAX(Main!$D$4:$D$1048576),"",INDEX(Main!K$4:K$1048576,MATCH(ROW(G21),Main!$D$4:$D$1048576,0)))</f>
        <v>99999877001関連</v>
      </c>
      <c r="T23" s="1">
        <f>IF(S23&lt;&gt;"",IF(ROW(G21)&gt;MAX(Main!$D$4:$D$1048576),"",INDEX(Main!N$4:N$1048576,MATCH(ROW(G21),Main!$D$4:$D$1048576,0))),"")</f>
        <v>99999877001</v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>関連</v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>2022/12/23</v>
      </c>
      <c r="C24" s="1">
        <f>IF(IF(ROW(A22)&gt;MAX(Main!$C$4:$C$1048576),"",INDEX(Main!G$4:G$1048576,MATCH(ROW(A22),Main!$C$4:$C$1048576,0)))="",IF(B24="","",C23),IF(ROW(A22)&gt;MAX(Main!$C$4:$C$1048576),"",INDEX(Main!G$4:G$1048576,MATCH(ROW(A22),Main!$C$4:$C$1048576,0))))</f>
        <v>99999878001</v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>-</v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>ー</v>
      </c>
      <c r="F24" s="1" t="str">
        <f t="shared" si="0"/>
        <v>else</v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>鶴岡市</v>
      </c>
      <c r="H24" s="10" t="str">
        <f>IF(ROW(G22)&gt;MAX(Main!$C$4:$C$1048576),"",INDEX(Main!K$4:K$1048576,MATCH(ROW(G22),Main!$C$4:$C$1048576,0)))</f>
        <v>99999878001医療機関</v>
      </c>
      <c r="I24" s="1">
        <f>IF(H24&lt;&gt;"",IF(ROW(G22)&gt;MAX(Main!$C$4:$C$1048576),"",INDEX(Main!N$4:N$1048576,MATCH(ROW(G22),Main!$C$4:$C$1048576,0))),"")</f>
        <v>99999878001</v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>医療機関</v>
      </c>
      <c r="K24" s="27" t="str">
        <f t="shared" si="1"/>
        <v>クラスターNo.878</v>
      </c>
      <c r="M24" s="4" t="str">
        <f>TEXT(IF(ROW(A22)&gt;MAX(Main!$D$4:$D$1048576),"",INDEX(Main!Q$4:Q$1048576,MATCH(ROW(A22),Main!$D$4:$D$1048576,0))), "yyyy/m/d")</f>
        <v>2022/12/23</v>
      </c>
      <c r="N24" s="1">
        <f>IF(IF(ROW(A22)&gt;MAX(Main!$D$4:$D$1048576),"",INDEX(Main!G$4:G$1048576,MATCH(ROW(A22),Main!$D$4:$D$1048576,0)))="",IF(M24="","",N23),IF(ROW(A22)&gt;MAX(Main!$D$4:$D$1048576),"",INDEX(Main!G$4:G$1048576,MATCH(ROW(A22),Main!$D$4:$D$1048576,0))))</f>
        <v>99999878001</v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>-</v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>ー</v>
      </c>
      <c r="Q24" s="1" t="str">
        <f t="shared" si="2"/>
        <v>else</v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>鶴岡市</v>
      </c>
      <c r="S24" s="9" t="str">
        <f>IF(ROW(G22)&gt;MAX(Main!$D$4:$D$1048576),"",INDEX(Main!K$4:K$1048576,MATCH(ROW(G22),Main!$D$4:$D$1048576,0)))</f>
        <v>99999878001医療機関</v>
      </c>
      <c r="T24" s="1">
        <f>IF(S24&lt;&gt;"",IF(ROW(G22)&gt;MAX(Main!$D$4:$D$1048576),"",INDEX(Main!N$4:N$1048576,MATCH(ROW(G22),Main!$D$4:$D$1048576,0))),"")</f>
        <v>99999878001</v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>医療機関</v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>2022/12/23</v>
      </c>
      <c r="C25" s="1">
        <f>IF(IF(ROW(A23)&gt;MAX(Main!$C$4:$C$1048576),"",INDEX(Main!G$4:G$1048576,MATCH(ROW(A23),Main!$C$4:$C$1048576,0)))="",IF(B25="","",C24),IF(ROW(A23)&gt;MAX(Main!$C$4:$C$1048576),"",INDEX(Main!G$4:G$1048576,MATCH(ROW(A23),Main!$C$4:$C$1048576,0))))</f>
        <v>99999878002</v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>-</v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>ー</v>
      </c>
      <c r="F25" s="1" t="str">
        <f t="shared" si="0"/>
        <v>else</v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>鶴岡市</v>
      </c>
      <c r="H25" s="10" t="str">
        <f>IF(ROW(G23)&gt;MAX(Main!$C$4:$C$1048576),"",INDEX(Main!K$4:K$1048576,MATCH(ROW(G23),Main!$C$4:$C$1048576,0)))</f>
        <v>99999878001関連</v>
      </c>
      <c r="I25" s="1">
        <f>IF(H25&lt;&gt;"",IF(ROW(G23)&gt;MAX(Main!$C$4:$C$1048576),"",INDEX(Main!N$4:N$1048576,MATCH(ROW(G23),Main!$C$4:$C$1048576,0))),"")</f>
        <v>99999878001</v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>関連</v>
      </c>
      <c r="K25" s="27" t="str">
        <f t="shared" si="1"/>
        <v>クラスターNo.878</v>
      </c>
      <c r="M25" s="4" t="str">
        <f>TEXT(IF(ROW(A23)&gt;MAX(Main!$D$4:$D$1048576),"",INDEX(Main!Q$4:Q$1048576,MATCH(ROW(A23),Main!$D$4:$D$1048576,0))), "yyyy/m/d")</f>
        <v>2022/12/23</v>
      </c>
      <c r="N25" s="1">
        <f>IF(IF(ROW(A23)&gt;MAX(Main!$D$4:$D$1048576),"",INDEX(Main!G$4:G$1048576,MATCH(ROW(A23),Main!$D$4:$D$1048576,0)))="",IF(M25="","",N24),IF(ROW(A23)&gt;MAX(Main!$D$4:$D$1048576),"",INDEX(Main!G$4:G$1048576,MATCH(ROW(A23),Main!$D$4:$D$1048576,0))))</f>
        <v>99999878002</v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>-</v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>ー</v>
      </c>
      <c r="Q25" s="1" t="str">
        <f t="shared" si="2"/>
        <v>else</v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>鶴岡市</v>
      </c>
      <c r="S25" s="9" t="str">
        <f>IF(ROW(G23)&gt;MAX(Main!$D$4:$D$1048576),"",INDEX(Main!K$4:K$1048576,MATCH(ROW(G23),Main!$D$4:$D$1048576,0)))</f>
        <v>99999878001関連</v>
      </c>
      <c r="T25" s="1">
        <f>IF(S25&lt;&gt;"",IF(ROW(G23)&gt;MAX(Main!$D$4:$D$1048576),"",INDEX(Main!N$4:N$1048576,MATCH(ROW(G23),Main!$D$4:$D$1048576,0))),"")</f>
        <v>99999878001</v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>関連</v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>2022/12/23</v>
      </c>
      <c r="C26" s="1">
        <f>IF(IF(ROW(A24)&gt;MAX(Main!$C$4:$C$1048576),"",INDEX(Main!G$4:G$1048576,MATCH(ROW(A24),Main!$C$4:$C$1048576,0)))="",IF(B26="","",C25),IF(ROW(A24)&gt;MAX(Main!$C$4:$C$1048576),"",INDEX(Main!G$4:G$1048576,MATCH(ROW(A24),Main!$C$4:$C$1048576,0))))</f>
        <v>99999878003</v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>-</v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>ー</v>
      </c>
      <c r="F26" s="1" t="str">
        <f t="shared" si="0"/>
        <v>else</v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>鶴岡市</v>
      </c>
      <c r="H26" s="10" t="str">
        <f>IF(ROW(G24)&gt;MAX(Main!$C$4:$C$1048576),"",INDEX(Main!K$4:K$1048576,MATCH(ROW(G24),Main!$C$4:$C$1048576,0)))</f>
        <v>99999878001関連</v>
      </c>
      <c r="I26" s="1">
        <f>IF(H26&lt;&gt;"",IF(ROW(G24)&gt;MAX(Main!$C$4:$C$1048576),"",INDEX(Main!N$4:N$1048576,MATCH(ROW(G24),Main!$C$4:$C$1048576,0))),"")</f>
        <v>99999878001</v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>関連</v>
      </c>
      <c r="K26" s="27" t="str">
        <f t="shared" si="1"/>
        <v>クラスターNo.878</v>
      </c>
      <c r="M26" s="4" t="str">
        <f>TEXT(IF(ROW(A24)&gt;MAX(Main!$D$4:$D$1048576),"",INDEX(Main!Q$4:Q$1048576,MATCH(ROW(A24),Main!$D$4:$D$1048576,0))), "yyyy/m/d")</f>
        <v>2022/12/23</v>
      </c>
      <c r="N26" s="1">
        <f>IF(IF(ROW(A24)&gt;MAX(Main!$D$4:$D$1048576),"",INDEX(Main!G$4:G$1048576,MATCH(ROW(A24),Main!$D$4:$D$1048576,0)))="",IF(M26="","",N25),IF(ROW(A24)&gt;MAX(Main!$D$4:$D$1048576),"",INDEX(Main!G$4:G$1048576,MATCH(ROW(A24),Main!$D$4:$D$1048576,0))))</f>
        <v>99999878003</v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>-</v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>ー</v>
      </c>
      <c r="Q26" s="1" t="str">
        <f t="shared" si="2"/>
        <v>else</v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>鶴岡市</v>
      </c>
      <c r="S26" s="9" t="str">
        <f>IF(ROW(G24)&gt;MAX(Main!$D$4:$D$1048576),"",INDEX(Main!K$4:K$1048576,MATCH(ROW(G24),Main!$D$4:$D$1048576,0)))</f>
        <v>99999878001関連</v>
      </c>
      <c r="T26" s="1">
        <f>IF(S26&lt;&gt;"",IF(ROW(G24)&gt;MAX(Main!$D$4:$D$1048576),"",INDEX(Main!N$4:N$1048576,MATCH(ROW(G24),Main!$D$4:$D$1048576,0))),"")</f>
        <v>99999878001</v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>関連</v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>2022/12/23</v>
      </c>
      <c r="C27" s="1">
        <f>IF(IF(ROW(A25)&gt;MAX(Main!$C$4:$C$1048576),"",INDEX(Main!G$4:G$1048576,MATCH(ROW(A25),Main!$C$4:$C$1048576,0)))="",IF(B27="","",C26),IF(ROW(A25)&gt;MAX(Main!$C$4:$C$1048576),"",INDEX(Main!G$4:G$1048576,MATCH(ROW(A25),Main!$C$4:$C$1048576,0))))</f>
        <v>99999878004</v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>-</v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>ー</v>
      </c>
      <c r="F27" s="1" t="str">
        <f t="shared" si="0"/>
        <v>else</v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>鶴岡市</v>
      </c>
      <c r="H27" s="10" t="str">
        <f>IF(ROW(G25)&gt;MAX(Main!$C$4:$C$1048576),"",INDEX(Main!K$4:K$1048576,MATCH(ROW(G25),Main!$C$4:$C$1048576,0)))</f>
        <v>99999878001関連</v>
      </c>
      <c r="I27" s="1">
        <f>IF(H27&lt;&gt;"",IF(ROW(G25)&gt;MAX(Main!$C$4:$C$1048576),"",INDEX(Main!N$4:N$1048576,MATCH(ROW(G25),Main!$C$4:$C$1048576,0))),"")</f>
        <v>99999878001</v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>関連</v>
      </c>
      <c r="K27" s="27" t="str">
        <f t="shared" si="1"/>
        <v>クラスターNo.878</v>
      </c>
      <c r="M27" s="4" t="str">
        <f>TEXT(IF(ROW(A25)&gt;MAX(Main!$D$4:$D$1048576),"",INDEX(Main!Q$4:Q$1048576,MATCH(ROW(A25),Main!$D$4:$D$1048576,0))), "yyyy/m/d")</f>
        <v>2022/12/23</v>
      </c>
      <c r="N27" s="1">
        <f>IF(IF(ROW(A25)&gt;MAX(Main!$D$4:$D$1048576),"",INDEX(Main!G$4:G$1048576,MATCH(ROW(A25),Main!$D$4:$D$1048576,0)))="",IF(M27="","",N26),IF(ROW(A25)&gt;MAX(Main!$D$4:$D$1048576),"",INDEX(Main!G$4:G$1048576,MATCH(ROW(A25),Main!$D$4:$D$1048576,0))))</f>
        <v>99999878004</v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>-</v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>ー</v>
      </c>
      <c r="Q27" s="1" t="str">
        <f t="shared" si="2"/>
        <v>else</v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>鶴岡市</v>
      </c>
      <c r="S27" s="9" t="str">
        <f>IF(ROW(G25)&gt;MAX(Main!$D$4:$D$1048576),"",INDEX(Main!K$4:K$1048576,MATCH(ROW(G25),Main!$D$4:$D$1048576,0)))</f>
        <v>99999878001関連</v>
      </c>
      <c r="T27" s="1">
        <f>IF(S27&lt;&gt;"",IF(ROW(G25)&gt;MAX(Main!$D$4:$D$1048576),"",INDEX(Main!N$4:N$1048576,MATCH(ROW(G25),Main!$D$4:$D$1048576,0))),"")</f>
        <v>99999878001</v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>関連</v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>2022/12/23</v>
      </c>
      <c r="C28" s="1">
        <f>IF(IF(ROW(A26)&gt;MAX(Main!$C$4:$C$1048576),"",INDEX(Main!G$4:G$1048576,MATCH(ROW(A26),Main!$C$4:$C$1048576,0)))="",IF(B28="","",C27),IF(ROW(A26)&gt;MAX(Main!$C$4:$C$1048576),"",INDEX(Main!G$4:G$1048576,MATCH(ROW(A26),Main!$C$4:$C$1048576,0))))</f>
        <v>99999878005</v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>-</v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>ー</v>
      </c>
      <c r="F28" s="1" t="str">
        <f t="shared" si="0"/>
        <v>else</v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>鶴岡市</v>
      </c>
      <c r="H28" s="10" t="str">
        <f>IF(ROW(G26)&gt;MAX(Main!$C$4:$C$1048576),"",INDEX(Main!K$4:K$1048576,MATCH(ROW(G26),Main!$C$4:$C$1048576,0)))</f>
        <v>99999878001関連</v>
      </c>
      <c r="I28" s="1">
        <f>IF(H28&lt;&gt;"",IF(ROW(G26)&gt;MAX(Main!$C$4:$C$1048576),"",INDEX(Main!N$4:N$1048576,MATCH(ROW(G26),Main!$C$4:$C$1048576,0))),"")</f>
        <v>99999878001</v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>関連</v>
      </c>
      <c r="K28" s="27" t="str">
        <f t="shared" si="1"/>
        <v>クラスターNo.878</v>
      </c>
      <c r="M28" s="4" t="str">
        <f>TEXT(IF(ROW(A26)&gt;MAX(Main!$D$4:$D$1048576),"",INDEX(Main!Q$4:Q$1048576,MATCH(ROW(A26),Main!$D$4:$D$1048576,0))), "yyyy/m/d")</f>
        <v>2022/12/23</v>
      </c>
      <c r="N28" s="1">
        <f>IF(IF(ROW(A26)&gt;MAX(Main!$D$4:$D$1048576),"",INDEX(Main!G$4:G$1048576,MATCH(ROW(A26),Main!$D$4:$D$1048576,0)))="",IF(M28="","",N27),IF(ROW(A26)&gt;MAX(Main!$D$4:$D$1048576),"",INDEX(Main!G$4:G$1048576,MATCH(ROW(A26),Main!$D$4:$D$1048576,0))))</f>
        <v>99999878005</v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>-</v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>ー</v>
      </c>
      <c r="Q28" s="1" t="str">
        <f t="shared" si="2"/>
        <v>else</v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>鶴岡市</v>
      </c>
      <c r="S28" s="9" t="str">
        <f>IF(ROW(G26)&gt;MAX(Main!$D$4:$D$1048576),"",INDEX(Main!K$4:K$1048576,MATCH(ROW(G26),Main!$D$4:$D$1048576,0)))</f>
        <v>99999878001関連</v>
      </c>
      <c r="T28" s="1">
        <f>IF(S28&lt;&gt;"",IF(ROW(G26)&gt;MAX(Main!$D$4:$D$1048576),"",INDEX(Main!N$4:N$1048576,MATCH(ROW(G26),Main!$D$4:$D$1048576,0))),"")</f>
        <v>99999878001</v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>関連</v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>2022/12/23</v>
      </c>
      <c r="C29" s="1">
        <f>IF(IF(ROW(A27)&gt;MAX(Main!$C$4:$C$1048576),"",INDEX(Main!G$4:G$1048576,MATCH(ROW(A27),Main!$C$4:$C$1048576,0)))="",IF(B29="","",C28),IF(ROW(A27)&gt;MAX(Main!$C$4:$C$1048576),"",INDEX(Main!G$4:G$1048576,MATCH(ROW(A27),Main!$C$4:$C$1048576,0))))</f>
        <v>99999878006</v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>-</v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>ー</v>
      </c>
      <c r="F29" s="1" t="str">
        <f t="shared" si="0"/>
        <v>else</v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>鶴岡市</v>
      </c>
      <c r="H29" s="10" t="str">
        <f>IF(ROW(G27)&gt;MAX(Main!$C$4:$C$1048576),"",INDEX(Main!K$4:K$1048576,MATCH(ROW(G27),Main!$C$4:$C$1048576,0)))</f>
        <v>99999878001関連</v>
      </c>
      <c r="I29" s="1">
        <f>IF(H29&lt;&gt;"",IF(ROW(G27)&gt;MAX(Main!$C$4:$C$1048576),"",INDEX(Main!N$4:N$1048576,MATCH(ROW(G27),Main!$C$4:$C$1048576,0))),"")</f>
        <v>99999878001</v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>関連</v>
      </c>
      <c r="K29" s="27" t="str">
        <f t="shared" si="1"/>
        <v>クラスターNo.878</v>
      </c>
      <c r="M29" s="4" t="str">
        <f>TEXT(IF(ROW(A27)&gt;MAX(Main!$D$4:$D$1048576),"",INDEX(Main!Q$4:Q$1048576,MATCH(ROW(A27),Main!$D$4:$D$1048576,0))), "yyyy/m/d")</f>
        <v>2022/12/23</v>
      </c>
      <c r="N29" s="1">
        <f>IF(IF(ROW(A27)&gt;MAX(Main!$D$4:$D$1048576),"",INDEX(Main!G$4:G$1048576,MATCH(ROW(A27),Main!$D$4:$D$1048576,0)))="",IF(M29="","",N28),IF(ROW(A27)&gt;MAX(Main!$D$4:$D$1048576),"",INDEX(Main!G$4:G$1048576,MATCH(ROW(A27),Main!$D$4:$D$1048576,0))))</f>
        <v>99999878006</v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>-</v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>ー</v>
      </c>
      <c r="Q29" s="1" t="str">
        <f t="shared" si="2"/>
        <v>else</v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>鶴岡市</v>
      </c>
      <c r="S29" s="9" t="str">
        <f>IF(ROW(G27)&gt;MAX(Main!$D$4:$D$1048576),"",INDEX(Main!K$4:K$1048576,MATCH(ROW(G27),Main!$D$4:$D$1048576,0)))</f>
        <v>99999878001関連</v>
      </c>
      <c r="T29" s="1">
        <f>IF(S29&lt;&gt;"",IF(ROW(G27)&gt;MAX(Main!$D$4:$D$1048576),"",INDEX(Main!N$4:N$1048576,MATCH(ROW(G27),Main!$D$4:$D$1048576,0))),"")</f>
        <v>99999878001</v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>関連</v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>2022/12/23</v>
      </c>
      <c r="C30" s="1">
        <f>IF(IF(ROW(A28)&gt;MAX(Main!$C$4:$C$1048576),"",INDEX(Main!G$4:G$1048576,MATCH(ROW(A28),Main!$C$4:$C$1048576,0)))="",IF(B30="","",C29),IF(ROW(A28)&gt;MAX(Main!$C$4:$C$1048576),"",INDEX(Main!G$4:G$1048576,MATCH(ROW(A28),Main!$C$4:$C$1048576,0))))</f>
        <v>99999878007</v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>-</v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>ー</v>
      </c>
      <c r="F30" s="1" t="str">
        <f t="shared" si="0"/>
        <v>else</v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>鶴岡市</v>
      </c>
      <c r="H30" s="10" t="str">
        <f>IF(ROW(G28)&gt;MAX(Main!$C$4:$C$1048576),"",INDEX(Main!K$4:K$1048576,MATCH(ROW(G28),Main!$C$4:$C$1048576,0)))</f>
        <v>99999878001関連</v>
      </c>
      <c r="I30" s="1">
        <f>IF(H30&lt;&gt;"",IF(ROW(G28)&gt;MAX(Main!$C$4:$C$1048576),"",INDEX(Main!N$4:N$1048576,MATCH(ROW(G28),Main!$C$4:$C$1048576,0))),"")</f>
        <v>99999878001</v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>関連</v>
      </c>
      <c r="K30" s="27" t="str">
        <f t="shared" si="1"/>
        <v>クラスターNo.878</v>
      </c>
      <c r="M30" s="4" t="str">
        <f>TEXT(IF(ROW(A28)&gt;MAX(Main!$D$4:$D$1048576),"",INDEX(Main!Q$4:Q$1048576,MATCH(ROW(A28),Main!$D$4:$D$1048576,0))), "yyyy/m/d")</f>
        <v>2022/12/23</v>
      </c>
      <c r="N30" s="1">
        <f>IF(IF(ROW(A28)&gt;MAX(Main!$D$4:$D$1048576),"",INDEX(Main!G$4:G$1048576,MATCH(ROW(A28),Main!$D$4:$D$1048576,0)))="",IF(M30="","",N29),IF(ROW(A28)&gt;MAX(Main!$D$4:$D$1048576),"",INDEX(Main!G$4:G$1048576,MATCH(ROW(A28),Main!$D$4:$D$1048576,0))))</f>
        <v>99999878007</v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>-</v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>ー</v>
      </c>
      <c r="Q30" s="1" t="str">
        <f t="shared" si="2"/>
        <v>else</v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>鶴岡市</v>
      </c>
      <c r="S30" s="9" t="str">
        <f>IF(ROW(G28)&gt;MAX(Main!$D$4:$D$1048576),"",INDEX(Main!K$4:K$1048576,MATCH(ROW(G28),Main!$D$4:$D$1048576,0)))</f>
        <v>99999878001関連</v>
      </c>
      <c r="T30" s="1">
        <f>IF(S30&lt;&gt;"",IF(ROW(G28)&gt;MAX(Main!$D$4:$D$1048576),"",INDEX(Main!N$4:N$1048576,MATCH(ROW(G28),Main!$D$4:$D$1048576,0))),"")</f>
        <v>99999878001</v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>関連</v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>2022/12/23</v>
      </c>
      <c r="C31" s="1">
        <f>IF(IF(ROW(A29)&gt;MAX(Main!$C$4:$C$1048576),"",INDEX(Main!G$4:G$1048576,MATCH(ROW(A29),Main!$C$4:$C$1048576,0)))="",IF(B31="","",C30),IF(ROW(A29)&gt;MAX(Main!$C$4:$C$1048576),"",INDEX(Main!G$4:G$1048576,MATCH(ROW(A29),Main!$C$4:$C$1048576,0))))</f>
        <v>99999878008</v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>-</v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>ー</v>
      </c>
      <c r="F31" s="1" t="str">
        <f t="shared" si="0"/>
        <v>else</v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>鶴岡市</v>
      </c>
      <c r="H31" s="10" t="str">
        <f>IF(ROW(G29)&gt;MAX(Main!$C$4:$C$1048576),"",INDEX(Main!K$4:K$1048576,MATCH(ROW(G29),Main!$C$4:$C$1048576,0)))</f>
        <v>99999878001関連</v>
      </c>
      <c r="I31" s="1">
        <f>IF(H31&lt;&gt;"",IF(ROW(G29)&gt;MAX(Main!$C$4:$C$1048576),"",INDEX(Main!N$4:N$1048576,MATCH(ROW(G29),Main!$C$4:$C$1048576,0))),"")</f>
        <v>99999878001</v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>関連</v>
      </c>
      <c r="K31" s="27" t="str">
        <f t="shared" si="1"/>
        <v>クラスターNo.878</v>
      </c>
      <c r="M31" s="4" t="str">
        <f>TEXT(IF(ROW(A29)&gt;MAX(Main!$D$4:$D$1048576),"",INDEX(Main!Q$4:Q$1048576,MATCH(ROW(A29),Main!$D$4:$D$1048576,0))), "yyyy/m/d")</f>
        <v>2022/12/23</v>
      </c>
      <c r="N31" s="1">
        <f>IF(IF(ROW(A29)&gt;MAX(Main!$D$4:$D$1048576),"",INDEX(Main!G$4:G$1048576,MATCH(ROW(A29),Main!$D$4:$D$1048576,0)))="",IF(M31="","",N30),IF(ROW(A29)&gt;MAX(Main!$D$4:$D$1048576),"",INDEX(Main!G$4:G$1048576,MATCH(ROW(A29),Main!$D$4:$D$1048576,0))))</f>
        <v>99999878008</v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>-</v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>ー</v>
      </c>
      <c r="Q31" s="1" t="str">
        <f t="shared" si="2"/>
        <v>else</v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>鶴岡市</v>
      </c>
      <c r="S31" s="9" t="str">
        <f>IF(ROW(G29)&gt;MAX(Main!$D$4:$D$1048576),"",INDEX(Main!K$4:K$1048576,MATCH(ROW(G29),Main!$D$4:$D$1048576,0)))</f>
        <v>99999878001関連</v>
      </c>
      <c r="T31" s="1">
        <f>IF(S31&lt;&gt;"",IF(ROW(G29)&gt;MAX(Main!$D$4:$D$1048576),"",INDEX(Main!N$4:N$1048576,MATCH(ROW(G29),Main!$D$4:$D$1048576,0))),"")</f>
        <v>99999878001</v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>関連</v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>2022/12/23</v>
      </c>
      <c r="C32" s="1">
        <f>IF(IF(ROW(A30)&gt;MAX(Main!$C$4:$C$1048576),"",INDEX(Main!G$4:G$1048576,MATCH(ROW(A30),Main!$C$4:$C$1048576,0)))="",IF(B32="","",C31),IF(ROW(A30)&gt;MAX(Main!$C$4:$C$1048576),"",INDEX(Main!G$4:G$1048576,MATCH(ROW(A30),Main!$C$4:$C$1048576,0))))</f>
        <v>99999879001</v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>-</v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>ー</v>
      </c>
      <c r="F32" s="1" t="str">
        <f t="shared" si="0"/>
        <v>else</v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>山形市</v>
      </c>
      <c r="H32" s="10" t="str">
        <f>IF(ROW(G30)&gt;MAX(Main!$C$4:$C$1048576),"",INDEX(Main!K$4:K$1048576,MATCH(ROW(G30),Main!$C$4:$C$1048576,0)))</f>
        <v>99999879001介護施設</v>
      </c>
      <c r="I32" s="1">
        <f>IF(H32&lt;&gt;"",IF(ROW(G30)&gt;MAX(Main!$C$4:$C$1048576),"",INDEX(Main!N$4:N$1048576,MATCH(ROW(G30),Main!$C$4:$C$1048576,0))),"")</f>
        <v>99999879001</v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>介護施設</v>
      </c>
      <c r="K32" s="27" t="str">
        <f t="shared" si="1"/>
        <v>クラスターNo.879</v>
      </c>
      <c r="M32" s="4" t="str">
        <f>TEXT(IF(ROW(A30)&gt;MAX(Main!$D$4:$D$1048576),"",INDEX(Main!Q$4:Q$1048576,MATCH(ROW(A30),Main!$D$4:$D$1048576,0))), "yyyy/m/d")</f>
        <v>2022/12/23</v>
      </c>
      <c r="N32" s="1">
        <f>IF(IF(ROW(A30)&gt;MAX(Main!$D$4:$D$1048576),"",INDEX(Main!G$4:G$1048576,MATCH(ROW(A30),Main!$D$4:$D$1048576,0)))="",IF(M32="","",N31),IF(ROW(A30)&gt;MAX(Main!$D$4:$D$1048576),"",INDEX(Main!G$4:G$1048576,MATCH(ROW(A30),Main!$D$4:$D$1048576,0))))</f>
        <v>99999879001</v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>-</v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>ー</v>
      </c>
      <c r="Q32" s="1" t="str">
        <f t="shared" si="2"/>
        <v>else</v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>山形市</v>
      </c>
      <c r="S32" s="9" t="str">
        <f>IF(ROW(G30)&gt;MAX(Main!$D$4:$D$1048576),"",INDEX(Main!K$4:K$1048576,MATCH(ROW(G30),Main!$D$4:$D$1048576,0)))</f>
        <v>99999879001介護施設</v>
      </c>
      <c r="T32" s="1">
        <f>IF(S32&lt;&gt;"",IF(ROW(G30)&gt;MAX(Main!$D$4:$D$1048576),"",INDEX(Main!N$4:N$1048576,MATCH(ROW(G30),Main!$D$4:$D$1048576,0))),"")</f>
        <v>99999879001</v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>介護施設</v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30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99999877001,
            "date": "2022/12/23",
            "label": "クラスターNo.877\n2022/12/23\n鶴岡市\n-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99999877002,
            "date": "2022/12/23",
            "label": "クラスターNo.877\n2022/12/23\n鶴岡市\n-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99999877003,
            "date": "2022/12/23",
            "label": "クラスターNo.877\n2022/12/23\n鶴岡市\n- ー"
        },
        "classes": ["multiline-manual", "else"]
    },
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99999877004,
            "date": "2022/12/23",
            "label": "クラスターNo.877\n2022/12/23\n鶴岡市\n- ー"
        },
        "classes": ["multiline-manual", "else"]
    },
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99999877005,
            "date": "2022/12/23",
            "label": "クラスターNo.877\n2022/12/23\n鶴岡市\n- ー"
        },
        "classes": ["multiline-manual", "else"]
    },
</v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99999877006,
            "date": "2022/12/23",
            "label": "クラスターNo.877\n2022/12/23\n鶴岡市\n- ー"
        },
        "classes": ["multiline-manual", "else"]
    },
</v>
      </c>
    </row>
    <row r="19" spans="2:3" ht="168.75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 xml:space="preserve">    {
        "data": {
            "id": 99999877007,
            "date": "2022/12/23",
            "label": "クラスターNo.877\n2022/12/23\n鶴岡市\n- ー"
        },
        "classes": ["multiline-manual", "else"]
    },
</v>
      </c>
    </row>
    <row r="20" spans="2:3" ht="168.75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 xml:space="preserve">    {
        "data": {
            "id": 99999877008,
            "date": "2022/12/23",
            "label": "クラスターNo.877\n2022/12/23\n鶴岡市\n- ー"
        },
        "classes": ["multiline-manual", "else"]
    },
</v>
      </c>
    </row>
    <row r="21" spans="2:3" ht="168.75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 xml:space="preserve">    {
        "data": {
            "id": 99999877009,
            "date": "2022/12/23",
            "label": "クラスターNo.877\n2022/12/23\n鶴岡市\n- ー"
        },
        "classes": ["multiline-manual", "else"]
    },
</v>
      </c>
    </row>
    <row r="22" spans="2:3" ht="168.75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 xml:space="preserve">    {
        "data": {
            "id": 99999877010,
            "date": "2022/12/23",
            "label": "クラスターNo.877\n2022/12/23\n鶴岡市\n- ー"
        },
        "classes": ["multiline-manual", "else"]
    },
</v>
      </c>
    </row>
    <row r="23" spans="2:3" ht="168.75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 xml:space="preserve">    {
        "data": {
            "id": 99999877011,
            "date": "2022/12/23",
            "label": "クラスターNo.877\n2022/12/23\n鶴岡市\n- ー"
        },
        "classes": ["multiline-manual", "else"]
    },
</v>
      </c>
    </row>
    <row r="24" spans="2:3" ht="168.75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 xml:space="preserve">    {
        "data": {
            "id": 99999877012,
            "date": "2022/12/23",
            "label": "クラスターNo.877\n2022/12/23\n鶴岡市\n- ー"
        },
        "classes": ["multiline-manual", "else"]
    },
</v>
      </c>
    </row>
    <row r="25" spans="2:3" ht="168.75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 xml:space="preserve">    {
        "data": {
            "id": 99999877013,
            "date": "2022/12/23",
            "label": "クラスターNo.877\n2022/12/23\n鶴岡市\n- ー"
        },
        "classes": ["multiline-manual", "else"]
    },
</v>
      </c>
    </row>
    <row r="26" spans="2:3" ht="168.75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 xml:space="preserve">    {
        "data": {
            "id": 99999877014,
            "date": "2022/12/23",
            "label": "クラスターNo.877\n2022/12/23\n鶴岡市\n- ー"
        },
        "classes": ["multiline-manual", "else"]
    },
</v>
      </c>
    </row>
    <row r="27" spans="2:3" ht="168.75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 xml:space="preserve">    {
        "data": {
            "id": 99999877015,
            "date": "2022/12/23",
            "label": "クラスターNo.877\n2022/12/23\n鶴岡市\n- ー"
        },
        "classes": ["multiline-manual", "else"]
    },
</v>
      </c>
    </row>
    <row r="28" spans="2:3" ht="168.75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 xml:space="preserve">    {
        "data": {
            "id": 99999877016,
            "date": "2022/12/23",
            "label": "クラスターNo.877\n2022/12/23\n鶴岡市\n- ー"
        },
        "classes": ["multiline-manual", "else"]
    },
</v>
      </c>
    </row>
    <row r="29" spans="2:3" ht="168.75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 xml:space="preserve">    {
        "data": {
            "id": 99999877017,
            "date": "2022/12/23",
            "label": "クラスターNo.877\n2022/12/23\n鶴岡市\n- ー"
        },
        "classes": ["multiline-manual", "else"]
    },
</v>
      </c>
    </row>
    <row r="30" spans="2:3" ht="168.75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 xml:space="preserve">    {
        "data": {
            "id": 99999877018,
            "date": "2022/12/23",
            "label": "クラスターNo.877\n2022/12/23\n鶴岡市\n- ー"
        },
        "classes": ["multiline-manual", "else"]
    },
</v>
      </c>
    </row>
    <row r="31" spans="2:3" ht="168.75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 xml:space="preserve">    {
        "data": {
            "id": 99999877019,
            "date": "2022/12/23",
            "label": "クラスターNo.877\n2022/12/23\n鶴岡市\n- ー"
        },
        "classes": ["multiline-manual", "else"]
    },
</v>
      </c>
    </row>
    <row r="32" spans="2:3" ht="168.75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 xml:space="preserve">    {
        "data": {
            "id": 99999877020,
            "date": "2022/12/23",
            "label": "クラスターNo.877\n2022/12/23\n鶴岡市\n- ー"
        },
        "classes": ["multiline-manual", "else"]
    },
</v>
      </c>
    </row>
    <row r="33" spans="2:3" ht="168.75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 xml:space="preserve">    {
        "data": {
            "id": 99999877021,
            "date": "2022/12/23",
            "label": "クラスターNo.877\n2022/12/23\n鶴岡市\n- ー"
        },
        "classes": ["multiline-manual", "else"]
    },
</v>
      </c>
    </row>
    <row r="34" spans="2:3" ht="168.75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 xml:space="preserve">    {
        "data": {
            "id": 99999878001,
            "date": "2022/12/23",
            "label": "クラスターNo.878\n2022/12/23\n鶴岡市\n- ー"
        },
        "classes": ["multiline-manual", "else"]
    },
</v>
      </c>
    </row>
    <row r="35" spans="2:3" ht="168.75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 xml:space="preserve">    {
        "data": {
            "id": 99999878002,
            "date": "2022/12/23",
            "label": "クラスターNo.878\n2022/12/23\n鶴岡市\n- ー"
        },
        "classes": ["multiline-manual", "else"]
    },
</v>
      </c>
    </row>
    <row r="36" spans="2:3" ht="168.75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 xml:space="preserve">    {
        "data": {
            "id": 99999878003,
            "date": "2022/12/23",
            "label": "クラスターNo.878\n2022/12/23\n鶴岡市\n- ー"
        },
        "classes": ["multiline-manual", "else"]
    },
</v>
      </c>
    </row>
    <row r="37" spans="2:3" ht="168.75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 xml:space="preserve">    {
        "data": {
            "id": 99999878004,
            "date": "2022/12/23",
            "label": "クラスターNo.878\n2022/12/23\n鶴岡市\n- ー"
        },
        "classes": ["multiline-manual", "else"]
    },
</v>
      </c>
    </row>
    <row r="38" spans="2:3" ht="168.75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 xml:space="preserve">    {
        "data": {
            "id": 99999878005,
            "date": "2022/12/23",
            "label": "クラスターNo.878\n2022/12/23\n鶴岡市\n- ー"
        },
        "classes": ["multiline-manual", "else"]
    },
</v>
      </c>
    </row>
    <row r="39" spans="2:3" ht="168.75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 xml:space="preserve">    {
        "data": {
            "id": 99999878006,
            "date": "2022/12/23",
            "label": "クラスターNo.878\n2022/12/23\n鶴岡市\n- ー"
        },
        "classes": ["multiline-manual", "else"]
    },
</v>
      </c>
    </row>
    <row r="40" spans="2:3" ht="168.75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 xml:space="preserve">    {
        "data": {
            "id": 99999878007,
            "date": "2022/12/23",
            "label": "クラスターNo.878\n2022/12/23\n鶴岡市\n- ー"
        },
        "classes": ["multiline-manual", "else"]
    },
</v>
      </c>
    </row>
    <row r="41" spans="2:3" ht="168.75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 xml:space="preserve">    {
        "data": {
            "id": 99999878008,
            "date": "2022/12/23",
            "label": "クラスターNo.878\n2022/12/23\n鶴岡市\n- ー"
        },
        "classes": ["multiline-manual", "else"]
    },
</v>
      </c>
    </row>
    <row r="42" spans="2:3" ht="168.75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 xml:space="preserve">    {
        "data": {
            "id": 99999879001,
            "date": "2022/12/23",
            "label": "クラスターNo.879\n2022/12/23\n山形市\n- ー"
        },
        "classes": ["multiline-manual", "else"]
    }</v>
      </c>
    </row>
    <row r="43" spans="2:3" ht="168.75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ht="168.75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ht="168.75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ht="168.75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ht="168.75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ht="168.75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ht="168.75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ht="168.75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ht="168.75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ht="168.75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ht="168.75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ht="168.75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ht="168.75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ht="150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30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"99999877001",
            "target": "99999877001",
            "label": "介護施設"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"99999877002",
            "target": "99999877001",
            "label": "関連"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"99999877003",
            "target": "99999877001",
            "label": "関連"
        }
    },
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"99999877004",
            "target": "99999877001",
            "label": "関連"
        }
    },
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"99999877005",
            "target": "99999877001",
            "label": "関連"
        }
    },
</v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"99999877006",
            "target": "99999877001",
            "label": "関連"
        }
    },
</v>
      </c>
    </row>
    <row r="18" spans="2:3" ht="150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 xml:space="preserve">    {
        "data": {
            "source": "99999877007",
            "target": "99999877001",
            "label": "関連"
        }
    },
</v>
      </c>
    </row>
    <row r="19" spans="2:3" ht="150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 xml:space="preserve">    {
        "data": {
            "source": "99999877008",
            "target": "99999877001",
            "label": "関連"
        }
    },
</v>
      </c>
    </row>
    <row r="20" spans="2:3" ht="150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 xml:space="preserve">    {
        "data": {
            "source": "99999877009",
            "target": "99999877001",
            "label": "関連"
        }
    },
</v>
      </c>
    </row>
    <row r="21" spans="2:3" ht="150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 xml:space="preserve">    {
        "data": {
            "source": "99999877010",
            "target": "99999877001",
            "label": "関連"
        }
    },
</v>
      </c>
    </row>
    <row r="22" spans="2:3" ht="150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 xml:space="preserve">    {
        "data": {
            "source": "99999877011",
            "target": "99999877001",
            "label": "関連"
        }
    },
</v>
      </c>
    </row>
    <row r="23" spans="2:3" ht="150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 xml:space="preserve">    {
        "data": {
            "source": "99999877012",
            "target": "99999877001",
            "label": "関連"
        }
    },
</v>
      </c>
    </row>
    <row r="24" spans="2:3" ht="150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 xml:space="preserve">    {
        "data": {
            "source": "99999877013",
            "target": "99999877001",
            "label": "関連"
        }
    },
</v>
      </c>
    </row>
    <row r="25" spans="2:3" ht="150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 xml:space="preserve">    {
        "data": {
            "source": "99999877014",
            "target": "99999877001",
            "label": "関連"
        }
    },
</v>
      </c>
    </row>
    <row r="26" spans="2:3" ht="150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 xml:space="preserve">    {
        "data": {
            "source": "99999877015",
            "target": "99999877001",
            "label": "関連"
        }
    },
</v>
      </c>
    </row>
    <row r="27" spans="2:3" ht="150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 xml:space="preserve">    {
        "data": {
            "source": "99999877016",
            "target": "99999877001",
            "label": "関連"
        }
    },
</v>
      </c>
    </row>
    <row r="28" spans="2:3" ht="150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 xml:space="preserve">    {
        "data": {
            "source": "99999877017",
            "target": "99999877001",
            "label": "関連"
        }
    },
</v>
      </c>
    </row>
    <row r="29" spans="2:3" ht="150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 xml:space="preserve">    {
        "data": {
            "source": "99999877018",
            "target": "99999877001",
            "label": "関連"
        }
    },
</v>
      </c>
    </row>
    <row r="30" spans="2:3" ht="150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 xml:space="preserve">    {
        "data": {
            "source": "99999877019",
            "target": "99999877001",
            "label": "関連"
        }
    },
</v>
      </c>
    </row>
    <row r="31" spans="2:3" ht="150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 xml:space="preserve">    {
        "data": {
            "source": "99999877020",
            "target": "99999877001",
            "label": "関連"
        }
    },
</v>
      </c>
    </row>
    <row r="32" spans="2:3" ht="150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 xml:space="preserve">    {
        "data": {
            "source": "99999877021",
            "target": "99999877001",
            "label": "関連"
        }
    },
</v>
      </c>
    </row>
    <row r="33" spans="2:3" ht="150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 xml:space="preserve">    {
        "data": {
            "source": "99999878001",
            "target": "99999878001",
            "label": "医療機関"
        }
    },
</v>
      </c>
    </row>
    <row r="34" spans="2:3" ht="150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 xml:space="preserve">    {
        "data": {
            "source": "99999878002",
            "target": "99999878001",
            "label": "関連"
        }
    },
</v>
      </c>
    </row>
    <row r="35" spans="2:3" ht="150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 xml:space="preserve">    {
        "data": {
            "source": "99999878003",
            "target": "99999878001",
            "label": "関連"
        }
    },
</v>
      </c>
    </row>
    <row r="36" spans="2:3" ht="150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 xml:space="preserve">    {
        "data": {
            "source": "99999878004",
            "target": "99999878001",
            "label": "関連"
        }
    },
</v>
      </c>
    </row>
    <row r="37" spans="2:3" ht="150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 xml:space="preserve">    {
        "data": {
            "source": "99999878005",
            "target": "99999878001",
            "label": "関連"
        }
    },
</v>
      </c>
    </row>
    <row r="38" spans="2:3" ht="150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 xml:space="preserve">    {
        "data": {
            "source": "99999878006",
            "target": "99999878001",
            "label": "関連"
        }
    },
</v>
      </c>
    </row>
    <row r="39" spans="2:3" ht="150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 xml:space="preserve">    {
        "data": {
            "source": "99999878007",
            "target": "99999878001",
            "label": "関連"
        }
    },
</v>
      </c>
    </row>
    <row r="40" spans="2:3" ht="150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 xml:space="preserve">    {
        "data": {
            "source": "99999878008",
            "target": "99999878001",
            "label": "関連"
        }
    },
</v>
      </c>
    </row>
    <row r="41" spans="2:3" ht="150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 xml:space="preserve">    {
        "data": {
            "source": "99999879001",
            "target": "99999879001",
            "label": "介護施設"
        }
    }</v>
      </c>
    </row>
    <row r="42" spans="2:3" ht="150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ht="150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ht="150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ht="150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ht="150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ht="150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ht="150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ht="150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ht="150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ht="150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ht="150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ht="150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ht="150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ht="131.25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E11" sqref="E11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"lastUpdate":"2022/12/23 21:35"}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2022-12-23T12:40:41Z</dcterms:modified>
</cp:coreProperties>
</file>