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filterPrivacy="1" codeName="ThisWorkbook" defaultThemeVersion="166925"/>
  <xr:revisionPtr revIDLastSave="0" documentId="13_ncr:1_{1700752D-D9A3-4873-A597-D9E41C936046}" xr6:coauthVersionLast="47" xr6:coauthVersionMax="47" xr10:uidLastSave="{00000000-0000-0000-0000-000000000000}"/>
  <bookViews>
    <workbookView xWindow="2670" yWindow="465" windowWidth="26115" windowHeight="14295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17" i="1" l="1"/>
  <c r="S16" i="1"/>
  <c r="S15" i="1"/>
  <c r="S14" i="1"/>
  <c r="S13" i="1"/>
  <c r="S12" i="1"/>
  <c r="S11" i="1"/>
  <c r="AB17" i="1"/>
  <c r="AB16" i="1"/>
  <c r="AB13" i="1"/>
  <c r="S10" i="1"/>
  <c r="AB12" i="1" s="1"/>
  <c r="G15" i="1"/>
  <c r="J15" i="1" s="1"/>
  <c r="G13" i="1"/>
  <c r="G11" i="1"/>
  <c r="I11" i="1" s="1"/>
  <c r="G18" i="1"/>
  <c r="F18" i="1" s="1"/>
  <c r="G25" i="1"/>
  <c r="I25" i="1" s="1"/>
  <c r="G23" i="1"/>
  <c r="G44" i="1"/>
  <c r="J44" i="1" s="1"/>
  <c r="G41" i="1"/>
  <c r="G40" i="1"/>
  <c r="G39" i="1"/>
  <c r="F39" i="1" s="1"/>
  <c r="G38" i="1"/>
  <c r="F38" i="1" s="1"/>
  <c r="G37" i="1"/>
  <c r="G36" i="1"/>
  <c r="H36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51" i="1"/>
  <c r="I51" i="1" s="1"/>
  <c r="G50" i="1"/>
  <c r="F50" i="1" s="1"/>
  <c r="G49" i="1"/>
  <c r="G48" i="1"/>
  <c r="H48" i="1" s="1"/>
  <c r="G47" i="1"/>
  <c r="G46" i="1"/>
  <c r="G45" i="1"/>
  <c r="J45" i="1" s="1"/>
  <c r="G43" i="1"/>
  <c r="F43" i="1" s="1"/>
  <c r="G42" i="1"/>
  <c r="H42" i="1" s="1"/>
  <c r="G35" i="1"/>
  <c r="I35" i="1" s="1"/>
  <c r="G34" i="1"/>
  <c r="J34" i="1" s="1"/>
  <c r="G33" i="1"/>
  <c r="J33" i="1" s="1"/>
  <c r="G32" i="1"/>
  <c r="J32" i="1" s="1"/>
  <c r="G31" i="1"/>
  <c r="H31" i="1" s="1"/>
  <c r="G30" i="1"/>
  <c r="F30" i="1" s="1"/>
  <c r="G29" i="1"/>
  <c r="F29" i="1" s="1"/>
  <c r="G28" i="1"/>
  <c r="G27" i="1"/>
  <c r="F27" i="1" s="1"/>
  <c r="G26" i="1"/>
  <c r="F26" i="1" s="1"/>
  <c r="G24" i="1"/>
  <c r="H24" i="1" s="1"/>
  <c r="G22" i="1"/>
  <c r="I22" i="1" s="1"/>
  <c r="G21" i="1"/>
  <c r="G19" i="1"/>
  <c r="F19" i="1" s="1"/>
  <c r="G16" i="1"/>
  <c r="I16" i="1" s="1"/>
  <c r="G9" i="1"/>
  <c r="C9" i="1" s="1"/>
  <c r="G200" i="1"/>
  <c r="I200" i="1" s="1"/>
  <c r="AB14" i="1" l="1"/>
  <c r="AB15" i="1"/>
  <c r="AB10" i="1"/>
  <c r="AB11" i="1"/>
  <c r="K13" i="1"/>
  <c r="K16" i="1"/>
  <c r="L16" i="1" s="1"/>
  <c r="K25" i="1"/>
  <c r="M25" i="1" s="1" a="1"/>
  <c r="M25" i="1" s="1"/>
  <c r="O25" i="1" s="1"/>
  <c r="K19" i="1"/>
  <c r="M19" i="1" s="1" a="1"/>
  <c r="M19" i="1" s="1"/>
  <c r="O19" i="1" s="1"/>
  <c r="K21" i="1"/>
  <c r="M21" i="1" s="1" a="1"/>
  <c r="M21" i="1" s="1"/>
  <c r="O21" i="1" s="1"/>
  <c r="K22" i="1"/>
  <c r="L22" i="1" s="1"/>
  <c r="K23" i="1"/>
  <c r="K24" i="1"/>
  <c r="M24" i="1" s="1" a="1"/>
  <c r="M24" i="1" s="1"/>
  <c r="O24" i="1" s="1"/>
  <c r="K28" i="1"/>
  <c r="K35" i="1"/>
  <c r="L35" i="1" s="1"/>
  <c r="K38" i="1"/>
  <c r="M38" i="1" s="1" a="1"/>
  <c r="M38" i="1" s="1"/>
  <c r="O38" i="1" s="1"/>
  <c r="K26" i="1"/>
  <c r="M26" i="1" s="1" a="1"/>
  <c r="M26" i="1" s="1"/>
  <c r="O26" i="1" s="1"/>
  <c r="K39" i="1"/>
  <c r="M39" i="1" s="1" a="1"/>
  <c r="M39" i="1" s="1"/>
  <c r="O39" i="1" s="1"/>
  <c r="G17" i="1"/>
  <c r="H17" i="1" s="1"/>
  <c r="K42" i="1"/>
  <c r="K11" i="1"/>
  <c r="L11" i="1" s="1"/>
  <c r="K15" i="1"/>
  <c r="M15" i="1" s="1" a="1"/>
  <c r="M15" i="1" s="1"/>
  <c r="O15" i="1" s="1"/>
  <c r="G20" i="1"/>
  <c r="H20" i="1" s="1"/>
  <c r="K27" i="1"/>
  <c r="K29" i="1"/>
  <c r="F59" i="1"/>
  <c r="K18" i="1"/>
  <c r="K41" i="1"/>
  <c r="K45" i="1"/>
  <c r="K48" i="1"/>
  <c r="K49" i="1"/>
  <c r="K32" i="1"/>
  <c r="K82" i="1"/>
  <c r="K94" i="1"/>
  <c r="K73" i="1"/>
  <c r="K83" i="1"/>
  <c r="K119" i="1"/>
  <c r="K96" i="1"/>
  <c r="K76" i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K50" i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J19" i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J18" i="1"/>
  <c r="I18" i="1"/>
  <c r="H18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K51" i="1"/>
  <c r="M51" i="1" s="1" a="1"/>
  <c r="M51" i="1" s="1"/>
  <c r="O51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K30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9" i="1"/>
  <c r="I15" i="1"/>
  <c r="J16" i="1"/>
  <c r="I19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I17" i="1" l="1"/>
  <c r="J17" i="1"/>
  <c r="K17" i="1"/>
  <c r="M17" i="1" s="1" a="1"/>
  <c r="M17" i="1" s="1"/>
  <c r="O17" i="1" s="1"/>
  <c r="F17" i="1"/>
  <c r="F20" i="1"/>
  <c r="I20" i="1"/>
  <c r="J20" i="1"/>
  <c r="K20" i="1"/>
  <c r="L20" i="1" s="1"/>
  <c r="M49" i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N19" i="1" s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L17" i="1" l="1"/>
  <c r="N17" i="1" s="1"/>
  <c r="M20" i="1" a="1"/>
  <c r="M20" i="1" s="1"/>
  <c r="O20" i="1" s="1"/>
  <c r="N49" i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N20" i="1" l="1"/>
  <c r="C11" i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 s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O14" i="3" s="1"/>
  <c r="P14" i="3" s="1"/>
  <c r="Q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R171" i="3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S33" i="3"/>
  <c r="T33" i="3" s="1"/>
  <c r="U33" i="3" s="1"/>
  <c r="M13" i="3"/>
  <c r="N13" i="3" s="1"/>
  <c r="O13" i="3" s="1"/>
  <c r="P13" i="3" s="1"/>
  <c r="C50" i="1"/>
  <c r="R183" i="3" l="1"/>
  <c r="R76" i="3"/>
  <c r="R49" i="3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C17" i="5" a="1"/>
  <c r="D54" i="3" l="1"/>
  <c r="E54" i="3" s="1"/>
  <c r="F54" i="3" s="1"/>
  <c r="D166" i="3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K5" i="3"/>
  <c r="D191" i="3"/>
  <c r="E191" i="3" s="1"/>
  <c r="K31" i="3"/>
  <c r="K13" i="3"/>
  <c r="K18" i="3"/>
  <c r="D192" i="3"/>
  <c r="E192" i="3" s="1"/>
  <c r="K15" i="3"/>
  <c r="K24" i="3"/>
  <c r="K11" i="3"/>
  <c r="C13" i="4" a="1"/>
  <c r="C18" i="5" a="1"/>
  <c r="G73" i="3" l="1"/>
  <c r="G156" i="3"/>
  <c r="G54" i="3"/>
  <c r="G166" i="3"/>
  <c r="G51" i="3"/>
  <c r="G132" i="3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4" i="4" a="1"/>
  <c r="C19" i="5" a="1"/>
  <c r="C14" i="4" l="1"/>
  <c r="C19" i="5"/>
  <c r="C20" i="5" a="1"/>
  <c r="C15" i="4" a="1"/>
  <c r="C20" i="5" l="1"/>
  <c r="C15" i="4"/>
  <c r="C21" i="5" a="1"/>
  <c r="C16" i="4" a="1"/>
  <c r="C16" i="4" l="1"/>
  <c r="C21" i="5"/>
  <c r="C17" i="4" a="1"/>
  <c r="C22" i="5" a="1"/>
  <c r="C22" i="5" l="1"/>
  <c r="C17" i="4"/>
  <c r="C23" i="5" a="1"/>
  <c r="C18" i="4" a="1"/>
  <c r="C18" i="4" l="1"/>
  <c r="C23" i="5"/>
  <c r="C24" i="5" a="1"/>
  <c r="C19" i="4" a="1"/>
  <c r="C24" i="5" l="1"/>
  <c r="C19" i="4"/>
  <c r="C25" i="5" a="1"/>
  <c r="C20" i="4" a="1"/>
  <c r="C20" i="4" l="1"/>
  <c r="C25" i="5"/>
  <c r="C21" i="4" a="1"/>
  <c r="C26" i="5" a="1"/>
  <c r="C26" i="5" l="1"/>
  <c r="C21" i="4"/>
  <c r="C27" i="5" a="1"/>
  <c r="C22" i="4" a="1"/>
  <c r="C22" i="4" l="1"/>
  <c r="C27" i="5"/>
  <c r="C28" i="5" a="1"/>
  <c r="C23" i="4" a="1"/>
  <c r="C28" i="5" l="1"/>
  <c r="C23" i="4"/>
  <c r="C29" i="5" a="1"/>
  <c r="C24" i="4" a="1"/>
  <c r="C24" i="4" l="1"/>
  <c r="C29" i="5"/>
  <c r="C25" i="4" a="1"/>
  <c r="C30" i="5" a="1"/>
  <c r="C30" i="5" l="1"/>
  <c r="C25" i="4"/>
  <c r="C26" i="4" a="1"/>
  <c r="C31" i="5" a="1"/>
  <c r="C26" i="4" l="1"/>
  <c r="C31" i="5"/>
  <c r="C32" i="5" a="1"/>
  <c r="C27" i="4" a="1"/>
  <c r="C32" i="5" l="1"/>
  <c r="C27" i="4"/>
  <c r="C33" i="5" a="1"/>
  <c r="C28" i="4" a="1"/>
  <c r="C28" i="4" l="1"/>
  <c r="C33" i="5"/>
  <c r="C34" i="5" a="1"/>
  <c r="C29" i="4" a="1"/>
  <c r="C34" i="5" l="1"/>
  <c r="C29" i="4"/>
  <c r="C35" i="5" a="1"/>
  <c r="C30" i="4" a="1"/>
  <c r="C30" i="4" l="1"/>
  <c r="C35" i="5"/>
  <c r="C31" i="4" a="1"/>
  <c r="C36" i="5" a="1"/>
  <c r="C36" i="5" l="1"/>
  <c r="C31" i="4"/>
  <c r="C37" i="5" a="1"/>
  <c r="C32" i="4" a="1"/>
  <c r="C32" i="4" l="1"/>
  <c r="C37" i="5"/>
  <c r="C38" i="5" a="1"/>
  <c r="C33" i="4" a="1"/>
  <c r="C38" i="5" l="1"/>
  <c r="C33" i="4"/>
  <c r="C34" i="4" a="1"/>
  <c r="C39" i="5" a="1"/>
  <c r="C34" i="4" l="1"/>
  <c r="C39" i="5"/>
  <c r="C40" i="5" a="1"/>
  <c r="C35" i="4" a="1"/>
  <c r="C40" i="5" l="1"/>
  <c r="C35" i="4"/>
  <c r="C36" i="4" a="1"/>
  <c r="C41" i="5" a="1"/>
  <c r="C36" i="4" l="1"/>
  <c r="C41" i="5"/>
  <c r="C37" i="4" a="1"/>
  <c r="C42" i="5" a="1"/>
  <c r="C42" i="5" l="1"/>
  <c r="C37" i="4"/>
  <c r="C38" i="4" a="1"/>
  <c r="C43" i="5" a="1"/>
  <c r="C38" i="4" l="1"/>
  <c r="C43" i="5"/>
  <c r="C39" i="4" a="1"/>
  <c r="C44" i="5" a="1"/>
  <c r="C44" i="5" l="1"/>
  <c r="C39" i="4"/>
  <c r="C40" i="4" a="1"/>
  <c r="C45" i="5" a="1"/>
  <c r="C40" i="4" l="1"/>
  <c r="C45" i="5"/>
  <c r="C46" i="5" a="1"/>
  <c r="C41" i="4" a="1"/>
  <c r="C46" i="5" l="1"/>
  <c r="C41" i="4"/>
  <c r="C42" i="4" a="1"/>
  <c r="C47" i="5" a="1"/>
  <c r="C42" i="4" l="1"/>
  <c r="C47" i="5"/>
  <c r="C48" i="5" a="1"/>
  <c r="C43" i="4" a="1"/>
  <c r="C48" i="5" l="1"/>
  <c r="C43" i="4"/>
  <c r="C44" i="4" a="1"/>
  <c r="C49" i="5" a="1"/>
  <c r="C44" i="4" l="1"/>
  <c r="C49" i="5"/>
  <c r="C50" i="5" a="1"/>
  <c r="C45" i="4" a="1"/>
  <c r="C50" i="5" l="1"/>
  <c r="C45" i="4"/>
  <c r="C46" i="4" a="1"/>
  <c r="C51" i="5" a="1"/>
  <c r="C46" i="4" l="1"/>
  <c r="C51" i="5"/>
  <c r="C47" i="4" a="1"/>
  <c r="C52" i="5" a="1"/>
  <c r="C52" i="5" l="1"/>
  <c r="C47" i="4"/>
  <c r="C48" i="4" a="1"/>
  <c r="C53" i="5" a="1"/>
  <c r="C48" i="4" l="1"/>
  <c r="C53" i="5"/>
  <c r="C54" i="5" a="1"/>
  <c r="C49" i="4" a="1"/>
  <c r="C54" i="5" l="1"/>
  <c r="C49" i="4"/>
  <c r="C50" i="4" a="1"/>
  <c r="C55" i="5" a="1"/>
  <c r="C50" i="4" l="1"/>
  <c r="C55" i="5"/>
  <c r="C56" i="5" a="1"/>
  <c r="C51" i="4" a="1"/>
  <c r="C56" i="5" l="1"/>
  <c r="C51" i="4"/>
  <c r="C52" i="4" a="1"/>
  <c r="C57" i="5" a="1"/>
  <c r="C52" i="4" l="1"/>
  <c r="C57" i="5"/>
  <c r="C58" i="5" a="1"/>
  <c r="C53" i="4" a="1"/>
  <c r="C58" i="5" l="1"/>
  <c r="C53" i="4"/>
  <c r="C59" i="5" a="1"/>
  <c r="C54" i="4" a="1"/>
  <c r="C54" i="4" l="1"/>
  <c r="C59" i="5"/>
  <c r="C60" i="5" a="1"/>
  <c r="C55" i="4" a="1"/>
  <c r="C60" i="5" l="1"/>
  <c r="C55" i="4"/>
  <c r="C56" i="4" a="1"/>
  <c r="C61" i="5" a="1"/>
  <c r="C56" i="4" l="1"/>
  <c r="C61" i="5"/>
  <c r="C62" i="5" a="1"/>
  <c r="C57" i="4" a="1"/>
  <c r="C62" i="5" l="1"/>
  <c r="C57" i="4"/>
  <c r="C63" i="5" a="1"/>
  <c r="C58" i="4" a="1"/>
  <c r="C58" i="4" l="1"/>
  <c r="C63" i="5"/>
  <c r="C64" i="5" a="1"/>
  <c r="C59" i="4" a="1"/>
  <c r="C64" i="5" l="1"/>
  <c r="C59" i="4"/>
  <c r="C65" i="5" a="1"/>
  <c r="C60" i="4" a="1"/>
  <c r="C60" i="4" l="1"/>
  <c r="C65" i="5"/>
  <c r="C66" i="5" a="1"/>
  <c r="C61" i="4" a="1"/>
  <c r="C66" i="5" l="1"/>
  <c r="C61" i="4"/>
  <c r="C62" i="4" a="1"/>
  <c r="C67" i="5" a="1"/>
  <c r="C62" i="4" l="1"/>
  <c r="C67" i="5"/>
  <c r="C68" i="5" a="1"/>
  <c r="C63" i="4" a="1"/>
  <c r="C63" i="4" l="1"/>
  <c r="C68" i="5"/>
  <c r="C64" i="4" a="1"/>
  <c r="C69" i="5" a="1"/>
  <c r="C69" i="5" l="1"/>
  <c r="C64" i="4"/>
  <c r="C65" i="4" a="1"/>
  <c r="C70" i="5" a="1"/>
  <c r="C65" i="4" l="1"/>
  <c r="C70" i="5"/>
  <c r="C66" i="4" a="1"/>
  <c r="C71" i="5" a="1"/>
  <c r="C71" i="5" l="1"/>
  <c r="C66" i="4"/>
  <c r="C67" i="4" a="1"/>
  <c r="C72" i="5" a="1"/>
  <c r="C67" i="4" l="1"/>
  <c r="C72" i="5"/>
  <c r="C68" i="4" a="1"/>
  <c r="C73" i="5" a="1"/>
  <c r="C73" i="5" l="1"/>
  <c r="C68" i="4"/>
  <c r="C74" i="5" a="1"/>
  <c r="C69" i="4" a="1"/>
  <c r="C69" i="4" l="1"/>
  <c r="C74" i="5"/>
  <c r="C75" i="5" a="1"/>
  <c r="C70" i="4" a="1"/>
  <c r="C70" i="4" l="1"/>
  <c r="C75" i="5"/>
  <c r="C76" i="5" a="1"/>
  <c r="C71" i="4" a="1"/>
  <c r="C76" i="5" l="1"/>
  <c r="C71" i="4"/>
  <c r="C72" i="4" a="1"/>
  <c r="C77" i="5" a="1"/>
  <c r="C72" i="4" l="1"/>
  <c r="C77" i="5"/>
  <c r="C73" i="4" a="1"/>
  <c r="C78" i="5" a="1"/>
  <c r="C78" i="5" l="1"/>
  <c r="C73" i="4"/>
  <c r="C74" i="4" a="1"/>
  <c r="C79" i="5" a="1"/>
  <c r="C74" i="4" l="1"/>
  <c r="C79" i="5"/>
  <c r="C75" i="4" a="1"/>
  <c r="C80" i="5" a="1"/>
  <c r="C75" i="4" l="1"/>
  <c r="C80" i="5"/>
  <c r="C76" i="4" a="1"/>
  <c r="C81" i="5" a="1"/>
  <c r="C81" i="5" l="1"/>
  <c r="C76" i="4"/>
  <c r="C82" i="5" a="1"/>
  <c r="C77" i="4" a="1"/>
  <c r="C77" i="4" l="1"/>
  <c r="C82" i="5"/>
  <c r="C78" i="4" a="1"/>
  <c r="C83" i="5" a="1"/>
  <c r="C83" i="5" l="1"/>
  <c r="C78" i="4"/>
  <c r="C84" i="5" a="1"/>
  <c r="C79" i="4" a="1"/>
  <c r="C79" i="4" l="1"/>
  <c r="C84" i="5"/>
  <c r="C85" i="5" a="1"/>
  <c r="C80" i="4" a="1"/>
  <c r="C85" i="5" l="1"/>
  <c r="C80" i="4"/>
  <c r="C81" i="4" a="1"/>
  <c r="C86" i="5" a="1"/>
  <c r="C86" i="5" l="1"/>
  <c r="C81" i="4"/>
  <c r="C87" i="5" a="1"/>
  <c r="C82" i="4" a="1"/>
  <c r="C82" i="4" l="1"/>
  <c r="C87" i="5"/>
  <c r="C88" i="5" a="1"/>
  <c r="C83" i="4" a="1"/>
  <c r="C88" i="5" l="1"/>
  <c r="C83" i="4"/>
  <c r="C84" i="4" a="1"/>
  <c r="C89" i="5" a="1"/>
  <c r="C84" i="4" l="1"/>
  <c r="C89" i="5"/>
  <c r="C90" i="5" a="1"/>
  <c r="C85" i="4" a="1"/>
  <c r="C90" i="5" l="1"/>
  <c r="C85" i="4"/>
  <c r="C86" i="4" a="1"/>
  <c r="C91" i="5" a="1"/>
  <c r="C91" i="5" l="1"/>
  <c r="C86" i="4"/>
  <c r="C87" i="4" a="1"/>
  <c r="C92" i="5" a="1"/>
  <c r="C87" i="4" l="1"/>
  <c r="C92" i="5"/>
  <c r="C88" i="4" a="1"/>
  <c r="C93" i="5" a="1"/>
  <c r="C93" i="5" l="1"/>
  <c r="C88" i="4"/>
  <c r="C94" i="5" a="1"/>
  <c r="C89" i="4" a="1"/>
  <c r="C89" i="4" l="1"/>
  <c r="C94" i="5"/>
  <c r="C90" i="4" a="1"/>
  <c r="C95" i="5" a="1"/>
  <c r="C95" i="5" l="1"/>
  <c r="C90" i="4"/>
  <c r="C91" i="4" a="1"/>
  <c r="C96" i="5" a="1"/>
  <c r="C91" i="4" l="1"/>
  <c r="C96" i="5"/>
  <c r="C97" i="5" a="1"/>
  <c r="C92" i="4" a="1"/>
  <c r="C97" i="5" l="1"/>
  <c r="C92" i="4"/>
  <c r="C93" i="4" a="1"/>
  <c r="C98" i="5" a="1"/>
  <c r="C93" i="4" l="1"/>
  <c r="C98" i="5"/>
  <c r="C99" i="5" a="1"/>
  <c r="C94" i="4" a="1"/>
  <c r="C99" i="5" l="1"/>
  <c r="C94" i="4"/>
  <c r="C95" i="4" a="1"/>
  <c r="C100" i="5" a="1"/>
  <c r="C95" i="4" l="1"/>
  <c r="C100" i="5"/>
  <c r="C96" i="4" a="1"/>
  <c r="C101" i="5" a="1"/>
  <c r="C101" i="5" l="1"/>
  <c r="C96" i="4"/>
  <c r="C97" i="4" a="1"/>
  <c r="C102" i="5" a="1"/>
  <c r="C97" i="4" l="1"/>
  <c r="C102" i="5"/>
  <c r="C103" i="5" a="1"/>
  <c r="C98" i="4" a="1"/>
  <c r="C103" i="5" l="1"/>
  <c r="C98" i="4"/>
  <c r="C99" i="4" a="1"/>
  <c r="C104" i="5" a="1"/>
  <c r="C99" i="4" l="1"/>
  <c r="C104" i="5"/>
  <c r="C100" i="4" a="1"/>
  <c r="C105" i="5" a="1"/>
  <c r="C105" i="5" l="1"/>
  <c r="C100" i="4"/>
  <c r="C101" i="4" a="1"/>
  <c r="C106" i="5" a="1"/>
  <c r="C101" i="4" l="1"/>
  <c r="C106" i="5"/>
  <c r="C107" i="5" a="1"/>
  <c r="C102" i="4" a="1"/>
  <c r="C107" i="5" l="1"/>
  <c r="C102" i="4"/>
  <c r="C103" i="4" a="1"/>
  <c r="C108" i="5" a="1"/>
  <c r="C108" i="5" l="1"/>
  <c r="C103" i="4"/>
  <c r="C109" i="5" a="1"/>
  <c r="C104" i="4" a="1"/>
  <c r="C104" i="4" l="1"/>
  <c r="C109" i="5"/>
  <c r="C105" i="4" a="1"/>
  <c r="C110" i="5" a="1"/>
  <c r="C110" i="5" l="1"/>
  <c r="C105" i="4"/>
  <c r="C111" i="5" a="1"/>
  <c r="C106" i="4" a="1"/>
  <c r="C106" i="4" l="1"/>
  <c r="C111" i="5"/>
  <c r="C112" i="5" a="1"/>
  <c r="C107" i="4" a="1"/>
  <c r="C112" i="5" l="1"/>
  <c r="C107" i="4"/>
  <c r="C108" i="4" a="1"/>
  <c r="C113" i="5" a="1"/>
  <c r="C108" i="4" l="1"/>
  <c r="C113" i="5"/>
  <c r="C109" i="4" a="1"/>
  <c r="C114" i="5" a="1"/>
  <c r="C114" i="5" l="1"/>
  <c r="C109" i="4"/>
  <c r="C110" i="4" a="1"/>
  <c r="C115" i="5" a="1"/>
  <c r="C110" i="4" l="1"/>
  <c r="C115" i="5"/>
  <c r="C116" i="5" a="1"/>
  <c r="C111" i="4" a="1"/>
  <c r="C116" i="5" l="1"/>
  <c r="C111" i="4"/>
  <c r="C117" i="5" a="1"/>
  <c r="C112" i="4" a="1"/>
  <c r="C112" i="4" l="1"/>
  <c r="C117" i="5"/>
  <c r="C113" i="4" a="1"/>
  <c r="C118" i="5" a="1"/>
  <c r="C118" i="5" l="1"/>
  <c r="C113" i="4"/>
  <c r="C119" i="5" a="1"/>
  <c r="C114" i="4" a="1"/>
  <c r="C114" i="4" l="1"/>
  <c r="C119" i="5"/>
  <c r="C115" i="4" a="1"/>
  <c r="C120" i="5" a="1"/>
  <c r="C120" i="5" l="1"/>
  <c r="C115" i="4"/>
  <c r="C116" i="4" a="1"/>
  <c r="C121" i="5" a="1"/>
  <c r="C116" i="4" l="1"/>
  <c r="C121" i="5"/>
  <c r="C122" i="5" a="1"/>
  <c r="C117" i="4" a="1"/>
  <c r="C122" i="5" l="1"/>
  <c r="C117" i="4"/>
  <c r="C123" i="5" a="1"/>
  <c r="C118" i="4" a="1"/>
  <c r="C118" i="4" l="1"/>
  <c r="C123" i="5"/>
  <c r="C124" i="5" a="1"/>
  <c r="C119" i="4" a="1"/>
  <c r="C124" i="5" l="1"/>
  <c r="C119" i="4"/>
  <c r="C125" i="5" a="1"/>
  <c r="C120" i="4" a="1"/>
  <c r="C120" i="4" l="1"/>
  <c r="C125" i="5"/>
  <c r="C121" i="4" a="1"/>
  <c r="C126" i="5" a="1"/>
  <c r="C126" i="5" l="1"/>
  <c r="C121" i="4"/>
  <c r="C122" i="4" a="1"/>
  <c r="C127" i="5" a="1"/>
  <c r="C122" i="4" l="1"/>
  <c r="C127" i="5"/>
  <c r="C128" i="5" a="1"/>
  <c r="C123" i="4" a="1"/>
  <c r="C128" i="5" l="1"/>
  <c r="C123" i="4"/>
  <c r="C129" i="5" a="1"/>
  <c r="C124" i="4" a="1"/>
  <c r="C124" i="4" l="1"/>
  <c r="C129" i="5"/>
  <c r="C125" i="4" a="1"/>
  <c r="C130" i="5" a="1"/>
  <c r="C130" i="5" l="1"/>
  <c r="C125" i="4"/>
  <c r="C126" i="4" a="1"/>
  <c r="C131" i="5" a="1"/>
  <c r="C126" i="4" l="1"/>
  <c r="C131" i="5"/>
  <c r="C127" i="4" a="1"/>
  <c r="C132" i="5" a="1"/>
  <c r="C132" i="5" l="1"/>
  <c r="C127" i="4"/>
  <c r="C128" i="4" a="1"/>
  <c r="C133" i="5" a="1"/>
  <c r="C128" i="4" l="1"/>
  <c r="C133" i="5"/>
  <c r="C129" i="4" a="1"/>
  <c r="C134" i="5" a="1"/>
  <c r="C134" i="5" l="1"/>
  <c r="C129" i="4"/>
  <c r="C130" i="4" a="1"/>
  <c r="C135" i="5" a="1"/>
  <c r="C130" i="4" l="1"/>
  <c r="C135" i="5"/>
  <c r="C131" i="4" a="1"/>
  <c r="C136" i="5" a="1"/>
  <c r="C136" i="5" l="1"/>
  <c r="C131" i="4"/>
  <c r="C132" i="4" a="1"/>
  <c r="C137" i="5" a="1"/>
  <c r="C132" i="4" l="1"/>
  <c r="C137" i="5"/>
  <c r="C138" i="5" a="1"/>
  <c r="C133" i="4" a="1"/>
  <c r="C138" i="5" l="1"/>
  <c r="C133" i="4"/>
  <c r="C134" i="4" a="1"/>
  <c r="C139" i="5" a="1"/>
  <c r="C134" i="4" l="1"/>
  <c r="C139" i="5"/>
  <c r="C135" i="4" a="1"/>
  <c r="C140" i="5" a="1"/>
  <c r="C140" i="5" l="1"/>
  <c r="C135" i="4"/>
  <c r="C141" i="5" a="1"/>
  <c r="C136" i="4" a="1"/>
  <c r="C136" i="4" l="1"/>
  <c r="C141" i="5"/>
  <c r="C142" i="5" a="1"/>
  <c r="C137" i="4" a="1"/>
  <c r="C142" i="5" l="1"/>
  <c r="C137" i="4"/>
  <c r="C143" i="5" a="1"/>
  <c r="C138" i="4" a="1"/>
  <c r="C138" i="4" l="1"/>
  <c r="C143" i="5"/>
  <c r="C144" i="5" a="1"/>
  <c r="C139" i="4" a="1"/>
  <c r="C144" i="5" l="1"/>
  <c r="C139" i="4"/>
  <c r="C145" i="5" a="1"/>
  <c r="C140" i="4" a="1"/>
  <c r="C140" i="4" l="1"/>
  <c r="C145" i="5"/>
  <c r="C141" i="4" a="1"/>
  <c r="C146" i="5" a="1"/>
  <c r="C146" i="5" l="1"/>
  <c r="C141" i="4"/>
  <c r="C147" i="5" a="1"/>
  <c r="C142" i="4" a="1"/>
  <c r="C142" i="4" l="1"/>
  <c r="C147" i="5"/>
  <c r="C148" i="5" a="1"/>
  <c r="C143" i="4" a="1"/>
  <c r="C148" i="5" l="1"/>
  <c r="C143" i="4"/>
  <c r="C149" i="5" a="1"/>
  <c r="C144" i="4" a="1"/>
  <c r="C144" i="4" l="1"/>
  <c r="C149" i="5"/>
  <c r="C145" i="4" a="1"/>
  <c r="C150" i="5" a="1"/>
  <c r="C145" i="4" l="1"/>
  <c r="C150" i="5"/>
  <c r="C151" i="5" a="1"/>
  <c r="C146" i="4" a="1"/>
  <c r="C151" i="5" l="1"/>
  <c r="C146" i="4"/>
  <c r="C147" i="4" a="1"/>
  <c r="C152" i="5" a="1"/>
  <c r="C147" i="4" l="1"/>
  <c r="C152" i="5"/>
  <c r="C153" i="5" a="1"/>
  <c r="C148" i="4" a="1"/>
  <c r="C153" i="5" l="1"/>
  <c r="C148" i="4"/>
  <c r="C149" i="4" a="1"/>
  <c r="C154" i="5" a="1"/>
  <c r="C149" i="4" l="1"/>
  <c r="C154" i="5"/>
  <c r="C155" i="5" a="1"/>
  <c r="C150" i="4" a="1"/>
  <c r="C155" i="5" l="1"/>
  <c r="C150" i="4"/>
  <c r="C156" i="5" a="1"/>
  <c r="C151" i="4" a="1"/>
  <c r="C151" i="4" l="1"/>
  <c r="C156" i="5"/>
  <c r="C157" i="5" a="1"/>
  <c r="C152" i="4" a="1"/>
  <c r="C157" i="5" l="1"/>
  <c r="C152" i="4"/>
  <c r="C153" i="4" a="1"/>
  <c r="C158" i="5" a="1"/>
  <c r="C153" i="4" l="1"/>
  <c r="C158" i="5"/>
  <c r="C159" i="5" a="1"/>
  <c r="C154" i="4" a="1"/>
  <c r="C159" i="5" l="1"/>
  <c r="C154" i="4"/>
  <c r="C160" i="5" a="1"/>
  <c r="C155" i="4" a="1"/>
  <c r="C155" i="4" l="1"/>
  <c r="C160" i="5"/>
  <c r="C161" i="5" a="1"/>
  <c r="C156" i="4" a="1"/>
  <c r="C161" i="5" l="1"/>
  <c r="C156" i="4"/>
  <c r="C157" i="4" a="1"/>
  <c r="C162" i="5" a="1"/>
  <c r="C157" i="4" l="1"/>
  <c r="C162" i="5"/>
  <c r="C163" i="5" a="1"/>
  <c r="C158" i="4" a="1"/>
  <c r="C163" i="5" l="1"/>
  <c r="C158" i="4"/>
  <c r="C159" i="4" a="1"/>
  <c r="C164" i="5" a="1"/>
  <c r="C159" i="4" l="1"/>
  <c r="C164" i="5"/>
  <c r="C165" i="5" a="1"/>
  <c r="C160" i="4" a="1"/>
  <c r="C165" i="5" l="1"/>
  <c r="C160" i="4"/>
  <c r="C166" i="5" a="1"/>
  <c r="C161" i="4" a="1"/>
  <c r="C161" i="4" l="1"/>
  <c r="C166" i="5"/>
  <c r="C162" i="4" a="1"/>
  <c r="C167" i="5" a="1"/>
  <c r="C167" i="5" l="1"/>
  <c r="C162" i="4"/>
  <c r="C168" i="5" a="1"/>
  <c r="C163" i="4" a="1"/>
  <c r="C163" i="4" l="1"/>
  <c r="C168" i="5"/>
  <c r="C169" i="5" a="1"/>
  <c r="C164" i="4" a="1"/>
  <c r="C169" i="5" l="1"/>
  <c r="C164" i="4"/>
  <c r="C165" i="4" a="1"/>
  <c r="C170" i="5" a="1"/>
  <c r="C165" i="4" l="1"/>
  <c r="C170" i="5"/>
  <c r="C171" i="5" a="1"/>
  <c r="C166" i="4" a="1"/>
  <c r="C171" i="5" l="1"/>
  <c r="C166" i="4"/>
  <c r="C167" i="4" a="1"/>
  <c r="C172" i="5" a="1"/>
  <c r="C167" i="4" l="1"/>
  <c r="C172" i="5"/>
  <c r="C168" i="4" a="1"/>
  <c r="C173" i="5" a="1"/>
  <c r="C173" i="5" l="1"/>
  <c r="C168" i="4"/>
  <c r="C174" i="5" a="1"/>
  <c r="C169" i="4" a="1"/>
  <c r="C174" i="5" l="1"/>
  <c r="C169" i="4"/>
  <c r="C175" i="5" a="1"/>
  <c r="C170" i="4" a="1"/>
  <c r="C170" i="4" l="1"/>
  <c r="C175" i="5"/>
  <c r="C171" i="4" a="1"/>
  <c r="C176" i="5" a="1"/>
  <c r="C176" i="5" l="1"/>
  <c r="C171" i="4"/>
  <c r="C177" i="5" a="1"/>
  <c r="C172" i="4" a="1"/>
  <c r="C172" i="4" l="1"/>
  <c r="C177" i="5"/>
  <c r="C173" i="4" a="1"/>
  <c r="C178" i="5" a="1"/>
  <c r="C178" i="5" l="1"/>
  <c r="C173" i="4"/>
  <c r="C179" i="5" a="1"/>
  <c r="C174" i="4" a="1"/>
  <c r="C174" i="4" l="1"/>
  <c r="C179" i="5"/>
  <c r="C180" i="5" a="1"/>
  <c r="C175" i="4" a="1"/>
  <c r="C180" i="5" l="1"/>
  <c r="C175" i="4"/>
  <c r="C176" i="4" a="1"/>
  <c r="C181" i="5" a="1"/>
  <c r="C176" i="4" l="1"/>
  <c r="C181" i="5"/>
  <c r="C177" i="4" a="1"/>
  <c r="C182" i="5" a="1"/>
  <c r="C182" i="5" l="1"/>
  <c r="C177" i="4"/>
  <c r="C178" i="4" a="1"/>
  <c r="C183" i="5" a="1"/>
  <c r="C178" i="4" l="1"/>
  <c r="C183" i="5"/>
  <c r="C184" i="5" a="1"/>
  <c r="C179" i="4" a="1"/>
  <c r="C184" i="5" l="1"/>
  <c r="C179" i="4"/>
  <c r="C180" i="4" a="1"/>
  <c r="C185" i="5" a="1"/>
  <c r="C180" i="4" l="1"/>
  <c r="C185" i="5"/>
  <c r="C186" i="5" a="1"/>
  <c r="C181" i="4" a="1"/>
  <c r="C186" i="5" l="1"/>
  <c r="C181" i="4"/>
  <c r="C187" i="5" a="1"/>
  <c r="C182" i="4" a="1"/>
  <c r="C182" i="4" l="1"/>
  <c r="C187" i="5"/>
  <c r="C188" i="5" a="1"/>
  <c r="C183" i="4" a="1"/>
  <c r="C188" i="5" l="1"/>
  <c r="C183" i="4"/>
  <c r="C184" i="4" a="1"/>
  <c r="C189" i="5" a="1"/>
  <c r="C184" i="4" l="1"/>
  <c r="C189" i="5"/>
  <c r="C185" i="4" a="1"/>
  <c r="C190" i="5" a="1"/>
  <c r="C190" i="5" l="1"/>
  <c r="C185" i="4"/>
  <c r="C191" i="5" a="1"/>
  <c r="C186" i="4" a="1"/>
  <c r="C186" i="4" l="1"/>
  <c r="C191" i="5"/>
  <c r="C192" i="5" a="1"/>
  <c r="C187" i="4" a="1"/>
  <c r="C192" i="5" l="1"/>
  <c r="C187" i="4"/>
  <c r="C193" i="5" a="1"/>
  <c r="C188" i="4" a="1"/>
  <c r="C188" i="4" l="1"/>
  <c r="C193" i="5"/>
  <c r="C194" i="5" a="1"/>
  <c r="C189" i="4" a="1"/>
  <c r="C194" i="5" l="1"/>
  <c r="C189" i="4"/>
  <c r="C195" i="5" a="1"/>
  <c r="C190" i="4" a="1"/>
  <c r="C190" i="4" l="1"/>
  <c r="C195" i="5"/>
  <c r="C196" i="5" a="1"/>
  <c r="C191" i="4" a="1"/>
  <c r="C196" i="5" l="1"/>
  <c r="C191" i="4"/>
  <c r="C192" i="4" a="1"/>
  <c r="C197" i="5" a="1"/>
  <c r="C192" i="4" l="1"/>
  <c r="C197" i="5"/>
  <c r="C193" i="4" a="1"/>
  <c r="C198" i="5" a="1"/>
  <c r="C198" i="5" l="1"/>
  <c r="C193" i="4"/>
  <c r="C199" i="5" a="1"/>
  <c r="C194" i="4" a="1"/>
  <c r="C194" i="4" l="1"/>
  <c r="C199" i="5"/>
  <c r="C195" i="4" a="1"/>
  <c r="C200" i="5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<sst xmlns="http://schemas.openxmlformats.org/spreadsheetml/2006/main" count="1270" uniqueCount="447">
  <si>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</si>
  <si>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</si>
  <si>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</si>
  <si>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</si>
  <si>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</si>
  <si>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</si>
  <si>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</si>
  <si>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</si>
  <si>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</si>
  <si>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</si>
  <si>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</si>
  <si>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</si>
  <si>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</si>
  <si>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</si>
  <si>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</si>
  <si>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</si>
  <si>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</si>
  <si>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</si>
  <si>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</si>
  <si>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</si>
  <si>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</si>
  <si>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</si>
  <si>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</si>
  <si>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</si>
  <si>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</si>
  <si>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</si>
  <si>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</si>
  <si>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</si>
  <si>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</si>
  <si>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</si>
  <si>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</si>
  <si>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</si>
  <si>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</si>
  <si>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</si>
  <si>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</si>
  <si>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</si>
  <si>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</si>
  <si>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</si>
  <si>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</si>
  <si>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</si>
  <si>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</si>
  <si>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</si>
  <si>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</si>
  <si>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</si>
  <si>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</si>
  <si>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</si>
  <si>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</si>
  <si>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</si>
  <si>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</si>
  <si>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</si>
  <si>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</si>
  <si>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</si>
  <si>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</si>
  <si>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</si>
  <si>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</si>
  <si>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</si>
  <si>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</si>
  <si>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</si>
  <si>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</si>
  <si>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</si>
  <si>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</si>
  <si>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</si>
  <si>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</si>
  <si>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</si>
  <si>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</si>
  <si>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</si>
  <si>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</si>
  <si>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</si>
  <si>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</si>
  <si>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</si>
  <si>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</si>
  <si>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</si>
  <si>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</si>
  <si>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</si>
  <si>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</si>
  <si>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</si>
  <si>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</si>
  <si>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</si>
  <si>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</si>
  <si>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</si>
  <si>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</si>
  <si>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</si>
  <si>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</si>
  <si>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</si>
  <si>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</si>
  <si>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</si>
  <si>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</si>
  <si>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</si>
  <si>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</si>
  <si>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</si>
  <si>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</si>
  <si>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</si>
  <si>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</si>
  <si>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</si>
  <si>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</si>
  <si>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</si>
  <si>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</si>
  <si>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</si>
  <si>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</si>
  <si>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</si>
  <si>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</si>
  <si>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</si>
  <si>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</si>
  <si>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</si>
  <si>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</si>
  <si>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</si>
  <si>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</si>
  <si>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</si>
  <si>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</si>
  <si>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</si>
  <si>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</si>
  <si>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</si>
  <si>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</si>
  <si>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</si>
  <si>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</si>
  <si>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</si>
  <si>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</si>
  <si>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</si>
  <si>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</si>
  <si>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</si>
  <si>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</si>
  <si>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</si>
  <si>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</si>
  <si>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</si>
  <si>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</si>
  <si>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</si>
  <si>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</si>
  <si>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</si>
  <si>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</si>
  <si>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</si>
  <si>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</si>
  <si>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</si>
  <si>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</si>
  <si>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</si>
  <si>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</si>
  <si>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</si>
  <si>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</si>
  <si>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</si>
  <si>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</si>
  <si>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</si>
  <si>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</si>
  <si>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</si>
  <si>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</si>
  <si>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</si>
  <si>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</si>
  <si>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</si>
  <si>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</si>
  <si>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</si>
  <si>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</si>
  <si>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</si>
  <si>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</si>
  <si>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</si>
  <si>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</si>
  <si>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</si>
  <si>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</si>
  <si>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</si>
  <si>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</si>
  <si>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</si>
  <si>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</si>
  <si>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</si>
  <si>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</si>
  <si>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</si>
  <si>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</si>
  <si>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</si>
  <si>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</si>
  <si>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</si>
  <si>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</si>
  <si>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</si>
  <si>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</si>
  <si>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</si>
  <si>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</si>
  <si>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</si>
  <si>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</si>
  <si>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</si>
  <si>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</si>
  <si>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</si>
  <si>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</si>
  <si>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</si>
  <si>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</si>
  <si>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</si>
  <si>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</si>
  <si>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</si>
  <si>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</si>
  <si>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</si>
  <si>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</si>
  <si>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</si>
  <si>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</si>
  <si>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</si>
  <si>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</si>
  <si>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</si>
  <si>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</si>
  <si>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</si>
  <si>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</si>
  <si>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</si>
  <si>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</si>
  <si>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</si>
  <si>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</si>
  <si>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</si>
  <si>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</si>
  <si>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</si>
  <si>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</si>
  <si>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</si>
  <si>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</si>
  <si>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</si>
  <si>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</si>
  <si>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</si>
  <si>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</si>
  <si>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</si>
  <si>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</si>
  <si>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</si>
  <si>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</si>
  <si>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</si>
  <si>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</si>
  <si>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</si>
  <si>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</si>
  <si>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</si>
  <si>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</si>
  <si>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</si>
  <si>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</si>
  <si>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</si>
  <si>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</si>
  <si>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</si>
  <si>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</si>
  <si>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</si>
  <si>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</si>
  <si>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</si>
  <si>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</si>
  <si>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</si>
  <si>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</si>
  <si>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</si>
  <si>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</si>
  <si>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</si>
  <si>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</si>
  <si>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</si>
  <si>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</si>
  <si>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</si>
  <si>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</si>
  <si>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</si>
  <si>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</si>
  <si>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</si>
  <si>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</si>
  <si>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</si>
  <si>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</si>
  <si>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</si>
  <si>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</si>
  <si>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</si>
  <si>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</si>
  <si>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</si>
  <si>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</si>
  <si>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</si>
  <si>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</si>
  <si>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</si>
  <si>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</si>
  <si>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</si>
  <si>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</si>
  <si>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</si>
  <si>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</si>
  <si>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</si>
  <si>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</si>
  <si>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</si>
  <si>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</si>
  <si>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</si>
  <si>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</si>
  <si>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</si>
  <si>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</si>
  <si>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</si>
  <si>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</si>
  <si>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</si>
  <si>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</si>
  <si>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</si>
  <si>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</si>
  <si>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</si>
  <si>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</si>
  <si>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</si>
  <si>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</si>
  <si>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</si>
  <si>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</si>
  <si>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</si>
  <si>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</si>
  <si>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</si>
  <si>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</si>
  <si>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</si>
  <si>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</si>
  <si>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</si>
  <si>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</si>
  <si>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</si>
  <si>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</si>
  <si>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</si>
  <si>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</si>
  <si>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</si>
  <si>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</si>
  <si>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</si>
  <si>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</si>
  <si>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</si>
  <si>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</si>
  <si>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</si>
  <si>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</si>
  <si>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</si>
  <si>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</si>
  <si>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</si>
  <si>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</si>
  <si>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</si>
  <si>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</si>
  <si>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</si>
  <si>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</si>
  <si>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</si>
  <si>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</si>
  <si>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</si>
  <si>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</si>
  <si>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</si>
  <si>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</si>
  <si>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</si>
  <si>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</si>
  <si>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</si>
  <si>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</si>
  <si>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</si>
  <si>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</si>
  <si>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</si>
  <si>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</si>
  <si>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</si>
  <si>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</si>
  <si>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</si>
  <si>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</si>
  <si>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</si>
  <si>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</si>
  <si>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</si>
  <si>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</si>
  <si>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</si>
  <si>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</si>
  <si>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</si>
  <si>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</si>
  <si>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</si>
  <si>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</si>
  <si>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</si>
  <si>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</si>
  <si>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</si>
  <si>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</si>
  <si>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</si>
  <si>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</si>
  <si>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</si>
  <si>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</si>
  <si>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</si>
  <si>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</si>
  <si>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</si>
  <si>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</si>
  <si>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</si>
  <si>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</si>
  <si>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</si>
  <si>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</si>
  <si>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</si>
  <si>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</si>
  <si>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</si>
  <si>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</si>
  <si>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</si>
  <si>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</si>
  <si>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</si>
  <si>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</si>
  <si>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</si>
  <si>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</si>
  <si>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</si>
  <si>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</si>
  <si>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</si>
  <si>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</si>
  <si>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</si>
  <si>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</si>
  <si>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</si>
  <si>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</si>
  <si>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</si>
  <si>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</si>
  <si>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</si>
  <si>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</si>
  <si>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</si>
  <si>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</si>
  <si>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</si>
  <si>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</si>
  <si>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</si>
  <si>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</si>
  <si>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</si>
  <si>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</si>
  <si>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</si>
  <si>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</si>
  <si>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</si>
  <si>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</si>
  <si>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</si>
  <si>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</si>
  <si>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</si>
  <si>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</si>
  <si>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</si>
  <si>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</si>
  <si>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</si>
  <si>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</si>
  <si>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</si>
  <si>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</si>
  <si>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</si>
  <si>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</si>
  <si>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</si>
  <si>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</si>
  <si>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</si>
  <si>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</si>
  <si>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</si>
  <si>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</si>
  <si>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</si>
  <si>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</si>
  <si>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</si>
  <si>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</si>
  <si>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</si>
  <si>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</si>
  <si>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</si>
  <si>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</si>
  <si>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</si>
  <si>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</si>
  <si>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</si>
  <si>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</si>
  <si>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</si>
  <si>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</si>
  <si>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</si>
  <si>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</si>
  <si>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</si>
  <si>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</si>
  <si>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</si>
  <si>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</si>
  <si>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</si>
  <si>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</si>
  <si>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</si>
  <si>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</si>
  <si>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</si>
  <si>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</si>
  <si>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</si>
  <si>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</si>
  <si>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</si>
  <si>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</si>
  <si>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</si>
  <si>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</si>
  <si>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</si>
  <si>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</si>
  <si>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</si>
  <si>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</si>
  <si>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</si>
  <si>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</si>
  <si>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</si>
  <si>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</si>
  <si>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</si>
  <si>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</si>
  <si>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</si>
  <si>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</si>
  <si>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</si>
  <si>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庄内町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</si>
</sst>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topLeftCell="C1" zoomScale="70" zoomScaleNormal="70" workbookViewId="0">
      <pane ySplit="3" topLeftCell="A4" activePane="bottomLeft" state="frozen"/>
      <selection activeCell="E20" sqref="E20"/>
      <selection pane="bottomLeft" activeCell="T19" sqref="T19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99999945001</v>
      </c>
      <c r="G10" s="29">
        <f t="shared" si="2"/>
        <v>99999945001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庄内町</v>
      </c>
      <c r="K10" s="31" t="str">
        <f t="shared" si="6"/>
        <v>99999945001介護施設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99999945001</v>
      </c>
      <c r="N10">
        <f>IF(L10&lt;&gt;"○",M10,INDEX(G$4:G9,MATCH(L10&amp;M10,F$4:F9,0)))</f>
        <v>99999945001</v>
      </c>
      <c r="O10" t="str">
        <f t="shared" si="8"/>
        <v>介護施設</v>
      </c>
      <c r="Q10" s="4">
        <v>44961</v>
      </c>
      <c r="S10" t="str">
        <f>$O$1&amp;
945&amp;
REPT("0",3-LEN(ROW($S1)))&amp;ROW($S1)</f>
        <v>99999945001</v>
      </c>
      <c r="T10" t="s">
        <v>50</v>
      </c>
      <c r="U10" t="s">
        <v>50</v>
      </c>
      <c r="V10" t="s">
        <v>446</v>
      </c>
      <c r="AB10" t="str">
        <f>$S$10&amp;"介護施設"</f>
        <v>99999945001介護施設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99999945002</v>
      </c>
      <c r="G11" s="29">
        <f t="shared" si="2"/>
        <v>99999945002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庄内町</v>
      </c>
      <c r="K11" s="31" t="str">
        <f t="shared" si="6"/>
        <v>99999945001関連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99999945001</v>
      </c>
      <c r="N11">
        <f>IF(L11&lt;&gt;"○",M11,INDEX(G$4:G10,MATCH(L11&amp;M11,F$4:F10,0)))</f>
        <v>99999945001</v>
      </c>
      <c r="O11" t="str">
        <f t="shared" si="8"/>
        <v>関連</v>
      </c>
      <c r="Q11" s="4">
        <v>44961</v>
      </c>
      <c r="S11" t="str">
        <f t="shared" ref="S11:S17" si="9">$O$1&amp;
945&amp;
REPT("0",3-LEN(ROW($S2)))&amp;ROW($S2)</f>
        <v>99999945002</v>
      </c>
      <c r="T11" t="s">
        <v>50</v>
      </c>
      <c r="U11" t="s">
        <v>50</v>
      </c>
      <c r="V11" t="s">
        <v>446</v>
      </c>
      <c r="AB11" t="str">
        <f>$S$10&amp;"関連"</f>
        <v>99999945001関連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99999945003</v>
      </c>
      <c r="G12" s="29">
        <f t="shared" si="2"/>
        <v>99999945003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庄内町</v>
      </c>
      <c r="K12" s="31" t="str">
        <f t="shared" si="6"/>
        <v>99999945001関連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99999945001</v>
      </c>
      <c r="N12">
        <f>IF(L12&lt;&gt;"○",M12,INDEX(G$4:G11,MATCH(L12&amp;M12,F$4:F11,0)))</f>
        <v>99999945001</v>
      </c>
      <c r="O12" t="str">
        <f t="shared" si="8"/>
        <v>関連</v>
      </c>
      <c r="Q12" s="4">
        <v>44961</v>
      </c>
      <c r="S12" t="str">
        <f t="shared" si="9"/>
        <v>99999945003</v>
      </c>
      <c r="T12" t="s">
        <v>50</v>
      </c>
      <c r="U12" t="s">
        <v>50</v>
      </c>
      <c r="V12" t="s">
        <v>446</v>
      </c>
      <c r="AB12" t="str">
        <f t="shared" ref="AB12:AB17" si="10">$S$10&amp;"関連"</f>
        <v>99999945001関連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99999945004</v>
      </c>
      <c r="G13" s="29">
        <f t="shared" si="2"/>
        <v>99999945004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庄内町</v>
      </c>
      <c r="K13" s="31" t="str">
        <f t="shared" si="6"/>
        <v>99999945001関連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99999945001</v>
      </c>
      <c r="N13">
        <f>IF(L13&lt;&gt;"○",M13,INDEX(G$4:G12,MATCH(L13&amp;M13,F$4:F12,0)))</f>
        <v>99999945001</v>
      </c>
      <c r="O13" t="str">
        <f t="shared" si="8"/>
        <v>関連</v>
      </c>
      <c r="Q13" s="4">
        <v>44961</v>
      </c>
      <c r="S13" t="str">
        <f t="shared" si="9"/>
        <v>99999945004</v>
      </c>
      <c r="T13" t="s">
        <v>50</v>
      </c>
      <c r="U13" t="s">
        <v>50</v>
      </c>
      <c r="V13" t="s">
        <v>446</v>
      </c>
      <c r="AB13" t="str">
        <f t="shared" si="10"/>
        <v>99999945001関連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99999945005</v>
      </c>
      <c r="G14" s="29">
        <f t="shared" si="2"/>
        <v>99999945005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庄内町</v>
      </c>
      <c r="K14" s="31" t="str">
        <f t="shared" si="6"/>
        <v>99999945001関連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99999945001</v>
      </c>
      <c r="N14">
        <f>IF(L14&lt;&gt;"○",M14,INDEX(G$4:G13,MATCH(L14&amp;M14,F$4:F13,0)))</f>
        <v>99999945001</v>
      </c>
      <c r="O14" t="str">
        <f t="shared" si="8"/>
        <v>関連</v>
      </c>
      <c r="Q14" s="4">
        <v>44961</v>
      </c>
      <c r="S14" t="str">
        <f t="shared" si="9"/>
        <v>99999945005</v>
      </c>
      <c r="T14" t="s">
        <v>50</v>
      </c>
      <c r="U14" t="s">
        <v>50</v>
      </c>
      <c r="V14" t="s">
        <v>446</v>
      </c>
      <c r="AB14" t="str">
        <f t="shared" si="10"/>
        <v>99999945001関連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99999945006</v>
      </c>
      <c r="G15" s="29">
        <f t="shared" si="2"/>
        <v>99999945006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庄内町</v>
      </c>
      <c r="K15" s="31" t="str">
        <f t="shared" si="6"/>
        <v>99999945001関連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99999945001</v>
      </c>
      <c r="N15">
        <f>IF(L15&lt;&gt;"○",M15,INDEX(G$4:G14,MATCH(L15&amp;M15,F$4:F14,0)))</f>
        <v>99999945001</v>
      </c>
      <c r="O15" t="str">
        <f t="shared" si="8"/>
        <v>関連</v>
      </c>
      <c r="Q15" s="4">
        <v>44961</v>
      </c>
      <c r="S15" t="str">
        <f t="shared" si="9"/>
        <v>99999945006</v>
      </c>
      <c r="T15" t="s">
        <v>50</v>
      </c>
      <c r="U15" t="s">
        <v>50</v>
      </c>
      <c r="V15" t="s">
        <v>446</v>
      </c>
      <c r="AB15" t="str">
        <f t="shared" si="10"/>
        <v>99999945001関連</v>
      </c>
    </row>
    <row r="16" spans="2:38" x14ac:dyDescent="0.4">
      <c r="B16" t="s">
        <v>21</v>
      </c>
      <c r="C16">
        <f>IF(G16="","",MAX(C$4:C15)+1)</f>
        <v>7</v>
      </c>
      <c r="D16">
        <f>IF(AND(N16=""),"",MAX(D$4:D15)+1)</f>
        <v>7</v>
      </c>
      <c r="F16" s="26" t="str">
        <f t="shared" si="1"/>
        <v>99999945007</v>
      </c>
      <c r="G16" s="29">
        <f t="shared" si="2"/>
        <v>99999945007</v>
      </c>
      <c r="H16" s="20" t="str">
        <f t="shared" si="3"/>
        <v>-</v>
      </c>
      <c r="I16" s="20" t="str">
        <f t="shared" si="4"/>
        <v>ー</v>
      </c>
      <c r="J16" s="20" t="str">
        <f t="shared" si="5"/>
        <v>庄内町</v>
      </c>
      <c r="K16" s="31" t="str">
        <f t="shared" si="6"/>
        <v>99999945001関連</v>
      </c>
      <c r="L16" s="23" t="str">
        <f t="shared" si="7"/>
        <v/>
      </c>
      <c r="M16" cm="1">
        <f t="array" ref="M16">IF(COUNT(INDEX(FIND(ROW($1:$10)-1,K16),)),VALUE(MID(K16,MIN(SEARCH({1,2,3,4,5,6,7,8,9,0},K16&amp;1234567890)),LEN(K16)-(LENB(K16)-LEN(K16)))),"")</f>
        <v>99999945001</v>
      </c>
      <c r="N16">
        <f>IF(L16&lt;&gt;"○",M16,INDEX(G$4:G15,MATCH(L16&amp;M16,F$4:F15,0)))</f>
        <v>99999945001</v>
      </c>
      <c r="O16" t="str">
        <f t="shared" si="8"/>
        <v>関連</v>
      </c>
      <c r="Q16" s="4">
        <v>44961</v>
      </c>
      <c r="S16" t="str">
        <f t="shared" si="9"/>
        <v>99999945007</v>
      </c>
      <c r="T16" t="s">
        <v>50</v>
      </c>
      <c r="U16" t="s">
        <v>50</v>
      </c>
      <c r="V16" t="s">
        <v>446</v>
      </c>
      <c r="AB16" t="str">
        <f t="shared" si="10"/>
        <v>99999945001関連</v>
      </c>
    </row>
    <row r="17" spans="2:28" x14ac:dyDescent="0.4">
      <c r="B17" t="s">
        <v>21</v>
      </c>
      <c r="C17">
        <f>IF(G17="","",MAX(C$4:C16)+1)</f>
        <v>8</v>
      </c>
      <c r="D17">
        <f>IF(AND(N17=""),"",MAX(D$4:D16)+1)</f>
        <v>8</v>
      </c>
      <c r="F17" s="26" t="str">
        <f t="shared" si="1"/>
        <v>99999945008</v>
      </c>
      <c r="G17" s="29">
        <f t="shared" si="2"/>
        <v>99999945008</v>
      </c>
      <c r="H17" s="20" t="str">
        <f t="shared" si="3"/>
        <v>-</v>
      </c>
      <c r="I17" s="20" t="str">
        <f t="shared" si="4"/>
        <v>ー</v>
      </c>
      <c r="J17" s="20" t="str">
        <f t="shared" si="5"/>
        <v>庄内町</v>
      </c>
      <c r="K17" s="31" t="str">
        <f t="shared" si="6"/>
        <v>99999945001関連</v>
      </c>
      <c r="L17" s="23" t="str">
        <f t="shared" si="7"/>
        <v/>
      </c>
      <c r="M17" cm="1">
        <f t="array" ref="M17">IF(COUNT(INDEX(FIND(ROW($1:$10)-1,K17),)),VALUE(MID(K17,MIN(SEARCH({1,2,3,4,5,6,7,8,9,0},K17&amp;1234567890)),LEN(K17)-(LENB(K17)-LEN(K17)))),"")</f>
        <v>99999945001</v>
      </c>
      <c r="N17">
        <f>IF(L17&lt;&gt;"○",M17,INDEX(G$4:G16,MATCH(L17&amp;M17,F$4:F16,0)))</f>
        <v>99999945001</v>
      </c>
      <c r="O17" t="str">
        <f t="shared" si="8"/>
        <v>関連</v>
      </c>
      <c r="Q17" s="4">
        <v>44961</v>
      </c>
      <c r="S17" t="str">
        <f t="shared" si="9"/>
        <v>99999945008</v>
      </c>
      <c r="T17" t="s">
        <v>50</v>
      </c>
      <c r="U17" t="s">
        <v>50</v>
      </c>
      <c r="V17" t="s">
        <v>446</v>
      </c>
      <c r="AB17" t="str">
        <f t="shared" si="10"/>
        <v>99999945001関連</v>
      </c>
    </row>
    <row r="18" spans="2:28" x14ac:dyDescent="0.4">
      <c r="B18" t="s">
        <v>21</v>
      </c>
      <c r="C18" t="str">
        <f>IF(G18="","",MAX(C$4:C17)+1)</f>
        <v/>
      </c>
      <c r="D18" t="str">
        <f>IF(AND(N18=""),"",MAX(D$4:D17)+1)</f>
        <v/>
      </c>
      <c r="F18" s="26" t="str">
        <f t="shared" si="1"/>
        <v/>
      </c>
      <c r="G18" s="29" t="str">
        <f t="shared" si="2"/>
        <v/>
      </c>
      <c r="H18" s="20" t="str">
        <f t="shared" si="3"/>
        <v/>
      </c>
      <c r="I18" s="20" t="str">
        <f t="shared" si="4"/>
        <v/>
      </c>
      <c r="J18" s="20" t="str">
        <f t="shared" si="5"/>
        <v/>
      </c>
      <c r="K18" s="31" t="str">
        <f t="shared" si="6"/>
        <v/>
      </c>
      <c r="L18" s="23" t="str">
        <f t="shared" si="7"/>
        <v/>
      </c>
      <c r="M18" t="str" cm="1">
        <f t="array" ref="M18">IF(COUNT(INDEX(FIND(ROW($1:$10)-1,K18),)),VALUE(MID(K18,MIN(SEARCH({1,2,3,4,5,6,7,8,9,0},K18&amp;1234567890)),LEN(K18)-(LENB(K18)-LEN(K18)))),"")</f>
        <v/>
      </c>
      <c r="N18" t="str">
        <f>IF(L18&lt;&gt;"○",M18,INDEX(G$4:G17,MATCH(L18&amp;M18,F$4:F17,0)))</f>
        <v/>
      </c>
      <c r="O18" t="str">
        <f t="shared" si="8"/>
        <v/>
      </c>
      <c r="Q18" s="4"/>
    </row>
    <row r="19" spans="2:28" x14ac:dyDescent="0.4">
      <c r="B19" t="s">
        <v>21</v>
      </c>
      <c r="C19" t="str">
        <f>IF(G19="","",MAX(C$4:C18)+1)</f>
        <v/>
      </c>
      <c r="D19" t="str">
        <f>IF(AND(N19=""),"",MAX(D$4:D18)+1)</f>
        <v/>
      </c>
      <c r="F19" s="26" t="str">
        <f t="shared" si="1"/>
        <v/>
      </c>
      <c r="G19" s="29" t="str">
        <f t="shared" si="2"/>
        <v/>
      </c>
      <c r="H19" s="20" t="str">
        <f t="shared" si="3"/>
        <v/>
      </c>
      <c r="I19" s="20" t="str">
        <f t="shared" si="4"/>
        <v/>
      </c>
      <c r="J19" s="20" t="str">
        <f t="shared" si="5"/>
        <v/>
      </c>
      <c r="K19" s="31" t="str">
        <f t="shared" si="6"/>
        <v/>
      </c>
      <c r="L19" s="23" t="str">
        <f t="shared" si="7"/>
        <v/>
      </c>
      <c r="M19" t="str" cm="1">
        <f t="array" ref="M19">IF(COUNT(INDEX(FIND(ROW($1:$10)-1,K19),)),VALUE(MID(K19,MIN(SEARCH({1,2,3,4,5,6,7,8,9,0},K19&amp;1234567890)),LEN(K19)-(LENB(K19)-LEN(K19)))),"")</f>
        <v/>
      </c>
      <c r="N19" t="str">
        <f>IF(L19&lt;&gt;"○",M19,INDEX(G$4:G18,MATCH(L19&amp;M19,F$4:F18,0)))</f>
        <v/>
      </c>
      <c r="O19" t="str">
        <f t="shared" si="8"/>
        <v/>
      </c>
      <c r="Q19" s="4"/>
    </row>
    <row r="20" spans="2:28" x14ac:dyDescent="0.4">
      <c r="B20" t="s">
        <v>21</v>
      </c>
      <c r="C20" t="str">
        <f>IF(G20="","",MAX(C$4:C19)+1)</f>
        <v/>
      </c>
      <c r="D20" t="str">
        <f>IF(AND(N20=""),"",MAX(D$4:D19)+1)</f>
        <v/>
      </c>
      <c r="F20" s="26" t="str">
        <f t="shared" si="1"/>
        <v/>
      </c>
      <c r="G20" s="29" t="str">
        <f t="shared" si="2"/>
        <v/>
      </c>
      <c r="H20" s="20" t="str">
        <f t="shared" si="3"/>
        <v/>
      </c>
      <c r="I20" s="20" t="str">
        <f t="shared" si="4"/>
        <v/>
      </c>
      <c r="J20" s="20" t="str">
        <f t="shared" si="5"/>
        <v/>
      </c>
      <c r="K20" s="31" t="str">
        <f t="shared" si="6"/>
        <v/>
      </c>
      <c r="L20" s="23" t="str">
        <f t="shared" si="7"/>
        <v/>
      </c>
      <c r="M20" t="str" cm="1">
        <f t="array" ref="M20">IF(COUNT(INDEX(FIND(ROW($1:$10)-1,K20),)),VALUE(MID(K20,MIN(SEARCH({1,2,3,4,5,6,7,8,9,0},K20&amp;1234567890)),LEN(K20)-(LENB(K20)-LEN(K20)))),"")</f>
        <v/>
      </c>
      <c r="N20" t="str">
        <f>IF(L20&lt;&gt;"○",M20,INDEX(G$4:G19,MATCH(L20&amp;M20,F$4:F19,0)))</f>
        <v/>
      </c>
      <c r="O20" t="str">
        <f t="shared" si="8"/>
        <v/>
      </c>
      <c r="Q20" s="4"/>
    </row>
    <row r="21" spans="2:28" x14ac:dyDescent="0.4">
      <c r="B21" t="s">
        <v>21</v>
      </c>
      <c r="C21" t="str">
        <f>IF(G21="","",MAX(C$4:C20)+1)</f>
        <v/>
      </c>
      <c r="D21" t="str">
        <f>IF(AND(N21=""),"",MAX(D$4:D20)+1)</f>
        <v/>
      </c>
      <c r="F21" s="26" t="str">
        <f t="shared" si="1"/>
        <v/>
      </c>
      <c r="G21" s="29" t="str">
        <f t="shared" si="2"/>
        <v/>
      </c>
      <c r="H21" s="20" t="str">
        <f t="shared" si="3"/>
        <v/>
      </c>
      <c r="I21" s="20" t="str">
        <f t="shared" si="4"/>
        <v/>
      </c>
      <c r="J21" s="20" t="str">
        <f t="shared" si="5"/>
        <v/>
      </c>
      <c r="K21" s="31" t="str">
        <f t="shared" si="6"/>
        <v/>
      </c>
      <c r="L21" s="23" t="str">
        <f t="shared" si="7"/>
        <v/>
      </c>
      <c r="M21" t="str" cm="1">
        <f t="array" ref="M21">IF(COUNT(INDEX(FIND(ROW($1:$10)-1,K21),)),VALUE(MID(K21,MIN(SEARCH({1,2,3,4,5,6,7,8,9,0},K21&amp;1234567890)),LEN(K21)-(LENB(K21)-LEN(K21)))),"")</f>
        <v/>
      </c>
      <c r="N21" t="str">
        <f>IF(L21&lt;&gt;"○",M21,INDEX(G$4:G20,MATCH(L21&amp;M21,F$4:F20,0)))</f>
        <v/>
      </c>
      <c r="O21" t="str">
        <f t="shared" si="8"/>
        <v/>
      </c>
      <c r="Q21" s="4"/>
    </row>
    <row r="22" spans="2:28" x14ac:dyDescent="0.4">
      <c r="B22" t="s">
        <v>21</v>
      </c>
      <c r="C22" t="str">
        <f>IF(G22="","",MAX(C$4:C21)+1)</f>
        <v/>
      </c>
      <c r="D22" t="str">
        <f>IF(AND(N22=""),"",MAX(D$4:D21)+1)</f>
        <v/>
      </c>
      <c r="F22" s="26" t="str">
        <f t="shared" si="1"/>
        <v/>
      </c>
      <c r="G22" s="29" t="str">
        <f t="shared" si="2"/>
        <v/>
      </c>
      <c r="H22" s="20" t="str">
        <f t="shared" si="3"/>
        <v/>
      </c>
      <c r="I22" s="20" t="str">
        <f t="shared" si="4"/>
        <v/>
      </c>
      <c r="J22" s="20" t="str">
        <f t="shared" si="5"/>
        <v/>
      </c>
      <c r="K22" s="31" t="str">
        <f t="shared" si="6"/>
        <v/>
      </c>
      <c r="L22" s="23" t="str">
        <f t="shared" si="7"/>
        <v/>
      </c>
      <c r="M22" t="str" cm="1">
        <f t="array" ref="M22">IF(COUNT(INDEX(FIND(ROW($1:$10)-1,K22),)),VALUE(MID(K22,MIN(SEARCH({1,2,3,4,5,6,7,8,9,0},K22&amp;1234567890)),LEN(K22)-(LENB(K22)-LEN(K22)))),"")</f>
        <v/>
      </c>
      <c r="N22" t="str">
        <f>IF(L22&lt;&gt;"○",M22,INDEX(G$4:G21,MATCH(L22&amp;M22,F$4:F21,0)))</f>
        <v/>
      </c>
      <c r="O22" t="str">
        <f t="shared" si="8"/>
        <v/>
      </c>
      <c r="Q22" s="4"/>
    </row>
    <row r="23" spans="2:28" x14ac:dyDescent="0.4">
      <c r="B23" t="s">
        <v>21</v>
      </c>
      <c r="C23" t="str">
        <f>IF(G23="","",MAX(C$4:C22)+1)</f>
        <v/>
      </c>
      <c r="D23" t="str">
        <f>IF(AND(N23=""),"",MAX(D$4:D22)+1)</f>
        <v/>
      </c>
      <c r="F23" s="26" t="str">
        <f t="shared" si="1"/>
        <v/>
      </c>
      <c r="G23" s="29" t="str">
        <f t="shared" si="2"/>
        <v/>
      </c>
      <c r="H23" s="20" t="str">
        <f t="shared" si="3"/>
        <v/>
      </c>
      <c r="I23" s="20" t="str">
        <f t="shared" si="4"/>
        <v/>
      </c>
      <c r="J23" s="20" t="str">
        <f t="shared" si="5"/>
        <v/>
      </c>
      <c r="K23" s="31" t="str">
        <f t="shared" si="6"/>
        <v/>
      </c>
      <c r="L23" s="23" t="str">
        <f t="shared" si="7"/>
        <v/>
      </c>
      <c r="M23" t="str" cm="1">
        <f t="array" ref="M23">IF(COUNT(INDEX(FIND(ROW($1:$10)-1,K23),)),VALUE(MID(K23,MIN(SEARCH({1,2,3,4,5,6,7,8,9,0},K23&amp;1234567890)),LEN(K23)-(LENB(K23)-LEN(K23)))),"")</f>
        <v/>
      </c>
      <c r="N23" t="str">
        <f>IF(L23&lt;&gt;"○",M23,INDEX(G$4:G22,MATCH(L23&amp;M23,F$4:F22,0)))</f>
        <v/>
      </c>
      <c r="O23" t="str">
        <f t="shared" si="8"/>
        <v/>
      </c>
      <c r="Q23" s="4"/>
    </row>
    <row r="24" spans="2:28" x14ac:dyDescent="0.4">
      <c r="B24" t="s">
        <v>21</v>
      </c>
      <c r="C24" t="str">
        <f>IF(G24="","",MAX(C$4:C23)+1)</f>
        <v/>
      </c>
      <c r="D24" t="str">
        <f>IF(AND(N24=""),"",MAX(D$4:D23)+1)</f>
        <v/>
      </c>
      <c r="F24" s="26" t="str">
        <f t="shared" si="1"/>
        <v/>
      </c>
      <c r="G24" s="29" t="str">
        <f t="shared" si="2"/>
        <v/>
      </c>
      <c r="H24" s="20" t="str">
        <f t="shared" si="3"/>
        <v/>
      </c>
      <c r="I24" s="20" t="str">
        <f t="shared" si="4"/>
        <v/>
      </c>
      <c r="J24" s="20" t="str">
        <f t="shared" si="5"/>
        <v/>
      </c>
      <c r="K24" s="31" t="str">
        <f t="shared" si="6"/>
        <v/>
      </c>
      <c r="L24" s="23" t="str">
        <f t="shared" si="7"/>
        <v/>
      </c>
      <c r="M24" t="str" cm="1">
        <f t="array" ref="M24">IF(COUNT(INDEX(FIND(ROW($1:$10)-1,K24),)),VALUE(MID(K24,MIN(SEARCH({1,2,3,4,5,6,7,8,9,0},K24&amp;1234567890)),LEN(K24)-(LENB(K24)-LEN(K24)))),"")</f>
        <v/>
      </c>
      <c r="N24" t="str">
        <f>IF(L24&lt;&gt;"○",M24,INDEX(G$4:G23,MATCH(L24&amp;M24,F$4:F23,0)))</f>
        <v/>
      </c>
      <c r="O24" t="str">
        <f t="shared" si="8"/>
        <v/>
      </c>
      <c r="Q24" s="4"/>
    </row>
    <row r="25" spans="2:28" x14ac:dyDescent="0.4">
      <c r="B25" t="s">
        <v>21</v>
      </c>
      <c r="C25" t="str">
        <f>IF(G25="","",MAX(C$4:C24)+1)</f>
        <v/>
      </c>
      <c r="D25" t="str">
        <f>IF(AND(N25=""),"",MAX(D$4:D24)+1)</f>
        <v/>
      </c>
      <c r="F25" s="26" t="str">
        <f t="shared" si="1"/>
        <v/>
      </c>
      <c r="G25" s="29" t="str">
        <f t="shared" si="2"/>
        <v/>
      </c>
      <c r="H25" s="20" t="str">
        <f t="shared" si="3"/>
        <v/>
      </c>
      <c r="I25" s="20" t="str">
        <f t="shared" si="4"/>
        <v/>
      </c>
      <c r="J25" s="20" t="str">
        <f t="shared" si="5"/>
        <v/>
      </c>
      <c r="K25" s="31" t="str">
        <f t="shared" si="6"/>
        <v/>
      </c>
      <c r="L25" s="23" t="str">
        <f t="shared" si="7"/>
        <v/>
      </c>
      <c r="M25" t="str" cm="1">
        <f t="array" ref="M25">IF(COUNT(INDEX(FIND(ROW($1:$10)-1,K25),)),VALUE(MID(K25,MIN(SEARCH({1,2,3,4,5,6,7,8,9,0},K25&amp;1234567890)),LEN(K25)-(LENB(K25)-LEN(K25)))),"")</f>
        <v/>
      </c>
      <c r="N25" t="str">
        <f>IF(L25&lt;&gt;"○",M25,INDEX(G$4:G24,MATCH(L25&amp;M25,F$4:F24,0)))</f>
        <v/>
      </c>
      <c r="O25" t="str">
        <f t="shared" si="8"/>
        <v/>
      </c>
      <c r="Q25" s="4"/>
    </row>
    <row r="26" spans="2:28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28" x14ac:dyDescent="0.4">
      <c r="B27" t="s">
        <v>21</v>
      </c>
      <c r="C27" t="str">
        <f>IF(G27="","",MAX(C$4:C26)+1)</f>
        <v/>
      </c>
      <c r="D27" t="str">
        <f>IF(AND(N27=""),"",MAX(D$4:D26)+1)</f>
        <v/>
      </c>
      <c r="F27" s="26" t="str">
        <f t="shared" si="1"/>
        <v/>
      </c>
      <c r="G27" s="29" t="str">
        <f t="shared" si="2"/>
        <v/>
      </c>
      <c r="H27" s="20" t="str">
        <f t="shared" si="3"/>
        <v/>
      </c>
      <c r="I27" s="20" t="str">
        <f t="shared" si="4"/>
        <v/>
      </c>
      <c r="J27" s="20" t="str">
        <f t="shared" si="5"/>
        <v/>
      </c>
      <c r="K27" s="31" t="str">
        <f t="shared" si="6"/>
        <v/>
      </c>
      <c r="L27" s="23" t="str">
        <f t="shared" si="7"/>
        <v/>
      </c>
      <c r="M27" t="str" cm="1">
        <f t="array" ref="M27">IF(COUNT(INDEX(FIND(ROW($1:$10)-1,K27),)),VALUE(MID(K27,MIN(SEARCH({1,2,3,4,5,6,7,8,9,0},K27&amp;1234567890)),LEN(K27)-(LENB(K27)-LEN(K27)))),"")</f>
        <v/>
      </c>
      <c r="N27" t="str">
        <f>IF(L27&lt;&gt;"○",M27,INDEX(G$4:G26,MATCH(L27&amp;M27,F$4:F26,0)))</f>
        <v/>
      </c>
      <c r="O27" t="str">
        <f t="shared" si="8"/>
        <v/>
      </c>
      <c r="Q27" s="4"/>
    </row>
    <row r="28" spans="2:28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28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28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28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28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1">IF(G73&lt;&gt;"",R73&amp;S73,"")</f>
        <v/>
      </c>
      <c r="G73" s="29" t="str">
        <f t="shared" ref="G73:G136" si="12">IF(AND((S73 &lt;&gt; ""),(S73 &gt;= 0)), ABS(IF(OR((R73=""),(R73="　")), S73, T73)), "")</f>
        <v/>
      </c>
      <c r="H73" s="20" t="str">
        <f t="shared" ref="H73:H136" si="13">IF(OR((R73=""),(R73="　")),IF(G73 &lt;&gt; "", T73, ""),IF(G73 &lt;&gt; "", U73, ""))</f>
        <v/>
      </c>
      <c r="I73" s="20" t="str">
        <f t="shared" ref="I73:I136" si="14">IF(G73 &lt;&gt; "", IF(COUNTIF(IF(OR((R73=""),(R73="　")), U73, V73),"*男*"),"男性",IF(COUNTIF(IF(OR((R73=""),(R73="　")), U73, V73),"*女*"),"女性","ー")),"")</f>
        <v/>
      </c>
      <c r="J73" s="20" t="str">
        <f t="shared" ref="J73:J136" si="15">IF(G73 &lt;&gt; "", IF(OR((R73=""),(R73="　")), V73, W73),"")</f>
        <v/>
      </c>
      <c r="K73" s="31" t="str">
        <f t="shared" ref="K73:K136" si="16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7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18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1"/>
        <v/>
      </c>
      <c r="G74" s="29" t="str">
        <f t="shared" si="12"/>
        <v/>
      </c>
      <c r="H74" s="20" t="str">
        <f t="shared" si="13"/>
        <v/>
      </c>
      <c r="I74" s="20" t="str">
        <f t="shared" si="14"/>
        <v/>
      </c>
      <c r="J74" s="20" t="str">
        <f t="shared" si="15"/>
        <v/>
      </c>
      <c r="K74" s="31" t="str">
        <f t="shared" si="16"/>
        <v/>
      </c>
      <c r="L74" s="23" t="str">
        <f t="shared" si="17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18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1"/>
        <v/>
      </c>
      <c r="G75" s="29" t="str">
        <f t="shared" si="12"/>
        <v/>
      </c>
      <c r="H75" s="20" t="str">
        <f t="shared" si="13"/>
        <v/>
      </c>
      <c r="I75" s="20" t="str">
        <f t="shared" si="14"/>
        <v/>
      </c>
      <c r="J75" s="20" t="str">
        <f t="shared" si="15"/>
        <v/>
      </c>
      <c r="K75" s="31" t="str">
        <f t="shared" si="16"/>
        <v/>
      </c>
      <c r="L75" s="23" t="str">
        <f t="shared" si="17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18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1"/>
        <v/>
      </c>
      <c r="G76" s="29" t="str">
        <f t="shared" si="12"/>
        <v/>
      </c>
      <c r="H76" s="20" t="str">
        <f t="shared" si="13"/>
        <v/>
      </c>
      <c r="I76" s="20" t="str">
        <f t="shared" si="14"/>
        <v/>
      </c>
      <c r="J76" s="20" t="str">
        <f t="shared" si="15"/>
        <v/>
      </c>
      <c r="K76" s="31" t="str">
        <f t="shared" si="16"/>
        <v/>
      </c>
      <c r="L76" s="23" t="str">
        <f t="shared" si="17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18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1"/>
        <v/>
      </c>
      <c r="G77" s="29" t="str">
        <f t="shared" si="12"/>
        <v/>
      </c>
      <c r="H77" s="20" t="str">
        <f t="shared" si="13"/>
        <v/>
      </c>
      <c r="I77" s="20" t="str">
        <f t="shared" si="14"/>
        <v/>
      </c>
      <c r="J77" s="20" t="str">
        <f t="shared" si="15"/>
        <v/>
      </c>
      <c r="K77" s="31" t="str">
        <f t="shared" si="16"/>
        <v/>
      </c>
      <c r="L77" s="23" t="str">
        <f t="shared" si="17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18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1"/>
        <v/>
      </c>
      <c r="G78" s="29" t="str">
        <f t="shared" si="12"/>
        <v/>
      </c>
      <c r="H78" s="20" t="str">
        <f t="shared" si="13"/>
        <v/>
      </c>
      <c r="I78" s="20" t="str">
        <f t="shared" si="14"/>
        <v/>
      </c>
      <c r="J78" s="20" t="str">
        <f t="shared" si="15"/>
        <v/>
      </c>
      <c r="K78" s="31" t="str">
        <f t="shared" si="16"/>
        <v/>
      </c>
      <c r="L78" s="23" t="str">
        <f t="shared" si="17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18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1"/>
        <v/>
      </c>
      <c r="G79" s="29" t="str">
        <f t="shared" si="12"/>
        <v/>
      </c>
      <c r="H79" s="20" t="str">
        <f t="shared" si="13"/>
        <v/>
      </c>
      <c r="I79" s="20" t="str">
        <f t="shared" si="14"/>
        <v/>
      </c>
      <c r="J79" s="20" t="str">
        <f t="shared" si="15"/>
        <v/>
      </c>
      <c r="K79" s="31" t="str">
        <f t="shared" si="16"/>
        <v/>
      </c>
      <c r="L79" s="23" t="str">
        <f t="shared" si="17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18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1"/>
        <v/>
      </c>
      <c r="G80" s="29" t="str">
        <f t="shared" si="12"/>
        <v/>
      </c>
      <c r="H80" s="20" t="str">
        <f t="shared" si="13"/>
        <v/>
      </c>
      <c r="I80" s="20" t="str">
        <f t="shared" si="14"/>
        <v/>
      </c>
      <c r="J80" s="20" t="str">
        <f t="shared" si="15"/>
        <v/>
      </c>
      <c r="K80" s="31" t="str">
        <f t="shared" si="16"/>
        <v/>
      </c>
      <c r="L80" s="23" t="str">
        <f t="shared" si="17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18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1"/>
        <v/>
      </c>
      <c r="G81" s="29" t="str">
        <f t="shared" si="12"/>
        <v/>
      </c>
      <c r="H81" s="20" t="str">
        <f t="shared" si="13"/>
        <v/>
      </c>
      <c r="I81" s="20" t="str">
        <f t="shared" si="14"/>
        <v/>
      </c>
      <c r="J81" s="20" t="str">
        <f t="shared" si="15"/>
        <v/>
      </c>
      <c r="K81" s="31" t="str">
        <f t="shared" si="16"/>
        <v/>
      </c>
      <c r="L81" s="23" t="str">
        <f t="shared" si="17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18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1"/>
        <v/>
      </c>
      <c r="G82" s="29" t="str">
        <f t="shared" si="12"/>
        <v/>
      </c>
      <c r="H82" s="20" t="str">
        <f t="shared" si="13"/>
        <v/>
      </c>
      <c r="I82" s="20" t="str">
        <f t="shared" si="14"/>
        <v/>
      </c>
      <c r="J82" s="20" t="str">
        <f t="shared" si="15"/>
        <v/>
      </c>
      <c r="K82" s="31" t="str">
        <f t="shared" si="16"/>
        <v/>
      </c>
      <c r="L82" s="23" t="str">
        <f t="shared" si="17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18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1"/>
        <v/>
      </c>
      <c r="G83" s="29" t="str">
        <f t="shared" si="12"/>
        <v/>
      </c>
      <c r="H83" s="20" t="str">
        <f t="shared" si="13"/>
        <v/>
      </c>
      <c r="I83" s="20" t="str">
        <f t="shared" si="14"/>
        <v/>
      </c>
      <c r="J83" s="20" t="str">
        <f t="shared" si="15"/>
        <v/>
      </c>
      <c r="K83" s="31" t="str">
        <f t="shared" si="16"/>
        <v/>
      </c>
      <c r="L83" s="23" t="str">
        <f t="shared" si="17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18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1"/>
        <v/>
      </c>
      <c r="G84" s="29" t="str">
        <f t="shared" si="12"/>
        <v/>
      </c>
      <c r="H84" s="20" t="str">
        <f t="shared" si="13"/>
        <v/>
      </c>
      <c r="I84" s="20" t="str">
        <f t="shared" si="14"/>
        <v/>
      </c>
      <c r="J84" s="20" t="str">
        <f t="shared" si="15"/>
        <v/>
      </c>
      <c r="K84" s="31" t="str">
        <f t="shared" si="16"/>
        <v/>
      </c>
      <c r="L84" s="23" t="str">
        <f t="shared" si="17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18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1"/>
        <v/>
      </c>
      <c r="G85" s="29" t="str">
        <f t="shared" si="12"/>
        <v/>
      </c>
      <c r="H85" s="20" t="str">
        <f t="shared" si="13"/>
        <v/>
      </c>
      <c r="I85" s="20" t="str">
        <f t="shared" si="14"/>
        <v/>
      </c>
      <c r="J85" s="20" t="str">
        <f t="shared" si="15"/>
        <v/>
      </c>
      <c r="K85" s="31" t="str">
        <f t="shared" si="16"/>
        <v/>
      </c>
      <c r="L85" s="23" t="str">
        <f t="shared" si="17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18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1"/>
        <v/>
      </c>
      <c r="G86" s="29" t="str">
        <f t="shared" si="12"/>
        <v/>
      </c>
      <c r="H86" s="20" t="str">
        <f t="shared" si="13"/>
        <v/>
      </c>
      <c r="I86" s="20" t="str">
        <f t="shared" si="14"/>
        <v/>
      </c>
      <c r="J86" s="20" t="str">
        <f t="shared" si="15"/>
        <v/>
      </c>
      <c r="K86" s="31" t="str">
        <f t="shared" si="16"/>
        <v/>
      </c>
      <c r="L86" s="23" t="str">
        <f t="shared" si="17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18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1"/>
        <v/>
      </c>
      <c r="G87" s="29" t="str">
        <f t="shared" si="12"/>
        <v/>
      </c>
      <c r="H87" s="20" t="str">
        <f t="shared" si="13"/>
        <v/>
      </c>
      <c r="I87" s="20" t="str">
        <f t="shared" si="14"/>
        <v/>
      </c>
      <c r="J87" s="20" t="str">
        <f t="shared" si="15"/>
        <v/>
      </c>
      <c r="K87" s="31" t="str">
        <f t="shared" si="16"/>
        <v/>
      </c>
      <c r="L87" s="23" t="str">
        <f t="shared" si="17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18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1"/>
        <v/>
      </c>
      <c r="G88" s="29" t="str">
        <f t="shared" si="12"/>
        <v/>
      </c>
      <c r="H88" s="20" t="str">
        <f t="shared" si="13"/>
        <v/>
      </c>
      <c r="I88" s="20" t="str">
        <f t="shared" si="14"/>
        <v/>
      </c>
      <c r="J88" s="20" t="str">
        <f t="shared" si="15"/>
        <v/>
      </c>
      <c r="K88" s="31" t="str">
        <f t="shared" si="16"/>
        <v/>
      </c>
      <c r="L88" s="23" t="str">
        <f t="shared" si="17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18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1"/>
        <v/>
      </c>
      <c r="G89" s="29" t="str">
        <f t="shared" si="12"/>
        <v/>
      </c>
      <c r="H89" s="20" t="str">
        <f t="shared" si="13"/>
        <v/>
      </c>
      <c r="I89" s="20" t="str">
        <f t="shared" si="14"/>
        <v/>
      </c>
      <c r="J89" s="20" t="str">
        <f t="shared" si="15"/>
        <v/>
      </c>
      <c r="K89" s="31" t="str">
        <f t="shared" si="16"/>
        <v/>
      </c>
      <c r="L89" s="23" t="str">
        <f t="shared" si="17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18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1"/>
        <v/>
      </c>
      <c r="G90" s="29" t="str">
        <f t="shared" si="12"/>
        <v/>
      </c>
      <c r="H90" s="20" t="str">
        <f t="shared" si="13"/>
        <v/>
      </c>
      <c r="I90" s="20" t="str">
        <f t="shared" si="14"/>
        <v/>
      </c>
      <c r="J90" s="20" t="str">
        <f t="shared" si="15"/>
        <v/>
      </c>
      <c r="K90" s="31" t="str">
        <f t="shared" si="16"/>
        <v/>
      </c>
      <c r="L90" s="23" t="str">
        <f t="shared" si="17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18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1"/>
        <v/>
      </c>
      <c r="G91" s="29" t="str">
        <f t="shared" si="12"/>
        <v/>
      </c>
      <c r="H91" s="20" t="str">
        <f t="shared" si="13"/>
        <v/>
      </c>
      <c r="I91" s="20" t="str">
        <f t="shared" si="14"/>
        <v/>
      </c>
      <c r="J91" s="20" t="str">
        <f t="shared" si="15"/>
        <v/>
      </c>
      <c r="K91" s="31" t="str">
        <f t="shared" si="16"/>
        <v/>
      </c>
      <c r="L91" s="23" t="str">
        <f t="shared" si="17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18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1"/>
        <v/>
      </c>
      <c r="G92" s="29" t="str">
        <f t="shared" si="12"/>
        <v/>
      </c>
      <c r="H92" s="20" t="str">
        <f t="shared" si="13"/>
        <v/>
      </c>
      <c r="I92" s="20" t="str">
        <f t="shared" si="14"/>
        <v/>
      </c>
      <c r="J92" s="20" t="str">
        <f t="shared" si="15"/>
        <v/>
      </c>
      <c r="K92" s="31" t="str">
        <f t="shared" si="16"/>
        <v/>
      </c>
      <c r="L92" s="23" t="str">
        <f t="shared" si="17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18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1"/>
        <v/>
      </c>
      <c r="G93" s="29" t="str">
        <f t="shared" si="12"/>
        <v/>
      </c>
      <c r="H93" s="20" t="str">
        <f t="shared" si="13"/>
        <v/>
      </c>
      <c r="I93" s="20" t="str">
        <f t="shared" si="14"/>
        <v/>
      </c>
      <c r="J93" s="20" t="str">
        <f t="shared" si="15"/>
        <v/>
      </c>
      <c r="K93" s="31" t="str">
        <f t="shared" si="16"/>
        <v/>
      </c>
      <c r="L93" s="23" t="str">
        <f t="shared" si="17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18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1"/>
        <v/>
      </c>
      <c r="G94" s="29" t="str">
        <f t="shared" si="12"/>
        <v/>
      </c>
      <c r="H94" s="20" t="str">
        <f t="shared" si="13"/>
        <v/>
      </c>
      <c r="I94" s="20" t="str">
        <f t="shared" si="14"/>
        <v/>
      </c>
      <c r="J94" s="20" t="str">
        <f t="shared" si="15"/>
        <v/>
      </c>
      <c r="K94" s="31" t="str">
        <f t="shared" si="16"/>
        <v/>
      </c>
      <c r="L94" s="23" t="str">
        <f t="shared" si="17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18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1"/>
        <v/>
      </c>
      <c r="G95" s="29" t="str">
        <f t="shared" si="12"/>
        <v/>
      </c>
      <c r="H95" s="20" t="str">
        <f t="shared" si="13"/>
        <v/>
      </c>
      <c r="I95" s="20" t="str">
        <f t="shared" si="14"/>
        <v/>
      </c>
      <c r="J95" s="20" t="str">
        <f t="shared" si="15"/>
        <v/>
      </c>
      <c r="K95" s="31" t="str">
        <f t="shared" si="16"/>
        <v/>
      </c>
      <c r="L95" s="23" t="str">
        <f t="shared" si="17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18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1"/>
        <v/>
      </c>
      <c r="G96" s="29" t="str">
        <f t="shared" si="12"/>
        <v/>
      </c>
      <c r="H96" s="20" t="str">
        <f t="shared" si="13"/>
        <v/>
      </c>
      <c r="I96" s="20" t="str">
        <f t="shared" si="14"/>
        <v/>
      </c>
      <c r="J96" s="20" t="str">
        <f t="shared" si="15"/>
        <v/>
      </c>
      <c r="K96" s="31" t="str">
        <f t="shared" si="16"/>
        <v/>
      </c>
      <c r="L96" s="23" t="str">
        <f t="shared" si="17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18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1"/>
        <v/>
      </c>
      <c r="G97" s="29" t="str">
        <f t="shared" si="12"/>
        <v/>
      </c>
      <c r="H97" s="20" t="str">
        <f t="shared" si="13"/>
        <v/>
      </c>
      <c r="I97" s="20" t="str">
        <f t="shared" si="14"/>
        <v/>
      </c>
      <c r="J97" s="20" t="str">
        <f t="shared" si="15"/>
        <v/>
      </c>
      <c r="K97" s="31" t="str">
        <f t="shared" si="16"/>
        <v/>
      </c>
      <c r="L97" s="23" t="str">
        <f t="shared" si="17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18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1"/>
        <v/>
      </c>
      <c r="G98" s="29" t="str">
        <f t="shared" si="12"/>
        <v/>
      </c>
      <c r="H98" s="20" t="str">
        <f t="shared" si="13"/>
        <v/>
      </c>
      <c r="I98" s="20" t="str">
        <f t="shared" si="14"/>
        <v/>
      </c>
      <c r="J98" s="20" t="str">
        <f t="shared" si="15"/>
        <v/>
      </c>
      <c r="K98" s="31" t="str">
        <f t="shared" si="16"/>
        <v/>
      </c>
      <c r="L98" s="23" t="str">
        <f t="shared" si="17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18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1"/>
        <v/>
      </c>
      <c r="G99" s="29" t="str">
        <f t="shared" si="12"/>
        <v/>
      </c>
      <c r="H99" s="20" t="str">
        <f t="shared" si="13"/>
        <v/>
      </c>
      <c r="I99" s="20" t="str">
        <f t="shared" si="14"/>
        <v/>
      </c>
      <c r="J99" s="20" t="str">
        <f t="shared" si="15"/>
        <v/>
      </c>
      <c r="K99" s="31" t="str">
        <f t="shared" si="16"/>
        <v/>
      </c>
      <c r="L99" s="23" t="str">
        <f t="shared" si="17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18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1"/>
        <v/>
      </c>
      <c r="G100" s="29" t="str">
        <f t="shared" si="12"/>
        <v/>
      </c>
      <c r="H100" s="20" t="str">
        <f t="shared" si="13"/>
        <v/>
      </c>
      <c r="I100" s="20" t="str">
        <f t="shared" si="14"/>
        <v/>
      </c>
      <c r="J100" s="20" t="str">
        <f t="shared" si="15"/>
        <v/>
      </c>
      <c r="K100" s="31" t="str">
        <f t="shared" si="16"/>
        <v/>
      </c>
      <c r="L100" s="23" t="str">
        <f t="shared" si="17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18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1"/>
        <v/>
      </c>
      <c r="G101" s="29" t="str">
        <f t="shared" si="12"/>
        <v/>
      </c>
      <c r="H101" s="20" t="str">
        <f t="shared" si="13"/>
        <v/>
      </c>
      <c r="I101" s="20" t="str">
        <f t="shared" si="14"/>
        <v/>
      </c>
      <c r="J101" s="20" t="str">
        <f t="shared" si="15"/>
        <v/>
      </c>
      <c r="K101" s="31" t="str">
        <f t="shared" si="16"/>
        <v/>
      </c>
      <c r="L101" s="23" t="str">
        <f t="shared" si="17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18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1"/>
        <v/>
      </c>
      <c r="G102" s="29" t="str">
        <f t="shared" si="12"/>
        <v/>
      </c>
      <c r="H102" s="20" t="str">
        <f t="shared" si="13"/>
        <v/>
      </c>
      <c r="I102" s="20" t="str">
        <f t="shared" si="14"/>
        <v/>
      </c>
      <c r="J102" s="20" t="str">
        <f t="shared" si="15"/>
        <v/>
      </c>
      <c r="K102" s="31" t="str">
        <f t="shared" si="16"/>
        <v/>
      </c>
      <c r="L102" s="23" t="str">
        <f t="shared" si="17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18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1"/>
        <v/>
      </c>
      <c r="G103" s="29" t="str">
        <f t="shared" si="12"/>
        <v/>
      </c>
      <c r="H103" s="20" t="str">
        <f t="shared" si="13"/>
        <v/>
      </c>
      <c r="I103" s="20" t="str">
        <f t="shared" si="14"/>
        <v/>
      </c>
      <c r="J103" s="20" t="str">
        <f t="shared" si="15"/>
        <v/>
      </c>
      <c r="K103" s="31" t="str">
        <f t="shared" si="16"/>
        <v/>
      </c>
      <c r="L103" s="23" t="str">
        <f t="shared" si="17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18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1"/>
        <v/>
      </c>
      <c r="G104" s="29" t="str">
        <f t="shared" si="12"/>
        <v/>
      </c>
      <c r="H104" s="20" t="str">
        <f t="shared" si="13"/>
        <v/>
      </c>
      <c r="I104" s="20" t="str">
        <f t="shared" si="14"/>
        <v/>
      </c>
      <c r="J104" s="20" t="str">
        <f t="shared" si="15"/>
        <v/>
      </c>
      <c r="K104" s="31" t="str">
        <f t="shared" si="16"/>
        <v/>
      </c>
      <c r="L104" s="23" t="str">
        <f t="shared" si="17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18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1"/>
        <v/>
      </c>
      <c r="G105" s="29" t="str">
        <f t="shared" si="12"/>
        <v/>
      </c>
      <c r="H105" s="20" t="str">
        <f t="shared" si="13"/>
        <v/>
      </c>
      <c r="I105" s="20" t="str">
        <f t="shared" si="14"/>
        <v/>
      </c>
      <c r="J105" s="20" t="str">
        <f t="shared" si="15"/>
        <v/>
      </c>
      <c r="K105" s="31" t="str">
        <f t="shared" si="16"/>
        <v/>
      </c>
      <c r="L105" s="23" t="str">
        <f t="shared" si="17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18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1"/>
        <v/>
      </c>
      <c r="G106" s="29" t="str">
        <f t="shared" si="12"/>
        <v/>
      </c>
      <c r="H106" s="20" t="str">
        <f t="shared" si="13"/>
        <v/>
      </c>
      <c r="I106" s="20" t="str">
        <f t="shared" si="14"/>
        <v/>
      </c>
      <c r="J106" s="20" t="str">
        <f t="shared" si="15"/>
        <v/>
      </c>
      <c r="K106" s="31" t="str">
        <f t="shared" si="16"/>
        <v/>
      </c>
      <c r="L106" s="23" t="str">
        <f t="shared" si="17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18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1"/>
        <v/>
      </c>
      <c r="G107" s="29" t="str">
        <f t="shared" si="12"/>
        <v/>
      </c>
      <c r="H107" s="20" t="str">
        <f t="shared" si="13"/>
        <v/>
      </c>
      <c r="I107" s="20" t="str">
        <f t="shared" si="14"/>
        <v/>
      </c>
      <c r="J107" s="20" t="str">
        <f t="shared" si="15"/>
        <v/>
      </c>
      <c r="K107" s="31" t="str">
        <f t="shared" si="16"/>
        <v/>
      </c>
      <c r="L107" s="23" t="str">
        <f t="shared" si="17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18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1"/>
        <v/>
      </c>
      <c r="G108" s="29" t="str">
        <f t="shared" si="12"/>
        <v/>
      </c>
      <c r="H108" s="20" t="str">
        <f t="shared" si="13"/>
        <v/>
      </c>
      <c r="I108" s="20" t="str">
        <f t="shared" si="14"/>
        <v/>
      </c>
      <c r="J108" s="20" t="str">
        <f t="shared" si="15"/>
        <v/>
      </c>
      <c r="K108" s="31" t="str">
        <f t="shared" si="16"/>
        <v/>
      </c>
      <c r="L108" s="23" t="str">
        <f t="shared" si="17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18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1"/>
        <v/>
      </c>
      <c r="G109" s="29" t="str">
        <f t="shared" si="12"/>
        <v/>
      </c>
      <c r="H109" s="20" t="str">
        <f t="shared" si="13"/>
        <v/>
      </c>
      <c r="I109" s="20" t="str">
        <f t="shared" si="14"/>
        <v/>
      </c>
      <c r="J109" s="20" t="str">
        <f t="shared" si="15"/>
        <v/>
      </c>
      <c r="K109" s="31" t="str">
        <f t="shared" si="16"/>
        <v/>
      </c>
      <c r="L109" s="23" t="str">
        <f t="shared" si="17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18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1"/>
        <v/>
      </c>
      <c r="G110" s="29" t="str">
        <f t="shared" si="12"/>
        <v/>
      </c>
      <c r="H110" s="20" t="str">
        <f t="shared" si="13"/>
        <v/>
      </c>
      <c r="I110" s="20" t="str">
        <f t="shared" si="14"/>
        <v/>
      </c>
      <c r="J110" s="20" t="str">
        <f t="shared" si="15"/>
        <v/>
      </c>
      <c r="K110" s="31" t="str">
        <f t="shared" si="16"/>
        <v/>
      </c>
      <c r="L110" s="23" t="str">
        <f t="shared" si="17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18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1"/>
        <v/>
      </c>
      <c r="G111" s="29" t="str">
        <f t="shared" si="12"/>
        <v/>
      </c>
      <c r="H111" s="20" t="str">
        <f t="shared" si="13"/>
        <v/>
      </c>
      <c r="I111" s="20" t="str">
        <f t="shared" si="14"/>
        <v/>
      </c>
      <c r="J111" s="20" t="str">
        <f t="shared" si="15"/>
        <v/>
      </c>
      <c r="K111" s="31" t="str">
        <f t="shared" si="16"/>
        <v/>
      </c>
      <c r="L111" s="23" t="str">
        <f t="shared" si="17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18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1"/>
        <v/>
      </c>
      <c r="G112" s="29" t="str">
        <f t="shared" si="12"/>
        <v/>
      </c>
      <c r="H112" s="20" t="str">
        <f t="shared" si="13"/>
        <v/>
      </c>
      <c r="I112" s="20" t="str">
        <f t="shared" si="14"/>
        <v/>
      </c>
      <c r="J112" s="20" t="str">
        <f t="shared" si="15"/>
        <v/>
      </c>
      <c r="K112" s="31" t="str">
        <f t="shared" si="16"/>
        <v/>
      </c>
      <c r="L112" s="23" t="str">
        <f t="shared" si="17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18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1"/>
        <v/>
      </c>
      <c r="G113" s="29" t="str">
        <f t="shared" si="12"/>
        <v/>
      </c>
      <c r="H113" s="20" t="str">
        <f t="shared" si="13"/>
        <v/>
      </c>
      <c r="I113" s="20" t="str">
        <f t="shared" si="14"/>
        <v/>
      </c>
      <c r="J113" s="20" t="str">
        <f t="shared" si="15"/>
        <v/>
      </c>
      <c r="K113" s="31" t="str">
        <f t="shared" si="16"/>
        <v/>
      </c>
      <c r="L113" s="23" t="str">
        <f t="shared" si="17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18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1"/>
        <v/>
      </c>
      <c r="G114" s="29" t="str">
        <f t="shared" si="12"/>
        <v/>
      </c>
      <c r="H114" s="20" t="str">
        <f t="shared" si="13"/>
        <v/>
      </c>
      <c r="I114" s="20" t="str">
        <f t="shared" si="14"/>
        <v/>
      </c>
      <c r="J114" s="20" t="str">
        <f t="shared" si="15"/>
        <v/>
      </c>
      <c r="K114" s="31" t="str">
        <f t="shared" si="16"/>
        <v/>
      </c>
      <c r="L114" s="23" t="str">
        <f t="shared" si="17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18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1"/>
        <v/>
      </c>
      <c r="G115" s="29" t="str">
        <f t="shared" si="12"/>
        <v/>
      </c>
      <c r="H115" s="20" t="str">
        <f t="shared" si="13"/>
        <v/>
      </c>
      <c r="I115" s="20" t="str">
        <f t="shared" si="14"/>
        <v/>
      </c>
      <c r="J115" s="20" t="str">
        <f t="shared" si="15"/>
        <v/>
      </c>
      <c r="K115" s="31" t="str">
        <f t="shared" si="16"/>
        <v/>
      </c>
      <c r="L115" s="23" t="str">
        <f t="shared" si="17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18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1"/>
        <v/>
      </c>
      <c r="G116" s="29" t="str">
        <f t="shared" si="12"/>
        <v/>
      </c>
      <c r="H116" s="20" t="str">
        <f t="shared" si="13"/>
        <v/>
      </c>
      <c r="I116" s="20" t="str">
        <f t="shared" si="14"/>
        <v/>
      </c>
      <c r="J116" s="20" t="str">
        <f t="shared" si="15"/>
        <v/>
      </c>
      <c r="K116" s="31" t="str">
        <f t="shared" si="16"/>
        <v/>
      </c>
      <c r="L116" s="23" t="str">
        <f t="shared" si="17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18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1"/>
        <v/>
      </c>
      <c r="G117" s="29" t="str">
        <f t="shared" si="12"/>
        <v/>
      </c>
      <c r="H117" s="20" t="str">
        <f t="shared" si="13"/>
        <v/>
      </c>
      <c r="I117" s="20" t="str">
        <f t="shared" si="14"/>
        <v/>
      </c>
      <c r="J117" s="20" t="str">
        <f t="shared" si="15"/>
        <v/>
      </c>
      <c r="K117" s="31" t="str">
        <f t="shared" si="16"/>
        <v/>
      </c>
      <c r="L117" s="23" t="str">
        <f t="shared" si="17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18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1"/>
        <v/>
      </c>
      <c r="G118" s="29" t="str">
        <f t="shared" si="12"/>
        <v/>
      </c>
      <c r="H118" s="20" t="str">
        <f t="shared" si="13"/>
        <v/>
      </c>
      <c r="I118" s="20" t="str">
        <f t="shared" si="14"/>
        <v/>
      </c>
      <c r="J118" s="20" t="str">
        <f t="shared" si="15"/>
        <v/>
      </c>
      <c r="K118" s="31" t="str">
        <f t="shared" si="16"/>
        <v/>
      </c>
      <c r="L118" s="23" t="str">
        <f t="shared" si="17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18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1"/>
        <v/>
      </c>
      <c r="G119" s="29" t="str">
        <f t="shared" si="12"/>
        <v/>
      </c>
      <c r="H119" s="20" t="str">
        <f t="shared" si="13"/>
        <v/>
      </c>
      <c r="I119" s="20" t="str">
        <f t="shared" si="14"/>
        <v/>
      </c>
      <c r="J119" s="20" t="str">
        <f t="shared" si="15"/>
        <v/>
      </c>
      <c r="K119" s="31" t="str">
        <f t="shared" si="16"/>
        <v/>
      </c>
      <c r="L119" s="23" t="str">
        <f t="shared" si="17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18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1"/>
        <v/>
      </c>
      <c r="G120" s="29" t="str">
        <f t="shared" si="12"/>
        <v/>
      </c>
      <c r="H120" s="20" t="str">
        <f t="shared" si="13"/>
        <v/>
      </c>
      <c r="I120" s="20" t="str">
        <f t="shared" si="14"/>
        <v/>
      </c>
      <c r="J120" s="20" t="str">
        <f t="shared" si="15"/>
        <v/>
      </c>
      <c r="K120" s="31" t="str">
        <f t="shared" si="16"/>
        <v/>
      </c>
      <c r="L120" s="23" t="str">
        <f t="shared" si="17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18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1"/>
        <v/>
      </c>
      <c r="G121" s="29" t="str">
        <f t="shared" si="12"/>
        <v/>
      </c>
      <c r="H121" s="20" t="str">
        <f t="shared" si="13"/>
        <v/>
      </c>
      <c r="I121" s="20" t="str">
        <f t="shared" si="14"/>
        <v/>
      </c>
      <c r="J121" s="20" t="str">
        <f t="shared" si="15"/>
        <v/>
      </c>
      <c r="K121" s="31" t="str">
        <f t="shared" si="16"/>
        <v/>
      </c>
      <c r="L121" s="23" t="str">
        <f t="shared" si="17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18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1"/>
        <v/>
      </c>
      <c r="G122" s="29" t="str">
        <f t="shared" si="12"/>
        <v/>
      </c>
      <c r="H122" s="20" t="str">
        <f t="shared" si="13"/>
        <v/>
      </c>
      <c r="I122" s="20" t="str">
        <f t="shared" si="14"/>
        <v/>
      </c>
      <c r="J122" s="20" t="str">
        <f t="shared" si="15"/>
        <v/>
      </c>
      <c r="K122" s="31" t="str">
        <f t="shared" si="16"/>
        <v/>
      </c>
      <c r="L122" s="23" t="str">
        <f t="shared" si="17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18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1"/>
        <v/>
      </c>
      <c r="G123" s="29" t="str">
        <f t="shared" si="12"/>
        <v/>
      </c>
      <c r="H123" s="20" t="str">
        <f t="shared" si="13"/>
        <v/>
      </c>
      <c r="I123" s="20" t="str">
        <f t="shared" si="14"/>
        <v/>
      </c>
      <c r="J123" s="20" t="str">
        <f t="shared" si="15"/>
        <v/>
      </c>
      <c r="K123" s="31" t="str">
        <f t="shared" si="16"/>
        <v/>
      </c>
      <c r="L123" s="23" t="str">
        <f t="shared" si="17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18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1"/>
        <v/>
      </c>
      <c r="G124" s="29" t="str">
        <f t="shared" si="12"/>
        <v/>
      </c>
      <c r="H124" s="20" t="str">
        <f t="shared" si="13"/>
        <v/>
      </c>
      <c r="I124" s="20" t="str">
        <f t="shared" si="14"/>
        <v/>
      </c>
      <c r="J124" s="20" t="str">
        <f t="shared" si="15"/>
        <v/>
      </c>
      <c r="K124" s="31" t="str">
        <f t="shared" si="16"/>
        <v/>
      </c>
      <c r="L124" s="23" t="str">
        <f t="shared" si="17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18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1"/>
        <v/>
      </c>
      <c r="G125" s="29" t="str">
        <f t="shared" si="12"/>
        <v/>
      </c>
      <c r="H125" s="20" t="str">
        <f t="shared" si="13"/>
        <v/>
      </c>
      <c r="I125" s="20" t="str">
        <f t="shared" si="14"/>
        <v/>
      </c>
      <c r="J125" s="20" t="str">
        <f t="shared" si="15"/>
        <v/>
      </c>
      <c r="K125" s="31" t="str">
        <f t="shared" si="16"/>
        <v/>
      </c>
      <c r="L125" s="23" t="str">
        <f t="shared" si="17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18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1"/>
        <v/>
      </c>
      <c r="G126" s="29" t="str">
        <f t="shared" si="12"/>
        <v/>
      </c>
      <c r="H126" s="20" t="str">
        <f t="shared" si="13"/>
        <v/>
      </c>
      <c r="I126" s="20" t="str">
        <f t="shared" si="14"/>
        <v/>
      </c>
      <c r="J126" s="20" t="str">
        <f t="shared" si="15"/>
        <v/>
      </c>
      <c r="K126" s="31" t="str">
        <f t="shared" si="16"/>
        <v/>
      </c>
      <c r="L126" s="23" t="str">
        <f t="shared" si="17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18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1"/>
        <v/>
      </c>
      <c r="G127" s="29" t="str">
        <f t="shared" si="12"/>
        <v/>
      </c>
      <c r="H127" s="20" t="str">
        <f t="shared" si="13"/>
        <v/>
      </c>
      <c r="I127" s="20" t="str">
        <f t="shared" si="14"/>
        <v/>
      </c>
      <c r="J127" s="20" t="str">
        <f t="shared" si="15"/>
        <v/>
      </c>
      <c r="K127" s="31" t="str">
        <f t="shared" si="16"/>
        <v/>
      </c>
      <c r="L127" s="23" t="str">
        <f t="shared" si="17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18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1"/>
        <v/>
      </c>
      <c r="G128" s="29" t="str">
        <f t="shared" si="12"/>
        <v/>
      </c>
      <c r="H128" s="20" t="str">
        <f t="shared" si="13"/>
        <v/>
      </c>
      <c r="I128" s="20" t="str">
        <f t="shared" si="14"/>
        <v/>
      </c>
      <c r="J128" s="20" t="str">
        <f t="shared" si="15"/>
        <v/>
      </c>
      <c r="K128" s="31" t="str">
        <f t="shared" si="16"/>
        <v/>
      </c>
      <c r="L128" s="23" t="str">
        <f t="shared" si="17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18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1"/>
        <v/>
      </c>
      <c r="G129" s="29" t="str">
        <f t="shared" si="12"/>
        <v/>
      </c>
      <c r="H129" s="20" t="str">
        <f t="shared" si="13"/>
        <v/>
      </c>
      <c r="I129" s="20" t="str">
        <f t="shared" si="14"/>
        <v/>
      </c>
      <c r="J129" s="20" t="str">
        <f t="shared" si="15"/>
        <v/>
      </c>
      <c r="K129" s="31" t="str">
        <f t="shared" si="16"/>
        <v/>
      </c>
      <c r="L129" s="23" t="str">
        <f t="shared" si="17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18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1"/>
        <v/>
      </c>
      <c r="G130" s="29" t="str">
        <f t="shared" si="12"/>
        <v/>
      </c>
      <c r="H130" s="20" t="str">
        <f t="shared" si="13"/>
        <v/>
      </c>
      <c r="I130" s="20" t="str">
        <f t="shared" si="14"/>
        <v/>
      </c>
      <c r="J130" s="20" t="str">
        <f t="shared" si="15"/>
        <v/>
      </c>
      <c r="K130" s="31" t="str">
        <f t="shared" si="16"/>
        <v/>
      </c>
      <c r="L130" s="23" t="str">
        <f t="shared" si="17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18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1"/>
        <v/>
      </c>
      <c r="G131" s="29" t="str">
        <f t="shared" si="12"/>
        <v/>
      </c>
      <c r="H131" s="20" t="str">
        <f t="shared" si="13"/>
        <v/>
      </c>
      <c r="I131" s="20" t="str">
        <f t="shared" si="14"/>
        <v/>
      </c>
      <c r="J131" s="20" t="str">
        <f t="shared" si="15"/>
        <v/>
      </c>
      <c r="K131" s="31" t="str">
        <f t="shared" si="16"/>
        <v/>
      </c>
      <c r="L131" s="23" t="str">
        <f t="shared" si="17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18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1"/>
        <v/>
      </c>
      <c r="G132" s="29" t="str">
        <f t="shared" si="12"/>
        <v/>
      </c>
      <c r="H132" s="20" t="str">
        <f t="shared" si="13"/>
        <v/>
      </c>
      <c r="I132" s="20" t="str">
        <f t="shared" si="14"/>
        <v/>
      </c>
      <c r="J132" s="20" t="str">
        <f t="shared" si="15"/>
        <v/>
      </c>
      <c r="K132" s="31" t="str">
        <f t="shared" si="16"/>
        <v/>
      </c>
      <c r="L132" s="23" t="str">
        <f t="shared" si="17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18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1"/>
        <v/>
      </c>
      <c r="G133" s="29" t="str">
        <f t="shared" si="12"/>
        <v/>
      </c>
      <c r="H133" s="20" t="str">
        <f t="shared" si="13"/>
        <v/>
      </c>
      <c r="I133" s="20" t="str">
        <f t="shared" si="14"/>
        <v/>
      </c>
      <c r="J133" s="20" t="str">
        <f t="shared" si="15"/>
        <v/>
      </c>
      <c r="K133" s="31" t="str">
        <f t="shared" si="16"/>
        <v/>
      </c>
      <c r="L133" s="23" t="str">
        <f t="shared" si="17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18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1"/>
        <v/>
      </c>
      <c r="G134" s="29" t="str">
        <f t="shared" si="12"/>
        <v/>
      </c>
      <c r="H134" s="20" t="str">
        <f t="shared" si="13"/>
        <v/>
      </c>
      <c r="I134" s="20" t="str">
        <f t="shared" si="14"/>
        <v/>
      </c>
      <c r="J134" s="20" t="str">
        <f t="shared" si="15"/>
        <v/>
      </c>
      <c r="K134" s="31" t="str">
        <f t="shared" si="16"/>
        <v/>
      </c>
      <c r="L134" s="23" t="str">
        <f t="shared" si="17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18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1"/>
        <v/>
      </c>
      <c r="G135" s="29" t="str">
        <f t="shared" si="12"/>
        <v/>
      </c>
      <c r="H135" s="20" t="str">
        <f t="shared" si="13"/>
        <v/>
      </c>
      <c r="I135" s="20" t="str">
        <f t="shared" si="14"/>
        <v/>
      </c>
      <c r="J135" s="20" t="str">
        <f t="shared" si="15"/>
        <v/>
      </c>
      <c r="K135" s="31" t="str">
        <f t="shared" si="16"/>
        <v/>
      </c>
      <c r="L135" s="23" t="str">
        <f t="shared" si="17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18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1"/>
        <v/>
      </c>
      <c r="G136" s="29" t="str">
        <f t="shared" si="12"/>
        <v/>
      </c>
      <c r="H136" s="20" t="str">
        <f t="shared" si="13"/>
        <v/>
      </c>
      <c r="I136" s="20" t="str">
        <f t="shared" si="14"/>
        <v/>
      </c>
      <c r="J136" s="20" t="str">
        <f t="shared" si="15"/>
        <v/>
      </c>
      <c r="K136" s="31" t="str">
        <f t="shared" si="16"/>
        <v/>
      </c>
      <c r="L136" s="23" t="str">
        <f t="shared" si="17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18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19">IF(G137&lt;&gt;"",R137&amp;S137,"")</f>
        <v/>
      </c>
      <c r="G137" s="29" t="str">
        <f t="shared" ref="G137:G199" si="20">IF(AND((S137 &lt;&gt; ""),(S137 &gt;= 0)), ABS(IF(OR((R137=""),(R137="　")), S137, T137)), "")</f>
        <v/>
      </c>
      <c r="H137" s="20" t="str">
        <f t="shared" ref="H137:H199" si="21">IF(OR((R137=""),(R137="　")),IF(G137 &lt;&gt; "", T137, ""),IF(G137 &lt;&gt; "", U137, ""))</f>
        <v/>
      </c>
      <c r="I137" s="20" t="str">
        <f t="shared" ref="I137:I199" si="22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3">IF(G137 &lt;&gt; "", IF(OR((R137=""),(R137="　")), V137, W137),"")</f>
        <v/>
      </c>
      <c r="K137" s="31" t="str">
        <f t="shared" ref="K137:K199" si="24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5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6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19"/>
        <v/>
      </c>
      <c r="G138" s="29" t="str">
        <f t="shared" si="20"/>
        <v/>
      </c>
      <c r="H138" s="20" t="str">
        <f t="shared" si="21"/>
        <v/>
      </c>
      <c r="I138" s="20" t="str">
        <f t="shared" si="22"/>
        <v/>
      </c>
      <c r="J138" s="20" t="str">
        <f t="shared" si="23"/>
        <v/>
      </c>
      <c r="K138" s="31" t="str">
        <f t="shared" si="24"/>
        <v/>
      </c>
      <c r="L138" s="23" t="str">
        <f t="shared" si="25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6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19"/>
        <v/>
      </c>
      <c r="G139" s="29" t="str">
        <f t="shared" si="20"/>
        <v/>
      </c>
      <c r="H139" s="20" t="str">
        <f t="shared" si="21"/>
        <v/>
      </c>
      <c r="I139" s="20" t="str">
        <f t="shared" si="22"/>
        <v/>
      </c>
      <c r="J139" s="20" t="str">
        <f t="shared" si="23"/>
        <v/>
      </c>
      <c r="K139" s="31" t="str">
        <f t="shared" si="24"/>
        <v/>
      </c>
      <c r="L139" s="23" t="str">
        <f t="shared" si="25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6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19"/>
        <v/>
      </c>
      <c r="G140" s="29" t="str">
        <f t="shared" si="20"/>
        <v/>
      </c>
      <c r="H140" s="20" t="str">
        <f t="shared" si="21"/>
        <v/>
      </c>
      <c r="I140" s="20" t="str">
        <f t="shared" si="22"/>
        <v/>
      </c>
      <c r="J140" s="20" t="str">
        <f t="shared" si="23"/>
        <v/>
      </c>
      <c r="K140" s="31" t="str">
        <f t="shared" si="24"/>
        <v/>
      </c>
      <c r="L140" s="23" t="str">
        <f t="shared" si="25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6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19"/>
        <v/>
      </c>
      <c r="G141" s="29" t="str">
        <f t="shared" si="20"/>
        <v/>
      </c>
      <c r="H141" s="20" t="str">
        <f t="shared" si="21"/>
        <v/>
      </c>
      <c r="I141" s="20" t="str">
        <f t="shared" si="22"/>
        <v/>
      </c>
      <c r="J141" s="20" t="str">
        <f t="shared" si="23"/>
        <v/>
      </c>
      <c r="K141" s="31" t="str">
        <f t="shared" si="24"/>
        <v/>
      </c>
      <c r="L141" s="23" t="str">
        <f t="shared" si="25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6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19"/>
        <v/>
      </c>
      <c r="G142" s="29" t="str">
        <f t="shared" si="20"/>
        <v/>
      </c>
      <c r="H142" s="20" t="str">
        <f t="shared" si="21"/>
        <v/>
      </c>
      <c r="I142" s="20" t="str">
        <f t="shared" si="22"/>
        <v/>
      </c>
      <c r="J142" s="20" t="str">
        <f t="shared" si="23"/>
        <v/>
      </c>
      <c r="K142" s="31" t="str">
        <f t="shared" si="24"/>
        <v/>
      </c>
      <c r="L142" s="23" t="str">
        <f t="shared" si="25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6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19"/>
        <v/>
      </c>
      <c r="G143" s="29" t="str">
        <f t="shared" si="20"/>
        <v/>
      </c>
      <c r="H143" s="20" t="str">
        <f t="shared" si="21"/>
        <v/>
      </c>
      <c r="I143" s="20" t="str">
        <f t="shared" si="22"/>
        <v/>
      </c>
      <c r="J143" s="20" t="str">
        <f t="shared" si="23"/>
        <v/>
      </c>
      <c r="K143" s="31" t="str">
        <f t="shared" si="24"/>
        <v/>
      </c>
      <c r="L143" s="23" t="str">
        <f t="shared" si="25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6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19"/>
        <v/>
      </c>
      <c r="G144" s="29" t="str">
        <f t="shared" si="20"/>
        <v/>
      </c>
      <c r="H144" s="20" t="str">
        <f t="shared" si="21"/>
        <v/>
      </c>
      <c r="I144" s="20" t="str">
        <f t="shared" si="22"/>
        <v/>
      </c>
      <c r="J144" s="20" t="str">
        <f t="shared" si="23"/>
        <v/>
      </c>
      <c r="K144" s="31" t="str">
        <f t="shared" si="24"/>
        <v/>
      </c>
      <c r="L144" s="23" t="str">
        <f t="shared" si="25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6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19"/>
        <v/>
      </c>
      <c r="G145" s="29" t="str">
        <f t="shared" si="20"/>
        <v/>
      </c>
      <c r="H145" s="20" t="str">
        <f t="shared" si="21"/>
        <v/>
      </c>
      <c r="I145" s="20" t="str">
        <f t="shared" si="22"/>
        <v/>
      </c>
      <c r="J145" s="20" t="str">
        <f t="shared" si="23"/>
        <v/>
      </c>
      <c r="K145" s="31" t="str">
        <f t="shared" si="24"/>
        <v/>
      </c>
      <c r="L145" s="23" t="str">
        <f t="shared" si="25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6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19"/>
        <v/>
      </c>
      <c r="G146" s="29" t="str">
        <f t="shared" si="20"/>
        <v/>
      </c>
      <c r="H146" s="20" t="str">
        <f t="shared" si="21"/>
        <v/>
      </c>
      <c r="I146" s="20" t="str">
        <f t="shared" si="22"/>
        <v/>
      </c>
      <c r="J146" s="20" t="str">
        <f t="shared" si="23"/>
        <v/>
      </c>
      <c r="K146" s="31" t="str">
        <f t="shared" si="24"/>
        <v/>
      </c>
      <c r="L146" s="23" t="str">
        <f t="shared" si="25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6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19"/>
        <v/>
      </c>
      <c r="G147" s="29" t="str">
        <f t="shared" si="20"/>
        <v/>
      </c>
      <c r="H147" s="20" t="str">
        <f t="shared" si="21"/>
        <v/>
      </c>
      <c r="I147" s="20" t="str">
        <f t="shared" si="22"/>
        <v/>
      </c>
      <c r="J147" s="20" t="str">
        <f t="shared" si="23"/>
        <v/>
      </c>
      <c r="K147" s="31" t="str">
        <f t="shared" si="24"/>
        <v/>
      </c>
      <c r="L147" s="23" t="str">
        <f t="shared" si="25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6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19"/>
        <v/>
      </c>
      <c r="G148" s="29" t="str">
        <f t="shared" si="20"/>
        <v/>
      </c>
      <c r="H148" s="20" t="str">
        <f t="shared" si="21"/>
        <v/>
      </c>
      <c r="I148" s="20" t="str">
        <f t="shared" si="22"/>
        <v/>
      </c>
      <c r="J148" s="20" t="str">
        <f t="shared" si="23"/>
        <v/>
      </c>
      <c r="K148" s="31" t="str">
        <f t="shared" si="24"/>
        <v/>
      </c>
      <c r="L148" s="23" t="str">
        <f t="shared" si="25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6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19"/>
        <v/>
      </c>
      <c r="G149" s="29" t="str">
        <f t="shared" si="20"/>
        <v/>
      </c>
      <c r="H149" s="20" t="str">
        <f t="shared" si="21"/>
        <v/>
      </c>
      <c r="I149" s="20" t="str">
        <f t="shared" si="22"/>
        <v/>
      </c>
      <c r="J149" s="20" t="str">
        <f t="shared" si="23"/>
        <v/>
      </c>
      <c r="K149" s="31" t="str">
        <f t="shared" si="24"/>
        <v/>
      </c>
      <c r="L149" s="23" t="str">
        <f t="shared" si="25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6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19"/>
        <v/>
      </c>
      <c r="G150" s="29" t="str">
        <f t="shared" si="20"/>
        <v/>
      </c>
      <c r="H150" s="20" t="str">
        <f t="shared" si="21"/>
        <v/>
      </c>
      <c r="I150" s="20" t="str">
        <f t="shared" si="22"/>
        <v/>
      </c>
      <c r="J150" s="20" t="str">
        <f t="shared" si="23"/>
        <v/>
      </c>
      <c r="K150" s="31" t="str">
        <f t="shared" si="24"/>
        <v/>
      </c>
      <c r="L150" s="23" t="str">
        <f t="shared" si="25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6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19"/>
        <v/>
      </c>
      <c r="G151" s="29" t="str">
        <f t="shared" si="20"/>
        <v/>
      </c>
      <c r="H151" s="20" t="str">
        <f t="shared" si="21"/>
        <v/>
      </c>
      <c r="I151" s="20" t="str">
        <f t="shared" si="22"/>
        <v/>
      </c>
      <c r="J151" s="20" t="str">
        <f t="shared" si="23"/>
        <v/>
      </c>
      <c r="K151" s="31" t="str">
        <f t="shared" si="24"/>
        <v/>
      </c>
      <c r="L151" s="23" t="str">
        <f t="shared" si="25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6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19"/>
        <v/>
      </c>
      <c r="G152" s="29" t="str">
        <f t="shared" si="20"/>
        <v/>
      </c>
      <c r="H152" s="20" t="str">
        <f t="shared" si="21"/>
        <v/>
      </c>
      <c r="I152" s="20" t="str">
        <f t="shared" si="22"/>
        <v/>
      </c>
      <c r="J152" s="20" t="str">
        <f t="shared" si="23"/>
        <v/>
      </c>
      <c r="K152" s="31" t="str">
        <f t="shared" si="24"/>
        <v/>
      </c>
      <c r="L152" s="23" t="str">
        <f t="shared" si="25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6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19"/>
        <v/>
      </c>
      <c r="G153" s="29" t="str">
        <f t="shared" si="20"/>
        <v/>
      </c>
      <c r="H153" s="20" t="str">
        <f t="shared" si="21"/>
        <v/>
      </c>
      <c r="I153" s="20" t="str">
        <f t="shared" si="22"/>
        <v/>
      </c>
      <c r="J153" s="20" t="str">
        <f t="shared" si="23"/>
        <v/>
      </c>
      <c r="K153" s="31" t="str">
        <f t="shared" si="24"/>
        <v/>
      </c>
      <c r="L153" s="23" t="str">
        <f t="shared" si="25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6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19"/>
        <v/>
      </c>
      <c r="G154" s="29" t="str">
        <f t="shared" si="20"/>
        <v/>
      </c>
      <c r="H154" s="20" t="str">
        <f t="shared" si="21"/>
        <v/>
      </c>
      <c r="I154" s="20" t="str">
        <f t="shared" si="22"/>
        <v/>
      </c>
      <c r="J154" s="20" t="str">
        <f t="shared" si="23"/>
        <v/>
      </c>
      <c r="K154" s="31" t="str">
        <f t="shared" si="24"/>
        <v/>
      </c>
      <c r="L154" s="23" t="str">
        <f t="shared" si="25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6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19"/>
        <v/>
      </c>
      <c r="G155" s="29" t="str">
        <f t="shared" si="20"/>
        <v/>
      </c>
      <c r="H155" s="20" t="str">
        <f t="shared" si="21"/>
        <v/>
      </c>
      <c r="I155" s="20" t="str">
        <f t="shared" si="22"/>
        <v/>
      </c>
      <c r="J155" s="20" t="str">
        <f t="shared" si="23"/>
        <v/>
      </c>
      <c r="K155" s="31" t="str">
        <f t="shared" si="24"/>
        <v/>
      </c>
      <c r="L155" s="23" t="str">
        <f t="shared" si="25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6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19"/>
        <v/>
      </c>
      <c r="G156" s="29" t="str">
        <f t="shared" si="20"/>
        <v/>
      </c>
      <c r="H156" s="20" t="str">
        <f t="shared" si="21"/>
        <v/>
      </c>
      <c r="I156" s="20" t="str">
        <f t="shared" si="22"/>
        <v/>
      </c>
      <c r="J156" s="20" t="str">
        <f t="shared" si="23"/>
        <v/>
      </c>
      <c r="K156" s="31" t="str">
        <f t="shared" si="24"/>
        <v/>
      </c>
      <c r="L156" s="23" t="str">
        <f t="shared" si="25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6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19"/>
        <v/>
      </c>
      <c r="G157" s="29" t="str">
        <f t="shared" si="20"/>
        <v/>
      </c>
      <c r="H157" s="20" t="str">
        <f t="shared" si="21"/>
        <v/>
      </c>
      <c r="I157" s="20" t="str">
        <f t="shared" si="22"/>
        <v/>
      </c>
      <c r="J157" s="20" t="str">
        <f t="shared" si="23"/>
        <v/>
      </c>
      <c r="K157" s="31" t="str">
        <f t="shared" si="24"/>
        <v/>
      </c>
      <c r="L157" s="23" t="str">
        <f t="shared" si="25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6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19"/>
        <v/>
      </c>
      <c r="G158" s="29" t="str">
        <f t="shared" si="20"/>
        <v/>
      </c>
      <c r="H158" s="20" t="str">
        <f t="shared" si="21"/>
        <v/>
      </c>
      <c r="I158" s="20" t="str">
        <f t="shared" si="22"/>
        <v/>
      </c>
      <c r="J158" s="20" t="str">
        <f t="shared" si="23"/>
        <v/>
      </c>
      <c r="K158" s="31" t="str">
        <f t="shared" si="24"/>
        <v/>
      </c>
      <c r="L158" s="23" t="str">
        <f t="shared" si="25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6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19"/>
        <v/>
      </c>
      <c r="G159" s="29" t="str">
        <f t="shared" si="20"/>
        <v/>
      </c>
      <c r="H159" s="20" t="str">
        <f t="shared" si="21"/>
        <v/>
      </c>
      <c r="I159" s="20" t="str">
        <f t="shared" si="22"/>
        <v/>
      </c>
      <c r="J159" s="20" t="str">
        <f t="shared" si="23"/>
        <v/>
      </c>
      <c r="K159" s="31" t="str">
        <f t="shared" si="24"/>
        <v/>
      </c>
      <c r="L159" s="23" t="str">
        <f t="shared" si="25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6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19"/>
        <v/>
      </c>
      <c r="G160" s="29" t="str">
        <f t="shared" si="20"/>
        <v/>
      </c>
      <c r="H160" s="20" t="str">
        <f t="shared" si="21"/>
        <v/>
      </c>
      <c r="I160" s="20" t="str">
        <f t="shared" si="22"/>
        <v/>
      </c>
      <c r="J160" s="20" t="str">
        <f t="shared" si="23"/>
        <v/>
      </c>
      <c r="K160" s="31" t="str">
        <f t="shared" si="24"/>
        <v/>
      </c>
      <c r="L160" s="23" t="str">
        <f t="shared" si="25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6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19"/>
        <v/>
      </c>
      <c r="G161" s="29" t="str">
        <f t="shared" si="20"/>
        <v/>
      </c>
      <c r="H161" s="20" t="str">
        <f t="shared" si="21"/>
        <v/>
      </c>
      <c r="I161" s="20" t="str">
        <f t="shared" si="22"/>
        <v/>
      </c>
      <c r="J161" s="20" t="str">
        <f t="shared" si="23"/>
        <v/>
      </c>
      <c r="K161" s="31" t="str">
        <f t="shared" si="24"/>
        <v/>
      </c>
      <c r="L161" s="23" t="str">
        <f t="shared" si="25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6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19"/>
        <v/>
      </c>
      <c r="G162" s="29" t="str">
        <f t="shared" si="20"/>
        <v/>
      </c>
      <c r="H162" s="20" t="str">
        <f t="shared" si="21"/>
        <v/>
      </c>
      <c r="I162" s="20" t="str">
        <f t="shared" si="22"/>
        <v/>
      </c>
      <c r="J162" s="20" t="str">
        <f t="shared" si="23"/>
        <v/>
      </c>
      <c r="K162" s="31" t="str">
        <f t="shared" si="24"/>
        <v/>
      </c>
      <c r="L162" s="23" t="str">
        <f t="shared" si="25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6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19"/>
        <v/>
      </c>
      <c r="G163" s="29" t="str">
        <f t="shared" si="20"/>
        <v/>
      </c>
      <c r="H163" s="20" t="str">
        <f t="shared" si="21"/>
        <v/>
      </c>
      <c r="I163" s="20" t="str">
        <f t="shared" si="22"/>
        <v/>
      </c>
      <c r="J163" s="20" t="str">
        <f t="shared" si="23"/>
        <v/>
      </c>
      <c r="K163" s="31" t="str">
        <f t="shared" si="24"/>
        <v/>
      </c>
      <c r="L163" s="23" t="str">
        <f t="shared" si="25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6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19"/>
        <v/>
      </c>
      <c r="G164" s="29" t="str">
        <f t="shared" si="20"/>
        <v/>
      </c>
      <c r="H164" s="20" t="str">
        <f t="shared" si="21"/>
        <v/>
      </c>
      <c r="I164" s="20" t="str">
        <f t="shared" si="22"/>
        <v/>
      </c>
      <c r="J164" s="20" t="str">
        <f t="shared" si="23"/>
        <v/>
      </c>
      <c r="K164" s="31" t="str">
        <f t="shared" si="24"/>
        <v/>
      </c>
      <c r="L164" s="23" t="str">
        <f t="shared" si="25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6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19"/>
        <v/>
      </c>
      <c r="G165" s="29" t="str">
        <f t="shared" si="20"/>
        <v/>
      </c>
      <c r="H165" s="20" t="str">
        <f t="shared" si="21"/>
        <v/>
      </c>
      <c r="I165" s="20" t="str">
        <f t="shared" si="22"/>
        <v/>
      </c>
      <c r="J165" s="20" t="str">
        <f t="shared" si="23"/>
        <v/>
      </c>
      <c r="K165" s="31" t="str">
        <f t="shared" si="24"/>
        <v/>
      </c>
      <c r="L165" s="23" t="str">
        <f t="shared" si="25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6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19"/>
        <v/>
      </c>
      <c r="G166" s="29" t="str">
        <f t="shared" si="20"/>
        <v/>
      </c>
      <c r="H166" s="20" t="str">
        <f t="shared" si="21"/>
        <v/>
      </c>
      <c r="I166" s="20" t="str">
        <f t="shared" si="22"/>
        <v/>
      </c>
      <c r="J166" s="20" t="str">
        <f t="shared" si="23"/>
        <v/>
      </c>
      <c r="K166" s="31" t="str">
        <f t="shared" si="24"/>
        <v/>
      </c>
      <c r="L166" s="23" t="str">
        <f t="shared" si="25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6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19"/>
        <v/>
      </c>
      <c r="G167" s="29" t="str">
        <f t="shared" si="20"/>
        <v/>
      </c>
      <c r="H167" s="20" t="str">
        <f t="shared" si="21"/>
        <v/>
      </c>
      <c r="I167" s="20" t="str">
        <f t="shared" si="22"/>
        <v/>
      </c>
      <c r="J167" s="20" t="str">
        <f t="shared" si="23"/>
        <v/>
      </c>
      <c r="K167" s="31" t="str">
        <f t="shared" si="24"/>
        <v/>
      </c>
      <c r="L167" s="23" t="str">
        <f t="shared" si="25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6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19"/>
        <v/>
      </c>
      <c r="G168" s="29" t="str">
        <f t="shared" si="20"/>
        <v/>
      </c>
      <c r="H168" s="20" t="str">
        <f t="shared" si="21"/>
        <v/>
      </c>
      <c r="I168" s="20" t="str">
        <f t="shared" si="22"/>
        <v/>
      </c>
      <c r="J168" s="20" t="str">
        <f t="shared" si="23"/>
        <v/>
      </c>
      <c r="K168" s="31" t="str">
        <f t="shared" si="24"/>
        <v/>
      </c>
      <c r="L168" s="23" t="str">
        <f t="shared" si="25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6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19"/>
        <v/>
      </c>
      <c r="G169" s="29" t="str">
        <f t="shared" si="20"/>
        <v/>
      </c>
      <c r="H169" s="20" t="str">
        <f t="shared" si="21"/>
        <v/>
      </c>
      <c r="I169" s="20" t="str">
        <f t="shared" si="22"/>
        <v/>
      </c>
      <c r="J169" s="20" t="str">
        <f t="shared" si="23"/>
        <v/>
      </c>
      <c r="K169" s="31" t="str">
        <f t="shared" si="24"/>
        <v/>
      </c>
      <c r="L169" s="23" t="str">
        <f t="shared" si="25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6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19"/>
        <v/>
      </c>
      <c r="G170" s="29" t="str">
        <f t="shared" si="20"/>
        <v/>
      </c>
      <c r="H170" s="20" t="str">
        <f t="shared" si="21"/>
        <v/>
      </c>
      <c r="I170" s="20" t="str">
        <f t="shared" si="22"/>
        <v/>
      </c>
      <c r="J170" s="20" t="str">
        <f t="shared" si="23"/>
        <v/>
      </c>
      <c r="K170" s="31" t="str">
        <f t="shared" si="24"/>
        <v/>
      </c>
      <c r="L170" s="23" t="str">
        <f t="shared" si="25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6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19"/>
        <v/>
      </c>
      <c r="G171" s="29" t="str">
        <f t="shared" si="20"/>
        <v/>
      </c>
      <c r="H171" s="20" t="str">
        <f t="shared" si="21"/>
        <v/>
      </c>
      <c r="I171" s="20" t="str">
        <f t="shared" si="22"/>
        <v/>
      </c>
      <c r="J171" s="20" t="str">
        <f t="shared" si="23"/>
        <v/>
      </c>
      <c r="K171" s="31" t="str">
        <f t="shared" si="24"/>
        <v/>
      </c>
      <c r="L171" s="23" t="str">
        <f t="shared" si="25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6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19"/>
        <v/>
      </c>
      <c r="G172" s="29" t="str">
        <f t="shared" si="20"/>
        <v/>
      </c>
      <c r="H172" s="20" t="str">
        <f t="shared" si="21"/>
        <v/>
      </c>
      <c r="I172" s="20" t="str">
        <f t="shared" si="22"/>
        <v/>
      </c>
      <c r="J172" s="20" t="str">
        <f t="shared" si="23"/>
        <v/>
      </c>
      <c r="K172" s="31" t="str">
        <f t="shared" si="24"/>
        <v/>
      </c>
      <c r="L172" s="23" t="str">
        <f t="shared" si="25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6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19"/>
        <v/>
      </c>
      <c r="G173" s="29" t="str">
        <f t="shared" si="20"/>
        <v/>
      </c>
      <c r="H173" s="20" t="str">
        <f t="shared" si="21"/>
        <v/>
      </c>
      <c r="I173" s="20" t="str">
        <f t="shared" si="22"/>
        <v/>
      </c>
      <c r="J173" s="20" t="str">
        <f t="shared" si="23"/>
        <v/>
      </c>
      <c r="K173" s="31" t="str">
        <f t="shared" si="24"/>
        <v/>
      </c>
      <c r="L173" s="23" t="str">
        <f t="shared" si="25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6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19"/>
        <v/>
      </c>
      <c r="G174" s="29" t="str">
        <f t="shared" si="20"/>
        <v/>
      </c>
      <c r="H174" s="20" t="str">
        <f t="shared" si="21"/>
        <v/>
      </c>
      <c r="I174" s="20" t="str">
        <f t="shared" si="22"/>
        <v/>
      </c>
      <c r="J174" s="20" t="str">
        <f t="shared" si="23"/>
        <v/>
      </c>
      <c r="K174" s="31" t="str">
        <f t="shared" si="24"/>
        <v/>
      </c>
      <c r="L174" s="23" t="str">
        <f t="shared" si="25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6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19"/>
        <v/>
      </c>
      <c r="G175" s="29" t="str">
        <f t="shared" si="20"/>
        <v/>
      </c>
      <c r="H175" s="20" t="str">
        <f t="shared" si="21"/>
        <v/>
      </c>
      <c r="I175" s="20" t="str">
        <f t="shared" si="22"/>
        <v/>
      </c>
      <c r="J175" s="20" t="str">
        <f t="shared" si="23"/>
        <v/>
      </c>
      <c r="K175" s="31" t="str">
        <f t="shared" si="24"/>
        <v/>
      </c>
      <c r="L175" s="23" t="str">
        <f t="shared" si="25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6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19"/>
        <v/>
      </c>
      <c r="G176" s="29" t="str">
        <f t="shared" si="20"/>
        <v/>
      </c>
      <c r="H176" s="20" t="str">
        <f t="shared" si="21"/>
        <v/>
      </c>
      <c r="I176" s="20" t="str">
        <f t="shared" si="22"/>
        <v/>
      </c>
      <c r="J176" s="20" t="str">
        <f t="shared" si="23"/>
        <v/>
      </c>
      <c r="K176" s="31" t="str">
        <f t="shared" si="24"/>
        <v/>
      </c>
      <c r="L176" s="23" t="str">
        <f t="shared" si="25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6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19"/>
        <v/>
      </c>
      <c r="G177" s="29" t="str">
        <f t="shared" si="20"/>
        <v/>
      </c>
      <c r="H177" s="20" t="str">
        <f t="shared" si="21"/>
        <v/>
      </c>
      <c r="I177" s="20" t="str">
        <f t="shared" si="22"/>
        <v/>
      </c>
      <c r="J177" s="20" t="str">
        <f t="shared" si="23"/>
        <v/>
      </c>
      <c r="K177" s="31" t="str">
        <f t="shared" si="24"/>
        <v/>
      </c>
      <c r="L177" s="23" t="str">
        <f t="shared" si="25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6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19"/>
        <v/>
      </c>
      <c r="G178" s="29" t="str">
        <f t="shared" si="20"/>
        <v/>
      </c>
      <c r="H178" s="20" t="str">
        <f t="shared" si="21"/>
        <v/>
      </c>
      <c r="I178" s="20" t="str">
        <f t="shared" si="22"/>
        <v/>
      </c>
      <c r="J178" s="20" t="str">
        <f t="shared" si="23"/>
        <v/>
      </c>
      <c r="K178" s="31" t="str">
        <f t="shared" si="24"/>
        <v/>
      </c>
      <c r="L178" s="23" t="str">
        <f t="shared" si="25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6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19"/>
        <v/>
      </c>
      <c r="G179" s="29" t="str">
        <f t="shared" si="20"/>
        <v/>
      </c>
      <c r="H179" s="20" t="str">
        <f t="shared" si="21"/>
        <v/>
      </c>
      <c r="I179" s="20" t="str">
        <f t="shared" si="22"/>
        <v/>
      </c>
      <c r="J179" s="20" t="str">
        <f t="shared" si="23"/>
        <v/>
      </c>
      <c r="K179" s="31" t="str">
        <f t="shared" si="24"/>
        <v/>
      </c>
      <c r="L179" s="23" t="str">
        <f t="shared" si="25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6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19"/>
        <v/>
      </c>
      <c r="G180" s="29" t="str">
        <f t="shared" si="20"/>
        <v/>
      </c>
      <c r="H180" s="20" t="str">
        <f t="shared" si="21"/>
        <v/>
      </c>
      <c r="I180" s="20" t="str">
        <f t="shared" si="22"/>
        <v/>
      </c>
      <c r="J180" s="20" t="str">
        <f t="shared" si="23"/>
        <v/>
      </c>
      <c r="K180" s="31" t="str">
        <f t="shared" si="24"/>
        <v/>
      </c>
      <c r="L180" s="23" t="str">
        <f t="shared" si="25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6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19"/>
        <v/>
      </c>
      <c r="G181" s="29" t="str">
        <f t="shared" si="20"/>
        <v/>
      </c>
      <c r="H181" s="20" t="str">
        <f t="shared" si="21"/>
        <v/>
      </c>
      <c r="I181" s="20" t="str">
        <f t="shared" si="22"/>
        <v/>
      </c>
      <c r="J181" s="20" t="str">
        <f t="shared" si="23"/>
        <v/>
      </c>
      <c r="K181" s="31" t="str">
        <f t="shared" si="24"/>
        <v/>
      </c>
      <c r="L181" s="23" t="str">
        <f t="shared" si="25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6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19"/>
        <v/>
      </c>
      <c r="G182" s="29" t="str">
        <f t="shared" si="20"/>
        <v/>
      </c>
      <c r="H182" s="20" t="str">
        <f t="shared" si="21"/>
        <v/>
      </c>
      <c r="I182" s="20" t="str">
        <f t="shared" si="22"/>
        <v/>
      </c>
      <c r="J182" s="20" t="str">
        <f t="shared" si="23"/>
        <v/>
      </c>
      <c r="K182" s="31" t="str">
        <f t="shared" si="24"/>
        <v/>
      </c>
      <c r="L182" s="23" t="str">
        <f t="shared" si="25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6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19"/>
        <v/>
      </c>
      <c r="G183" s="29" t="str">
        <f t="shared" si="20"/>
        <v/>
      </c>
      <c r="H183" s="20" t="str">
        <f t="shared" si="21"/>
        <v/>
      </c>
      <c r="I183" s="20" t="str">
        <f t="shared" si="22"/>
        <v/>
      </c>
      <c r="J183" s="20" t="str">
        <f t="shared" si="23"/>
        <v/>
      </c>
      <c r="K183" s="31" t="str">
        <f t="shared" si="24"/>
        <v/>
      </c>
      <c r="L183" s="23" t="str">
        <f t="shared" si="25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6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19"/>
        <v/>
      </c>
      <c r="G184" s="29" t="str">
        <f t="shared" si="20"/>
        <v/>
      </c>
      <c r="H184" s="20" t="str">
        <f t="shared" si="21"/>
        <v/>
      </c>
      <c r="I184" s="20" t="str">
        <f t="shared" si="22"/>
        <v/>
      </c>
      <c r="J184" s="20" t="str">
        <f t="shared" si="23"/>
        <v/>
      </c>
      <c r="K184" s="31" t="str">
        <f t="shared" si="24"/>
        <v/>
      </c>
      <c r="L184" s="23" t="str">
        <f t="shared" si="25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6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19"/>
        <v/>
      </c>
      <c r="G185" s="29" t="str">
        <f t="shared" si="20"/>
        <v/>
      </c>
      <c r="H185" s="20" t="str">
        <f t="shared" si="21"/>
        <v/>
      </c>
      <c r="I185" s="20" t="str">
        <f t="shared" si="22"/>
        <v/>
      </c>
      <c r="J185" s="20" t="str">
        <f t="shared" si="23"/>
        <v/>
      </c>
      <c r="K185" s="31" t="str">
        <f t="shared" si="24"/>
        <v/>
      </c>
      <c r="L185" s="23" t="str">
        <f t="shared" si="25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6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19"/>
        <v/>
      </c>
      <c r="G186" s="29" t="str">
        <f t="shared" si="20"/>
        <v/>
      </c>
      <c r="H186" s="20" t="str">
        <f t="shared" si="21"/>
        <v/>
      </c>
      <c r="I186" s="20" t="str">
        <f t="shared" si="22"/>
        <v/>
      </c>
      <c r="J186" s="20" t="str">
        <f t="shared" si="23"/>
        <v/>
      </c>
      <c r="K186" s="31" t="str">
        <f t="shared" si="24"/>
        <v/>
      </c>
      <c r="L186" s="23" t="str">
        <f t="shared" si="25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6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19"/>
        <v/>
      </c>
      <c r="G187" s="29" t="str">
        <f t="shared" si="20"/>
        <v/>
      </c>
      <c r="H187" s="20" t="str">
        <f t="shared" si="21"/>
        <v/>
      </c>
      <c r="I187" s="20" t="str">
        <f t="shared" si="22"/>
        <v/>
      </c>
      <c r="J187" s="20" t="str">
        <f t="shared" si="23"/>
        <v/>
      </c>
      <c r="K187" s="31" t="str">
        <f t="shared" si="24"/>
        <v/>
      </c>
      <c r="L187" s="23" t="str">
        <f t="shared" si="25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6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19"/>
        <v/>
      </c>
      <c r="G188" s="29" t="str">
        <f t="shared" si="20"/>
        <v/>
      </c>
      <c r="H188" s="20" t="str">
        <f t="shared" si="21"/>
        <v/>
      </c>
      <c r="I188" s="20" t="str">
        <f t="shared" si="22"/>
        <v/>
      </c>
      <c r="J188" s="20" t="str">
        <f t="shared" si="23"/>
        <v/>
      </c>
      <c r="K188" s="31" t="str">
        <f t="shared" si="24"/>
        <v/>
      </c>
      <c r="L188" s="23" t="str">
        <f t="shared" si="25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6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19"/>
        <v/>
      </c>
      <c r="G189" s="29" t="str">
        <f t="shared" si="20"/>
        <v/>
      </c>
      <c r="H189" s="20" t="str">
        <f t="shared" si="21"/>
        <v/>
      </c>
      <c r="I189" s="20" t="str">
        <f t="shared" si="22"/>
        <v/>
      </c>
      <c r="J189" s="20" t="str">
        <f t="shared" si="23"/>
        <v/>
      </c>
      <c r="K189" s="31" t="str">
        <f t="shared" si="24"/>
        <v/>
      </c>
      <c r="L189" s="23" t="str">
        <f t="shared" si="25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6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19"/>
        <v/>
      </c>
      <c r="G190" s="29" t="str">
        <f t="shared" si="20"/>
        <v/>
      </c>
      <c r="H190" s="20" t="str">
        <f t="shared" si="21"/>
        <v/>
      </c>
      <c r="I190" s="20" t="str">
        <f t="shared" si="22"/>
        <v/>
      </c>
      <c r="J190" s="20" t="str">
        <f t="shared" si="23"/>
        <v/>
      </c>
      <c r="K190" s="31" t="str">
        <f t="shared" si="24"/>
        <v/>
      </c>
      <c r="L190" s="23" t="str">
        <f t="shared" si="25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6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19"/>
        <v/>
      </c>
      <c r="G191" s="29" t="str">
        <f t="shared" si="20"/>
        <v/>
      </c>
      <c r="H191" s="20" t="str">
        <f t="shared" si="21"/>
        <v/>
      </c>
      <c r="I191" s="20" t="str">
        <f t="shared" si="22"/>
        <v/>
      </c>
      <c r="J191" s="20" t="str">
        <f t="shared" si="23"/>
        <v/>
      </c>
      <c r="K191" s="31" t="str">
        <f t="shared" si="24"/>
        <v/>
      </c>
      <c r="L191" s="23" t="str">
        <f t="shared" si="25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6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19"/>
        <v/>
      </c>
      <c r="G192" s="29" t="str">
        <f t="shared" si="20"/>
        <v/>
      </c>
      <c r="H192" s="20" t="str">
        <f t="shared" si="21"/>
        <v/>
      </c>
      <c r="I192" s="20" t="str">
        <f t="shared" si="22"/>
        <v/>
      </c>
      <c r="J192" s="20" t="str">
        <f t="shared" si="23"/>
        <v/>
      </c>
      <c r="K192" s="31" t="str">
        <f t="shared" si="24"/>
        <v/>
      </c>
      <c r="L192" s="23" t="str">
        <f t="shared" si="25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6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19"/>
        <v/>
      </c>
      <c r="G193" s="29" t="str">
        <f t="shared" si="20"/>
        <v/>
      </c>
      <c r="H193" s="20" t="str">
        <f t="shared" si="21"/>
        <v/>
      </c>
      <c r="I193" s="20" t="str">
        <f t="shared" si="22"/>
        <v/>
      </c>
      <c r="J193" s="20" t="str">
        <f t="shared" si="23"/>
        <v/>
      </c>
      <c r="K193" s="31" t="str">
        <f t="shared" si="24"/>
        <v/>
      </c>
      <c r="L193" s="23" t="str">
        <f t="shared" si="25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6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19"/>
        <v/>
      </c>
      <c r="G194" s="29" t="str">
        <f t="shared" si="20"/>
        <v/>
      </c>
      <c r="H194" s="20" t="str">
        <f t="shared" si="21"/>
        <v/>
      </c>
      <c r="I194" s="20" t="str">
        <f t="shared" si="22"/>
        <v/>
      </c>
      <c r="J194" s="20" t="str">
        <f t="shared" si="23"/>
        <v/>
      </c>
      <c r="K194" s="31" t="str">
        <f t="shared" si="24"/>
        <v/>
      </c>
      <c r="L194" s="23" t="str">
        <f t="shared" si="25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6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19"/>
        <v/>
      </c>
      <c r="G195" s="29" t="str">
        <f t="shared" si="20"/>
        <v/>
      </c>
      <c r="H195" s="20" t="str">
        <f t="shared" si="21"/>
        <v/>
      </c>
      <c r="I195" s="20" t="str">
        <f t="shared" si="22"/>
        <v/>
      </c>
      <c r="J195" s="20" t="str">
        <f t="shared" si="23"/>
        <v/>
      </c>
      <c r="K195" s="31" t="str">
        <f t="shared" si="24"/>
        <v/>
      </c>
      <c r="L195" s="23" t="str">
        <f t="shared" si="25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6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19"/>
        <v/>
      </c>
      <c r="G196" s="29" t="str">
        <f t="shared" si="20"/>
        <v/>
      </c>
      <c r="H196" s="20" t="str">
        <f t="shared" si="21"/>
        <v/>
      </c>
      <c r="I196" s="20" t="str">
        <f t="shared" si="22"/>
        <v/>
      </c>
      <c r="J196" s="20" t="str">
        <f t="shared" si="23"/>
        <v/>
      </c>
      <c r="K196" s="31" t="str">
        <f t="shared" si="24"/>
        <v/>
      </c>
      <c r="L196" s="23" t="str">
        <f t="shared" si="25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6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19"/>
        <v/>
      </c>
      <c r="G197" s="29" t="str">
        <f t="shared" si="20"/>
        <v/>
      </c>
      <c r="H197" s="20" t="str">
        <f t="shared" si="21"/>
        <v/>
      </c>
      <c r="I197" s="20" t="str">
        <f t="shared" si="22"/>
        <v/>
      </c>
      <c r="J197" s="20" t="str">
        <f t="shared" si="23"/>
        <v/>
      </c>
      <c r="K197" s="31" t="str">
        <f t="shared" si="24"/>
        <v/>
      </c>
      <c r="L197" s="23" t="str">
        <f t="shared" si="25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6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19"/>
        <v/>
      </c>
      <c r="G198" s="29" t="str">
        <f t="shared" si="20"/>
        <v/>
      </c>
      <c r="H198" s="20" t="str">
        <f t="shared" si="21"/>
        <v/>
      </c>
      <c r="I198" s="20" t="str">
        <f t="shared" si="22"/>
        <v/>
      </c>
      <c r="J198" s="20" t="str">
        <f t="shared" si="23"/>
        <v/>
      </c>
      <c r="K198" s="31" t="str">
        <f t="shared" si="24"/>
        <v/>
      </c>
      <c r="L198" s="23" t="str">
        <f t="shared" si="25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6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19"/>
        <v/>
      </c>
      <c r="G199" s="29" t="str">
        <f t="shared" si="20"/>
        <v/>
      </c>
      <c r="H199" s="20" t="str">
        <f t="shared" si="21"/>
        <v/>
      </c>
      <c r="I199" s="20" t="str">
        <f t="shared" si="22"/>
        <v/>
      </c>
      <c r="J199" s="20" t="str">
        <f t="shared" si="23"/>
        <v/>
      </c>
      <c r="K199" s="31" t="str">
        <f t="shared" si="24"/>
        <v/>
      </c>
      <c r="L199" s="23" t="str">
        <f t="shared" si="25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6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7">IF(G200&lt;&gt;"",R200&amp;S200,"")</f>
        <v/>
      </c>
      <c r="G200" s="29" t="str">
        <f t="shared" ref="G200" si="28">IF(AND((S200 &lt;&gt; ""),(S200 &gt;= 0)), ABS(IF(OR((R200=""),(R200="　")), S200, T200)), "")</f>
        <v/>
      </c>
      <c r="H200" s="20" t="str">
        <f t="shared" ref="H200" si="29">IF(OR((R200=""),(R200="　")),IF(G200 &lt;&gt; "", T200, ""),IF(G200 &lt;&gt; "", U200, ""))</f>
        <v/>
      </c>
      <c r="I200" s="20" t="str">
        <f t="shared" ref="I200" si="30">IF(G200 &lt;&gt; "", IF(COUNTIF(IF(OR((R200=""),(R200="　")), U200, V200),"*男*"),"男性",IF(COUNTIF(IF(OR((R200=""),(R200="　")), U200, V200),"*女*"),"女性","ー")),"")</f>
        <v/>
      </c>
      <c r="J200" s="20" t="str">
        <f t="shared" ref="J200" si="31">IF(G200 &lt;&gt; "", IF(OR((R200=""),(R200="　")), V200, W200),"")</f>
        <v/>
      </c>
      <c r="K200" s="31" t="str">
        <f t="shared" ref="K200" si="32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3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4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4" zoomScale="70" zoomScaleNormal="70" workbookViewId="0">
      <selection activeCell="C205" sqref="C205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2023/2/4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99999945001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庄内町</v>
      </c>
      <c r="H3" s="10" t="str">
        <f>IF(ROW(G1)&gt;MAX(Main!$C$4:$C$1048576),"",INDEX(Main!K$4:K$1048576,MATCH(ROW(G1),Main!$C$4:$C$1048576,0)))</f>
        <v>99999945001介護施設</v>
      </c>
      <c r="I3" s="1">
        <f>IF(H3&lt;&gt;"",IF(ROW(G1)&gt;MAX(Main!$C$4:$C$1048576),"",INDEX(Main!N$4:N$1048576,MATCH(ROW(G1),Main!$C$4:$C$1048576,0))),"")</f>
        <v>99999945001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介護施設</v>
      </c>
      <c r="K3" s="27" t="str">
        <f t="shared" ref="K3:K66" si="1">IF(ISERROR(FIND($Y$1, $C3)), $C3&amp;
"例目",
"クラスターNo."&amp;LEFT(REPLACE($C3, 1, LEN($Y$1), ""), LEN($C3)-3-LEN($Y$1)))</f>
        <v>クラスターNo.945</v>
      </c>
      <c r="M3" s="4" t="str">
        <f>TEXT(IF(ROW(A1)&gt;MAX(Main!$D$4:$D$1048576),"",INDEX(Main!Q$4:Q$1048576,MATCH(ROW(A1),Main!$D$4:$D$1048576,0))), "yyyy/m/d")</f>
        <v>2023/2/4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99999945001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庄内町</v>
      </c>
      <c r="S3" s="9" t="str">
        <f>IF(ROW(G1)&gt;MAX(Main!$D$4:$D$1048576),"",INDEX(Main!K$4:K$1048576,MATCH(ROW(G1),Main!$D$4:$D$1048576,0)))</f>
        <v>99999945001介護施設</v>
      </c>
      <c r="T3" s="1">
        <f>IF(S3&lt;&gt;"",IF(ROW(G1)&gt;MAX(Main!$D$4:$D$1048576),"",INDEX(Main!N$4:N$1048576,MATCH(ROW(G1),Main!$D$4:$D$1048576,0))),"")</f>
        <v>99999945001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介護施設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2023/2/4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99999945002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庄内町</v>
      </c>
      <c r="H4" s="10" t="str">
        <f>IF(ROW(G2)&gt;MAX(Main!$C$4:$C$1048576),"",INDEX(Main!K$4:K$1048576,MATCH(ROW(G2),Main!$C$4:$C$1048576,0)))</f>
        <v>99999945001関連</v>
      </c>
      <c r="I4" s="1">
        <f>IF(H4&lt;&gt;"",IF(ROW(G2)&gt;MAX(Main!$C$4:$C$1048576),"",INDEX(Main!N$4:N$1048576,MATCH(ROW(G2),Main!$C$4:$C$1048576,0))),"")</f>
        <v>99999945001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クラスターNo.945</v>
      </c>
      <c r="M4" s="4" t="str">
        <f>TEXT(IF(ROW(A2)&gt;MAX(Main!$D$4:$D$1048576),"",INDEX(Main!Q$4:Q$1048576,MATCH(ROW(A2),Main!$D$4:$D$1048576,0))), "yyyy/m/d")</f>
        <v>2023/2/4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99999945002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庄内町</v>
      </c>
      <c r="S4" s="9" t="str">
        <f>IF(ROW(G2)&gt;MAX(Main!$D$4:$D$1048576),"",INDEX(Main!K$4:K$1048576,MATCH(ROW(G2),Main!$D$4:$D$1048576,0)))</f>
        <v>99999945001関連</v>
      </c>
      <c r="T4" s="1">
        <f>IF(S4&lt;&gt;"",IF(ROW(G2)&gt;MAX(Main!$D$4:$D$1048576),"",INDEX(Main!N$4:N$1048576,MATCH(ROW(G2),Main!$D$4:$D$1048576,0))),"")</f>
        <v>99999945001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2023/2/4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99999945003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庄内町</v>
      </c>
      <c r="H5" s="10" t="str">
        <f>IF(ROW(G3)&gt;MAX(Main!$C$4:$C$1048576),"",INDEX(Main!K$4:K$1048576,MATCH(ROW(G3),Main!$C$4:$C$1048576,0)))</f>
        <v>99999945001関連</v>
      </c>
      <c r="I5" s="1">
        <f>IF(H5&lt;&gt;"",IF(ROW(G3)&gt;MAX(Main!$C$4:$C$1048576),"",INDEX(Main!N$4:N$1048576,MATCH(ROW(G3),Main!$C$4:$C$1048576,0))),"")</f>
        <v>99999945001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クラスターNo.945</v>
      </c>
      <c r="M5" s="4" t="str">
        <f>TEXT(IF(ROW(A3)&gt;MAX(Main!$D$4:$D$1048576),"",INDEX(Main!Q$4:Q$1048576,MATCH(ROW(A3),Main!$D$4:$D$1048576,0))), "yyyy/m/d")</f>
        <v>2023/2/4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99999945003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庄内町</v>
      </c>
      <c r="S5" s="9" t="str">
        <f>IF(ROW(G3)&gt;MAX(Main!$D$4:$D$1048576),"",INDEX(Main!K$4:K$1048576,MATCH(ROW(G3),Main!$D$4:$D$1048576,0)))</f>
        <v>99999945001関連</v>
      </c>
      <c r="T5" s="1">
        <f>IF(S5&lt;&gt;"",IF(ROW(G3)&gt;MAX(Main!$D$4:$D$1048576),"",INDEX(Main!N$4:N$1048576,MATCH(ROW(G3),Main!$D$4:$D$1048576,0))),"")</f>
        <v>99999945001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2023/2/4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99999945004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庄内町</v>
      </c>
      <c r="H6" s="10" t="str">
        <f>IF(ROW(G4)&gt;MAX(Main!$C$4:$C$1048576),"",INDEX(Main!K$4:K$1048576,MATCH(ROW(G4),Main!$C$4:$C$1048576,0)))</f>
        <v>99999945001関連</v>
      </c>
      <c r="I6" s="1">
        <f>IF(H6&lt;&gt;"",IF(ROW(G4)&gt;MAX(Main!$C$4:$C$1048576),"",INDEX(Main!N$4:N$1048576,MATCH(ROW(G4),Main!$C$4:$C$1048576,0))),"")</f>
        <v>99999945001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クラスターNo.945</v>
      </c>
      <c r="M6" s="4" t="str">
        <f>TEXT(IF(ROW(A4)&gt;MAX(Main!$D$4:$D$1048576),"",INDEX(Main!Q$4:Q$1048576,MATCH(ROW(A4),Main!$D$4:$D$1048576,0))), "yyyy/m/d")</f>
        <v>2023/2/4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99999945004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庄内町</v>
      </c>
      <c r="S6" s="9" t="str">
        <f>IF(ROW(G4)&gt;MAX(Main!$D$4:$D$1048576),"",INDEX(Main!K$4:K$1048576,MATCH(ROW(G4),Main!$D$4:$D$1048576,0)))</f>
        <v>99999945001関連</v>
      </c>
      <c r="T6" s="1">
        <f>IF(S6&lt;&gt;"",IF(ROW(G4)&gt;MAX(Main!$D$4:$D$1048576),"",INDEX(Main!N$4:N$1048576,MATCH(ROW(G4),Main!$D$4:$D$1048576,0))),"")</f>
        <v>99999945001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2023/2/4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99999945005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庄内町</v>
      </c>
      <c r="H7" s="10" t="str">
        <f>IF(ROW(G5)&gt;MAX(Main!$C$4:$C$1048576),"",INDEX(Main!K$4:K$1048576,MATCH(ROW(G5),Main!$C$4:$C$1048576,0)))</f>
        <v>99999945001関連</v>
      </c>
      <c r="I7" s="1">
        <f>IF(H7&lt;&gt;"",IF(ROW(G5)&gt;MAX(Main!$C$4:$C$1048576),"",INDEX(Main!N$4:N$1048576,MATCH(ROW(G5),Main!$C$4:$C$1048576,0))),"")</f>
        <v>99999945001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クラスターNo.945</v>
      </c>
      <c r="M7" s="4" t="str">
        <f>TEXT(IF(ROW(A5)&gt;MAX(Main!$D$4:$D$1048576),"",INDEX(Main!Q$4:Q$1048576,MATCH(ROW(A5),Main!$D$4:$D$1048576,0))), "yyyy/m/d")</f>
        <v>2023/2/4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99999945005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庄内町</v>
      </c>
      <c r="S7" s="9" t="str">
        <f>IF(ROW(G5)&gt;MAX(Main!$D$4:$D$1048576),"",INDEX(Main!K$4:K$1048576,MATCH(ROW(G5),Main!$D$4:$D$1048576,0)))</f>
        <v>99999945001関連</v>
      </c>
      <c r="T7" s="1">
        <f>IF(S7&lt;&gt;"",IF(ROW(G5)&gt;MAX(Main!$D$4:$D$1048576),"",INDEX(Main!N$4:N$1048576,MATCH(ROW(G5),Main!$D$4:$D$1048576,0))),"")</f>
        <v>99999945001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2023/2/4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99999945006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庄内町</v>
      </c>
      <c r="H8" s="10" t="str">
        <f>IF(ROW(G6)&gt;MAX(Main!$C$4:$C$1048576),"",INDEX(Main!K$4:K$1048576,MATCH(ROW(G6),Main!$C$4:$C$1048576,0)))</f>
        <v>99999945001関連</v>
      </c>
      <c r="I8" s="1">
        <f>IF(H8&lt;&gt;"",IF(ROW(G6)&gt;MAX(Main!$C$4:$C$1048576),"",INDEX(Main!N$4:N$1048576,MATCH(ROW(G6),Main!$C$4:$C$1048576,0))),"")</f>
        <v>99999945001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クラスターNo.945</v>
      </c>
      <c r="M8" s="4" t="str">
        <f>TEXT(IF(ROW(A6)&gt;MAX(Main!$D$4:$D$1048576),"",INDEX(Main!Q$4:Q$1048576,MATCH(ROW(A6),Main!$D$4:$D$1048576,0))), "yyyy/m/d")</f>
        <v>2023/2/4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99999945006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庄内町</v>
      </c>
      <c r="S8" s="9" t="str">
        <f>IF(ROW(G6)&gt;MAX(Main!$D$4:$D$1048576),"",INDEX(Main!K$4:K$1048576,MATCH(ROW(G6),Main!$D$4:$D$1048576,0)))</f>
        <v>99999945001関連</v>
      </c>
      <c r="T8" s="1">
        <f>IF(S8&lt;&gt;"",IF(ROW(G6)&gt;MAX(Main!$D$4:$D$1048576),"",INDEX(Main!N$4:N$1048576,MATCH(ROW(G6),Main!$D$4:$D$1048576,0))),"")</f>
        <v>99999945001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2023/2/4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99999945007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庄内町</v>
      </c>
      <c r="H9" s="10" t="str">
        <f>IF(ROW(G7)&gt;MAX(Main!$C$4:$C$1048576),"",INDEX(Main!K$4:K$1048576,MATCH(ROW(G7),Main!$C$4:$C$1048576,0)))</f>
        <v>99999945001関連</v>
      </c>
      <c r="I9" s="1">
        <f>IF(H9&lt;&gt;"",IF(ROW(G7)&gt;MAX(Main!$C$4:$C$1048576),"",INDEX(Main!N$4:N$1048576,MATCH(ROW(G7),Main!$C$4:$C$1048576,0))),"")</f>
        <v>99999945001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関連</v>
      </c>
      <c r="K9" s="27" t="str">
        <f t="shared" si="1"/>
        <v>クラスターNo.945</v>
      </c>
      <c r="M9" s="4" t="str">
        <f>TEXT(IF(ROW(A7)&gt;MAX(Main!$D$4:$D$1048576),"",INDEX(Main!Q$4:Q$1048576,MATCH(ROW(A7),Main!$D$4:$D$1048576,0))), "yyyy/m/d")</f>
        <v>2023/2/4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99999945007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庄内町</v>
      </c>
      <c r="S9" s="9" t="str">
        <f>IF(ROW(G7)&gt;MAX(Main!$D$4:$D$1048576),"",INDEX(Main!K$4:K$1048576,MATCH(ROW(G7),Main!$D$4:$D$1048576,0)))</f>
        <v>99999945001関連</v>
      </c>
      <c r="T9" s="1">
        <f>IF(S9&lt;&gt;"",IF(ROW(G7)&gt;MAX(Main!$D$4:$D$1048576),"",INDEX(Main!N$4:N$1048576,MATCH(ROW(G7),Main!$D$4:$D$1048576,0))),"")</f>
        <v>99999945001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関連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>2023/2/4</v>
      </c>
      <c r="C10" s="1">
        <f>IF(IF(ROW(A8)&gt;MAX(Main!$C$4:$C$1048576),"",INDEX(Main!G$4:G$1048576,MATCH(ROW(A8),Main!$C$4:$C$1048576,0)))="",IF(B10="","",C9),IF(ROW(A8)&gt;MAX(Main!$C$4:$C$1048576),"",INDEX(Main!G$4:G$1048576,MATCH(ROW(A8),Main!$C$4:$C$1048576,0))))</f>
        <v>99999945008</v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>-</v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>ー</v>
      </c>
      <c r="F10" s="1" t="str">
        <f t="shared" si="0"/>
        <v>else</v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>庄内町</v>
      </c>
      <c r="H10" s="10" t="str">
        <f>IF(ROW(G8)&gt;MAX(Main!$C$4:$C$1048576),"",INDEX(Main!K$4:K$1048576,MATCH(ROW(G8),Main!$C$4:$C$1048576,0)))</f>
        <v>99999945001関連</v>
      </c>
      <c r="I10" s="1">
        <f>IF(H10&lt;&gt;"",IF(ROW(G8)&gt;MAX(Main!$C$4:$C$1048576),"",INDEX(Main!N$4:N$1048576,MATCH(ROW(G8),Main!$C$4:$C$1048576,0))),"")</f>
        <v>99999945001</v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>関連</v>
      </c>
      <c r="K10" s="27" t="str">
        <f t="shared" si="1"/>
        <v>クラスターNo.945</v>
      </c>
      <c r="M10" s="4" t="str">
        <f>TEXT(IF(ROW(A8)&gt;MAX(Main!$D$4:$D$1048576),"",INDEX(Main!Q$4:Q$1048576,MATCH(ROW(A8),Main!$D$4:$D$1048576,0))), "yyyy/m/d")</f>
        <v>2023/2/4</v>
      </c>
      <c r="N10" s="1">
        <f>IF(IF(ROW(A8)&gt;MAX(Main!$D$4:$D$1048576),"",INDEX(Main!G$4:G$1048576,MATCH(ROW(A8),Main!$D$4:$D$1048576,0)))="",IF(M10="","",N9),IF(ROW(A8)&gt;MAX(Main!$D$4:$D$1048576),"",INDEX(Main!G$4:G$1048576,MATCH(ROW(A8),Main!$D$4:$D$1048576,0))))</f>
        <v>99999945008</v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>-</v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>ー</v>
      </c>
      <c r="Q10" s="1" t="str">
        <f t="shared" si="2"/>
        <v>else</v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>庄内町</v>
      </c>
      <c r="S10" s="9" t="str">
        <f>IF(ROW(G8)&gt;MAX(Main!$D$4:$D$1048576),"",INDEX(Main!K$4:K$1048576,MATCH(ROW(G8),Main!$D$4:$D$1048576,0)))</f>
        <v>99999945001関連</v>
      </c>
      <c r="T10" s="1">
        <f>IF(S10&lt;&gt;"",IF(ROW(G8)&gt;MAX(Main!$D$4:$D$1048576),"",INDEX(Main!N$4:N$1048576,MATCH(ROW(G8),Main!$D$4:$D$1048576,0))),"")</f>
        <v>99999945001</v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>関連</v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/>
      </c>
      <c r="C11" s="1" t="str">
        <f>IF(IF(ROW(A9)&gt;MAX(Main!$C$4:$C$1048576),"",INDEX(Main!G$4:G$1048576,MATCH(ROW(A9),Main!$C$4:$C$1048576,0)))="",IF(B11="","",C10),IF(ROW(A9)&gt;MAX(Main!$C$4:$C$1048576),"",INDEX(Main!G$4:G$1048576,MATCH(ROW(A9),Main!$C$4:$C$1048576,0))))</f>
        <v/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/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/>
      </c>
      <c r="F11" s="1" t="str">
        <f t="shared" si="0"/>
        <v/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/>
      </c>
      <c r="H11" s="10" t="str">
        <f>IF(ROW(G9)&gt;MAX(Main!$C$4:$C$1048576),"",INDEX(Main!K$4:K$1048576,MATCH(ROW(G9),Main!$C$4:$C$1048576,0)))</f>
        <v/>
      </c>
      <c r="I11" s="1" t="str">
        <f>IF(H11&lt;&gt;"",IF(ROW(G9)&gt;MAX(Main!$C$4:$C$1048576),"",INDEX(Main!N$4:N$1048576,MATCH(ROW(G9),Main!$C$4:$C$1048576,0))),"")</f>
        <v/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/>
      </c>
      <c r="K11" s="27" t="str">
        <f t="shared" si="1"/>
        <v>例目</v>
      </c>
      <c r="M11" s="4" t="str">
        <f>TEXT(IF(ROW(A9)&gt;MAX(Main!$D$4:$D$1048576),"",INDEX(Main!Q$4:Q$1048576,MATCH(ROW(A9),Main!$D$4:$D$1048576,0))), "yyyy/m/d")</f>
        <v/>
      </c>
      <c r="N11" s="1" t="str">
        <f>IF(IF(ROW(A9)&gt;MAX(Main!$D$4:$D$1048576),"",INDEX(Main!G$4:G$1048576,MATCH(ROW(A9),Main!$D$4:$D$1048576,0)))="",IF(M11="","",N10),IF(ROW(A9)&gt;MAX(Main!$D$4:$D$1048576),"",INDEX(Main!G$4:G$1048576,MATCH(ROW(A9),Main!$D$4:$D$1048576,0))))</f>
        <v/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/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/>
      </c>
      <c r="Q11" s="1" t="str">
        <f t="shared" si="2"/>
        <v/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/>
      </c>
      <c r="S11" s="9" t="str">
        <f>IF(ROW(G9)&gt;MAX(Main!$D$4:$D$1048576),"",INDEX(Main!K$4:K$1048576,MATCH(ROW(G9),Main!$D$4:$D$1048576,0)))</f>
        <v/>
      </c>
      <c r="T11" s="1" t="str">
        <f>IF(S11&lt;&gt;"",IF(ROW(G9)&gt;MAX(Main!$D$4:$D$1048576),"",INDEX(Main!N$4:N$1048576,MATCH(ROW(G9),Main!$D$4:$D$1048576,0))),"")</f>
        <v/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/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/>
      </c>
      <c r="C12" s="1" t="str">
        <f>IF(IF(ROW(A10)&gt;MAX(Main!$C$4:$C$1048576),"",INDEX(Main!G$4:G$1048576,MATCH(ROW(A10),Main!$C$4:$C$1048576,0)))="",IF(B12="","",C11),IF(ROW(A10)&gt;MAX(Main!$C$4:$C$1048576),"",INDEX(Main!G$4:G$1048576,MATCH(ROW(A10),Main!$C$4:$C$1048576,0))))</f>
        <v/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/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/>
      </c>
      <c r="F12" s="1" t="str">
        <f t="shared" si="0"/>
        <v/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/>
      </c>
      <c r="H12" s="10" t="str">
        <f>IF(ROW(G10)&gt;MAX(Main!$C$4:$C$1048576),"",INDEX(Main!K$4:K$1048576,MATCH(ROW(G10),Main!$C$4:$C$1048576,0)))</f>
        <v/>
      </c>
      <c r="I12" s="1" t="str">
        <f>IF(H12&lt;&gt;"",IF(ROW(G10)&gt;MAX(Main!$C$4:$C$1048576),"",INDEX(Main!N$4:N$1048576,MATCH(ROW(G10),Main!$C$4:$C$1048576,0))),"")</f>
        <v/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/>
      </c>
      <c r="K12" s="27" t="str">
        <f t="shared" si="1"/>
        <v>例目</v>
      </c>
      <c r="M12" s="4" t="str">
        <f>TEXT(IF(ROW(A10)&gt;MAX(Main!$D$4:$D$1048576),"",INDEX(Main!Q$4:Q$1048576,MATCH(ROW(A10),Main!$D$4:$D$1048576,0))), "yyyy/m/d")</f>
        <v/>
      </c>
      <c r="N12" s="1" t="str">
        <f>IF(IF(ROW(A10)&gt;MAX(Main!$D$4:$D$1048576),"",INDEX(Main!G$4:G$1048576,MATCH(ROW(A10),Main!$D$4:$D$1048576,0)))="",IF(M12="","",N11),IF(ROW(A10)&gt;MAX(Main!$D$4:$D$1048576),"",INDEX(Main!G$4:G$1048576,MATCH(ROW(A10),Main!$D$4:$D$1048576,0))))</f>
        <v/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/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/>
      </c>
      <c r="Q12" s="1" t="str">
        <f t="shared" si="2"/>
        <v/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/>
      </c>
      <c r="S12" s="9" t="str">
        <f>IF(ROW(G10)&gt;MAX(Main!$D$4:$D$1048576),"",INDEX(Main!K$4:K$1048576,MATCH(ROW(G10),Main!$D$4:$D$1048576,0)))</f>
        <v/>
      </c>
      <c r="T12" s="1" t="str">
        <f>IF(S12&lt;&gt;"",IF(ROW(G10)&gt;MAX(Main!$D$4:$D$1048576),"",INDEX(Main!N$4:N$1048576,MATCH(ROW(G10),Main!$D$4:$D$1048576,0))),"")</f>
        <v/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/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/>
      </c>
      <c r="C13" s="1" t="str">
        <f>IF(IF(ROW(A11)&gt;MAX(Main!$C$4:$C$1048576),"",INDEX(Main!G$4:G$1048576,MATCH(ROW(A11),Main!$C$4:$C$1048576,0)))="",IF(B13="","",C12),IF(ROW(A11)&gt;MAX(Main!$C$4:$C$1048576),"",INDEX(Main!G$4:G$1048576,MATCH(ROW(A11),Main!$C$4:$C$1048576,0))))</f>
        <v/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/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/>
      </c>
      <c r="F13" s="1" t="str">
        <f t="shared" si="0"/>
        <v/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/>
      </c>
      <c r="H13" s="10" t="str">
        <f>IF(ROW(G11)&gt;MAX(Main!$C$4:$C$1048576),"",INDEX(Main!K$4:K$1048576,MATCH(ROW(G11),Main!$C$4:$C$1048576,0)))</f>
        <v/>
      </c>
      <c r="I13" s="1" t="str">
        <f>IF(H13&lt;&gt;"",IF(ROW(G11)&gt;MAX(Main!$C$4:$C$1048576),"",INDEX(Main!N$4:N$1048576,MATCH(ROW(G11),Main!$C$4:$C$1048576,0))),"")</f>
        <v/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/>
      </c>
      <c r="K13" s="27" t="str">
        <f t="shared" si="1"/>
        <v>例目</v>
      </c>
      <c r="M13" s="4" t="str">
        <f>TEXT(IF(ROW(A11)&gt;MAX(Main!$D$4:$D$1048576),"",INDEX(Main!Q$4:Q$1048576,MATCH(ROW(A11),Main!$D$4:$D$1048576,0))), "yyyy/m/d")</f>
        <v/>
      </c>
      <c r="N13" s="1" t="str">
        <f>IF(IF(ROW(A11)&gt;MAX(Main!$D$4:$D$1048576),"",INDEX(Main!G$4:G$1048576,MATCH(ROW(A11),Main!$D$4:$D$1048576,0)))="",IF(M13="","",N12),IF(ROW(A11)&gt;MAX(Main!$D$4:$D$1048576),"",INDEX(Main!G$4:G$1048576,MATCH(ROW(A11),Main!$D$4:$D$1048576,0))))</f>
        <v/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/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/>
      </c>
      <c r="Q13" s="1" t="str">
        <f t="shared" si="2"/>
        <v/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/>
      </c>
      <c r="S13" s="9" t="str">
        <f>IF(ROW(G11)&gt;MAX(Main!$D$4:$D$1048576),"",INDEX(Main!K$4:K$1048576,MATCH(ROW(G11),Main!$D$4:$D$1048576,0)))</f>
        <v/>
      </c>
      <c r="T13" s="1" t="str">
        <f>IF(S13&lt;&gt;"",IF(ROW(G11)&gt;MAX(Main!$D$4:$D$1048576),"",INDEX(Main!N$4:N$1048576,MATCH(ROW(G11),Main!$D$4:$D$1048576,0))),"")</f>
        <v/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/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/>
      </c>
      <c r="C14" s="1" t="str">
        <f>IF(IF(ROW(A12)&gt;MAX(Main!$C$4:$C$1048576),"",INDEX(Main!G$4:G$1048576,MATCH(ROW(A12),Main!$C$4:$C$1048576,0)))="",IF(B14="","",C13),IF(ROW(A12)&gt;MAX(Main!$C$4:$C$1048576),"",INDEX(Main!G$4:G$1048576,MATCH(ROW(A12),Main!$C$4:$C$1048576,0))))</f>
        <v/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/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/>
      </c>
      <c r="F14" s="1" t="str">
        <f t="shared" si="0"/>
        <v/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/>
      </c>
      <c r="H14" s="10" t="str">
        <f>IF(ROW(G12)&gt;MAX(Main!$C$4:$C$1048576),"",INDEX(Main!K$4:K$1048576,MATCH(ROW(G12),Main!$C$4:$C$1048576,0)))</f>
        <v/>
      </c>
      <c r="I14" s="1" t="str">
        <f>IF(H14&lt;&gt;"",IF(ROW(G12)&gt;MAX(Main!$C$4:$C$1048576),"",INDEX(Main!N$4:N$1048576,MATCH(ROW(G12),Main!$C$4:$C$1048576,0))),"")</f>
        <v/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/>
      </c>
      <c r="K14" s="27" t="str">
        <f t="shared" si="1"/>
        <v>例目</v>
      </c>
      <c r="M14" s="4" t="str">
        <f>TEXT(IF(ROW(A12)&gt;MAX(Main!$D$4:$D$1048576),"",INDEX(Main!Q$4:Q$1048576,MATCH(ROW(A12),Main!$D$4:$D$1048576,0))), "yyyy/m/d")</f>
        <v/>
      </c>
      <c r="N14" s="1" t="str">
        <f>IF(IF(ROW(A12)&gt;MAX(Main!$D$4:$D$1048576),"",INDEX(Main!G$4:G$1048576,MATCH(ROW(A12),Main!$D$4:$D$1048576,0)))="",IF(M14="","",N13),IF(ROW(A12)&gt;MAX(Main!$D$4:$D$1048576),"",INDEX(Main!G$4:G$1048576,MATCH(ROW(A12),Main!$D$4:$D$1048576,0))))</f>
        <v/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/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/>
      </c>
      <c r="Q14" s="1" t="str">
        <f t="shared" si="2"/>
        <v/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/>
      </c>
      <c r="S14" s="9" t="str">
        <f>IF(ROW(G12)&gt;MAX(Main!$D$4:$D$1048576),"",INDEX(Main!K$4:K$1048576,MATCH(ROW(G12),Main!$D$4:$D$1048576,0)))</f>
        <v/>
      </c>
      <c r="T14" s="1" t="str">
        <f>IF(S14&lt;&gt;"",IF(ROW(G12)&gt;MAX(Main!$D$4:$D$1048576),"",INDEX(Main!N$4:N$1048576,MATCH(ROW(G12),Main!$D$4:$D$1048576,0))),"")</f>
        <v/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/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/>
      </c>
      <c r="C15" s="1" t="str">
        <f>IF(IF(ROW(A13)&gt;MAX(Main!$C$4:$C$1048576),"",INDEX(Main!G$4:G$1048576,MATCH(ROW(A13),Main!$C$4:$C$1048576,0)))="",IF(B15="","",C14),IF(ROW(A13)&gt;MAX(Main!$C$4:$C$1048576),"",INDEX(Main!G$4:G$1048576,MATCH(ROW(A13),Main!$C$4:$C$1048576,0))))</f>
        <v/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/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/>
      </c>
      <c r="F15" s="1" t="str">
        <f t="shared" si="0"/>
        <v/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/>
      </c>
      <c r="H15" s="10" t="str">
        <f>IF(ROW(G13)&gt;MAX(Main!$C$4:$C$1048576),"",INDEX(Main!K$4:K$1048576,MATCH(ROW(G13),Main!$C$4:$C$1048576,0)))</f>
        <v/>
      </c>
      <c r="I15" s="1" t="str">
        <f>IF(H15&lt;&gt;"",IF(ROW(G13)&gt;MAX(Main!$C$4:$C$1048576),"",INDEX(Main!N$4:N$1048576,MATCH(ROW(G13),Main!$C$4:$C$1048576,0))),"")</f>
        <v/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/>
      </c>
      <c r="K15" s="27" t="str">
        <f t="shared" si="1"/>
        <v>例目</v>
      </c>
      <c r="M15" s="4" t="str">
        <f>TEXT(IF(ROW(A13)&gt;MAX(Main!$D$4:$D$1048576),"",INDEX(Main!Q$4:Q$1048576,MATCH(ROW(A13),Main!$D$4:$D$1048576,0))), "yyyy/m/d")</f>
        <v/>
      </c>
      <c r="N15" s="1" t="str">
        <f>IF(IF(ROW(A13)&gt;MAX(Main!$D$4:$D$1048576),"",INDEX(Main!G$4:G$1048576,MATCH(ROW(A13),Main!$D$4:$D$1048576,0)))="",IF(M15="","",N14),IF(ROW(A13)&gt;MAX(Main!$D$4:$D$1048576),"",INDEX(Main!G$4:G$1048576,MATCH(ROW(A13),Main!$D$4:$D$1048576,0))))</f>
        <v/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/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/>
      </c>
      <c r="Q15" s="1" t="str">
        <f t="shared" si="2"/>
        <v/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/>
      </c>
      <c r="S15" s="9" t="str">
        <f>IF(ROW(G13)&gt;MAX(Main!$D$4:$D$1048576),"",INDEX(Main!K$4:K$1048576,MATCH(ROW(G13),Main!$D$4:$D$1048576,0)))</f>
        <v/>
      </c>
      <c r="T15" s="1" t="str">
        <f>IF(S15&lt;&gt;"",IF(ROW(G13)&gt;MAX(Main!$D$4:$D$1048576),"",INDEX(Main!N$4:N$1048576,MATCH(ROW(G13),Main!$D$4:$D$1048576,0))),"")</f>
        <v/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/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/>
      </c>
      <c r="C16" s="1" t="str">
        <f>IF(IF(ROW(A14)&gt;MAX(Main!$C$4:$C$1048576),"",INDEX(Main!G$4:G$1048576,MATCH(ROW(A14),Main!$C$4:$C$1048576,0)))="",IF(B16="","",C15),IF(ROW(A14)&gt;MAX(Main!$C$4:$C$1048576),"",INDEX(Main!G$4:G$1048576,MATCH(ROW(A14),Main!$C$4:$C$1048576,0))))</f>
        <v/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/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/>
      </c>
      <c r="F16" s="1" t="str">
        <f t="shared" si="0"/>
        <v/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/>
      </c>
      <c r="H16" s="10" t="str">
        <f>IF(ROW(G14)&gt;MAX(Main!$C$4:$C$1048576),"",INDEX(Main!K$4:K$1048576,MATCH(ROW(G14),Main!$C$4:$C$1048576,0)))</f>
        <v/>
      </c>
      <c r="I16" s="1" t="str">
        <f>IF(H16&lt;&gt;"",IF(ROW(G14)&gt;MAX(Main!$C$4:$C$1048576),"",INDEX(Main!N$4:N$1048576,MATCH(ROW(G14),Main!$C$4:$C$1048576,0))),"")</f>
        <v/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/>
      </c>
      <c r="K16" s="27" t="str">
        <f t="shared" si="1"/>
        <v>例目</v>
      </c>
      <c r="M16" s="4" t="str">
        <f>TEXT(IF(ROW(A14)&gt;MAX(Main!$D$4:$D$1048576),"",INDEX(Main!Q$4:Q$1048576,MATCH(ROW(A14),Main!$D$4:$D$1048576,0))), "yyyy/m/d")</f>
        <v/>
      </c>
      <c r="N16" s="1" t="str">
        <f>IF(IF(ROW(A14)&gt;MAX(Main!$D$4:$D$1048576),"",INDEX(Main!G$4:G$1048576,MATCH(ROW(A14),Main!$D$4:$D$1048576,0)))="",IF(M16="","",N15),IF(ROW(A14)&gt;MAX(Main!$D$4:$D$1048576),"",INDEX(Main!G$4:G$1048576,MATCH(ROW(A14),Main!$D$4:$D$1048576,0))))</f>
        <v/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/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/>
      </c>
      <c r="Q16" s="1" t="str">
        <f t="shared" si="2"/>
        <v/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/>
      </c>
      <c r="S16" s="9" t="str">
        <f>IF(ROW(G14)&gt;MAX(Main!$D$4:$D$1048576),"",INDEX(Main!K$4:K$1048576,MATCH(ROW(G14),Main!$D$4:$D$1048576,0)))</f>
        <v/>
      </c>
      <c r="T16" s="1" t="str">
        <f>IF(S16&lt;&gt;"",IF(ROW(G14)&gt;MAX(Main!$D$4:$D$1048576),"",INDEX(Main!N$4:N$1048576,MATCH(ROW(G14),Main!$D$4:$D$1048576,0))),"")</f>
        <v/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/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/>
      </c>
      <c r="C17" s="1" t="str">
        <f>IF(IF(ROW(A15)&gt;MAX(Main!$C$4:$C$1048576),"",INDEX(Main!G$4:G$1048576,MATCH(ROW(A15),Main!$C$4:$C$1048576,0)))="",IF(B17="","",C16),IF(ROW(A15)&gt;MAX(Main!$C$4:$C$1048576),"",INDEX(Main!G$4:G$1048576,MATCH(ROW(A15),Main!$C$4:$C$1048576,0))))</f>
        <v/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/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/>
      </c>
      <c r="F17" s="1" t="str">
        <f t="shared" si="0"/>
        <v/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/>
      </c>
      <c r="H17" s="10" t="str">
        <f>IF(ROW(G15)&gt;MAX(Main!$C$4:$C$1048576),"",INDEX(Main!K$4:K$1048576,MATCH(ROW(G15),Main!$C$4:$C$1048576,0)))</f>
        <v/>
      </c>
      <c r="I17" s="1" t="str">
        <f>IF(H17&lt;&gt;"",IF(ROW(G15)&gt;MAX(Main!$C$4:$C$1048576),"",INDEX(Main!N$4:N$1048576,MATCH(ROW(G15),Main!$C$4:$C$1048576,0))),"")</f>
        <v/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/>
      </c>
      <c r="K17" s="27" t="str">
        <f t="shared" si="1"/>
        <v>例目</v>
      </c>
      <c r="M17" s="4" t="str">
        <f>TEXT(IF(ROW(A15)&gt;MAX(Main!$D$4:$D$1048576),"",INDEX(Main!Q$4:Q$1048576,MATCH(ROW(A15),Main!$D$4:$D$1048576,0))), "yyyy/m/d")</f>
        <v/>
      </c>
      <c r="N17" s="1" t="str">
        <f>IF(IF(ROW(A15)&gt;MAX(Main!$D$4:$D$1048576),"",INDEX(Main!G$4:G$1048576,MATCH(ROW(A15),Main!$D$4:$D$1048576,0)))="",IF(M17="","",N16),IF(ROW(A15)&gt;MAX(Main!$D$4:$D$1048576),"",INDEX(Main!G$4:G$1048576,MATCH(ROW(A15),Main!$D$4:$D$1048576,0))))</f>
        <v/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/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/>
      </c>
      <c r="Q17" s="1" t="str">
        <f t="shared" si="2"/>
        <v/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/>
      </c>
      <c r="S17" s="9" t="str">
        <f>IF(ROW(G15)&gt;MAX(Main!$D$4:$D$1048576),"",INDEX(Main!K$4:K$1048576,MATCH(ROW(G15),Main!$D$4:$D$1048576,0)))</f>
        <v/>
      </c>
      <c r="T17" s="1" t="str">
        <f>IF(S17&lt;&gt;"",IF(ROW(G15)&gt;MAX(Main!$D$4:$D$1048576),"",INDEX(Main!N$4:N$1048576,MATCH(ROW(G15),Main!$D$4:$D$1048576,0))),"")</f>
        <v/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/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/>
      </c>
      <c r="C18" s="1" t="str">
        <f>IF(IF(ROW(A16)&gt;MAX(Main!$C$4:$C$1048576),"",INDEX(Main!G$4:G$1048576,MATCH(ROW(A16),Main!$C$4:$C$1048576,0)))="",IF(B18="","",C17),IF(ROW(A16)&gt;MAX(Main!$C$4:$C$1048576),"",INDEX(Main!G$4:G$1048576,MATCH(ROW(A16),Main!$C$4:$C$1048576,0))))</f>
        <v/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/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/>
      </c>
      <c r="F18" s="1" t="str">
        <f t="shared" si="0"/>
        <v/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/>
      </c>
      <c r="H18" s="10" t="str">
        <f>IF(ROW(G16)&gt;MAX(Main!$C$4:$C$1048576),"",INDEX(Main!K$4:K$1048576,MATCH(ROW(G16),Main!$C$4:$C$1048576,0)))</f>
        <v/>
      </c>
      <c r="I18" s="1" t="str">
        <f>IF(H18&lt;&gt;"",IF(ROW(G16)&gt;MAX(Main!$C$4:$C$1048576),"",INDEX(Main!N$4:N$1048576,MATCH(ROW(G16),Main!$C$4:$C$1048576,0))),"")</f>
        <v/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/>
      </c>
      <c r="K18" s="27" t="str">
        <f t="shared" si="1"/>
        <v>例目</v>
      </c>
      <c r="M18" s="4" t="str">
        <f>TEXT(IF(ROW(A16)&gt;MAX(Main!$D$4:$D$1048576),"",INDEX(Main!Q$4:Q$1048576,MATCH(ROW(A16),Main!$D$4:$D$1048576,0))), "yyyy/m/d")</f>
        <v/>
      </c>
      <c r="N18" s="1" t="str">
        <f>IF(IF(ROW(A16)&gt;MAX(Main!$D$4:$D$1048576),"",INDEX(Main!G$4:G$1048576,MATCH(ROW(A16),Main!$D$4:$D$1048576,0)))="",IF(M18="","",N17),IF(ROW(A16)&gt;MAX(Main!$D$4:$D$1048576),"",INDEX(Main!G$4:G$1048576,MATCH(ROW(A16),Main!$D$4:$D$1048576,0))))</f>
        <v/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/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/>
      </c>
      <c r="Q18" s="1" t="str">
        <f t="shared" si="2"/>
        <v/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/>
      </c>
      <c r="S18" s="9" t="str">
        <f>IF(ROW(G16)&gt;MAX(Main!$D$4:$D$1048576),"",INDEX(Main!K$4:K$1048576,MATCH(ROW(G16),Main!$D$4:$D$1048576,0)))</f>
        <v/>
      </c>
      <c r="T18" s="1" t="str">
        <f>IF(S18&lt;&gt;"",IF(ROW(G16)&gt;MAX(Main!$D$4:$D$1048576),"",INDEX(Main!N$4:N$1048576,MATCH(ROW(G16),Main!$D$4:$D$1048576,0))),"")</f>
        <v/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/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/>
      </c>
      <c r="C19" s="1" t="str">
        <f>IF(IF(ROW(A17)&gt;MAX(Main!$C$4:$C$1048576),"",INDEX(Main!G$4:G$1048576,MATCH(ROW(A17),Main!$C$4:$C$1048576,0)))="",IF(B19="","",C18),IF(ROW(A17)&gt;MAX(Main!$C$4:$C$1048576),"",INDEX(Main!G$4:G$1048576,MATCH(ROW(A17),Main!$C$4:$C$1048576,0))))</f>
        <v/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/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/>
      </c>
      <c r="F19" s="1" t="str">
        <f t="shared" si="0"/>
        <v/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/>
      </c>
      <c r="H19" s="10" t="str">
        <f>IF(ROW(G17)&gt;MAX(Main!$C$4:$C$1048576),"",INDEX(Main!K$4:K$1048576,MATCH(ROW(G17),Main!$C$4:$C$1048576,0)))</f>
        <v/>
      </c>
      <c r="I19" s="1" t="str">
        <f>IF(H19&lt;&gt;"",IF(ROW(G17)&gt;MAX(Main!$C$4:$C$1048576),"",INDEX(Main!N$4:N$1048576,MATCH(ROW(G17),Main!$C$4:$C$1048576,0))),"")</f>
        <v/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/>
      </c>
      <c r="K19" s="27" t="str">
        <f t="shared" si="1"/>
        <v>例目</v>
      </c>
      <c r="M19" s="4" t="str">
        <f>TEXT(IF(ROW(A17)&gt;MAX(Main!$D$4:$D$1048576),"",INDEX(Main!Q$4:Q$1048576,MATCH(ROW(A17),Main!$D$4:$D$1048576,0))), "yyyy/m/d")</f>
        <v/>
      </c>
      <c r="N19" s="1" t="str">
        <f>IF(IF(ROW(A17)&gt;MAX(Main!$D$4:$D$1048576),"",INDEX(Main!G$4:G$1048576,MATCH(ROW(A17),Main!$D$4:$D$1048576,0)))="",IF(M19="","",N18),IF(ROW(A17)&gt;MAX(Main!$D$4:$D$1048576),"",INDEX(Main!G$4:G$1048576,MATCH(ROW(A17),Main!$D$4:$D$1048576,0))))</f>
        <v/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/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/>
      </c>
      <c r="Q19" s="1" t="str">
        <f t="shared" si="2"/>
        <v/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/>
      </c>
      <c r="S19" s="9" t="str">
        <f>IF(ROW(G17)&gt;MAX(Main!$D$4:$D$1048576),"",INDEX(Main!K$4:K$1048576,MATCH(ROW(G17),Main!$D$4:$D$1048576,0)))</f>
        <v/>
      </c>
      <c r="T19" s="1" t="str">
        <f>IF(S19&lt;&gt;"",IF(ROW(G17)&gt;MAX(Main!$D$4:$D$1048576),"",INDEX(Main!N$4:N$1048576,MATCH(ROW(G17),Main!$D$4:$D$1048576,0))),"")</f>
        <v/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/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8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99999945001,
            "date": "2023/2/4",
            "label": "クラスターNo.945\n2023/2/4\n庄内町\n-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99999945002,
            "date": "2023/2/4",
            "label": "クラスターNo.945\n2023/2/4\n庄内町\n-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99999945003,
            "date": "2023/2/4",
            "label": "クラスターNo.945\n2023/2/4\n庄内町\n-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99999945004,
            "date": "2023/2/4",
            "label": "クラスターNo.945\n2023/2/4\n庄内町\n-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99999945005,
            "date": "2023/2/4",
            "label": "クラスターNo.945\n2023/2/4\n庄内町\n- ー"
        },
        "classes": ["multiline-manual", "else"]
    },
</v>
      </c>
    </row>
    <row r="18" spans="2:3" ht="150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99999945006,
            "date": "2023/2/4",
            "label": "クラスターNo.945\n2023/2/4\n庄内町\n- ー"
        },
        "classes": ["multiline-manual", "else"]
    },
</v>
      </c>
    </row>
    <row r="19" spans="2:3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99999945007,
            "date": "2023/2/4",
            "label": "クラスターNo.945\n2023/2/4\n庄内町\n- ー"
        },
        "classes": ["multiline-manual", "else"]
    },
</v>
      </c>
    </row>
    <row r="20" spans="2:3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 xml:space="preserve">    {
        "data": {
            "id": 99999945008,
            "date": "2023/2/4",
            "label": "クラスターNo.945\n2023/2/4\n庄内町\n- ー"
        },
        "classes": ["multiline-manual", "else"]
    }</v>
      </c>
    </row>
    <row r="21" spans="2:3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/>
      </c>
    </row>
    <row r="22" spans="2:3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/>
      </c>
    </row>
    <row r="23" spans="2:3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/>
      </c>
    </row>
    <row r="24" spans="2:3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/>
      </c>
    </row>
    <row r="25" spans="2:3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8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"99999945001",
            "target": "99999945001",
            "label": "介護施設"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"99999945002",
            "target": "99999945001",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"99999945003",
            "target": "99999945001",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"99999945004",
            "target": "99999945001",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"99999945005",
            "target": "99999945001",
            "label": "関連"
        }
    },
</v>
      </c>
    </row>
    <row r="17" spans="2:3" ht="131.25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"99999945006",
            "target": "99999945001",
            "label": "関連"
        }
    },
</v>
      </c>
    </row>
    <row r="18" spans="2:3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"99999945007",
            "target": "99999945001",
            "label": "関連"
        }
    },
</v>
      </c>
    </row>
    <row r="19" spans="2:3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 xml:space="preserve">    {
        "data": {
            "source": "99999945008",
            "target": "99999945001",
            "label": "関連"
        }
    }</v>
      </c>
    </row>
    <row r="20" spans="2:3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/>
      </c>
    </row>
    <row r="21" spans="2:3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/>
      </c>
    </row>
    <row r="22" spans="2:3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/>
      </c>
    </row>
    <row r="23" spans="2:3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/>
      </c>
    </row>
    <row r="24" spans="2:3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/>
      </c>
    </row>
    <row r="25" spans="2:3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E17" sqref="E17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"lastUpdate":"2023/2/5 04:08"}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2023-02-04T19:12:23Z</dcterms:modified>
</cp:coreProperties>
</file>