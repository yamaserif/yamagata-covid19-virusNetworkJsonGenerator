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1960DDC3-B4B5-40E8-B488-E94A45BC1E5B}" xr6:coauthVersionLast="47" xr6:coauthVersionMax="47" xr10:uidLastSave="{00000000-0000-0000-0000-000000000000}"/>
  <bookViews>
    <workbookView xWindow="390" yWindow="39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0" i="1" l="1"/>
  <c r="S10" i="1"/>
  <c r="G13" i="1"/>
  <c r="G11" i="1"/>
  <c r="I11" i="1" s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K24" i="1" l="1"/>
  <c r="M24" i="1" s="1" a="1"/>
  <c r="M24" i="1" s="1"/>
  <c r="O24" i="1" s="1"/>
  <c r="K13" i="1"/>
  <c r="G20" i="1"/>
  <c r="H20" i="1" s="1"/>
  <c r="K23" i="1"/>
  <c r="K26" i="1"/>
  <c r="M26" i="1" s="1" a="1"/>
  <c r="M26" i="1" s="1"/>
  <c r="O26" i="1" s="1"/>
  <c r="K27" i="1"/>
  <c r="K29" i="1"/>
  <c r="F59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J20" i="1" l="1"/>
  <c r="K20" i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54" i="3"/>
  <c r="E54" i="3" s="1"/>
  <c r="F54" i="3" s="1"/>
  <c r="C17" i="5" a="1"/>
  <c r="D166" i="3" l="1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32" i="3" l="1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3" i="4" a="1"/>
  <c r="C28" i="5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7" i="5" a="1"/>
  <c r="C42" i="4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54" i="5" a="1"/>
  <c r="C49" i="4" a="1"/>
  <c r="C54" i="5" l="1"/>
  <c r="C49" i="4"/>
  <c r="C50" i="4" a="1"/>
  <c r="C55" i="5" a="1"/>
  <c r="C50" i="4" l="1"/>
  <c r="C55" i="5"/>
  <c r="C51" i="4" a="1"/>
  <c r="C56" i="5" a="1"/>
  <c r="C56" i="5" l="1"/>
  <c r="C51" i="4"/>
  <c r="C52" i="4" a="1"/>
  <c r="C57" i="5" a="1"/>
  <c r="C52" i="4" l="1"/>
  <c r="C57" i="5"/>
  <c r="C58" i="5" a="1"/>
  <c r="C53" i="4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3" i="4" l="1"/>
  <c r="C68" i="5"/>
  <c r="C69" i="5" a="1"/>
  <c r="C64" i="4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75" i="4" a="1"/>
  <c r="C80" i="5" a="1"/>
  <c r="C75" i="4" l="1"/>
  <c r="C80" i="5"/>
  <c r="C76" i="4" a="1"/>
  <c r="C81" i="5" a="1"/>
  <c r="C81" i="5" l="1"/>
  <c r="C76" i="4"/>
  <c r="C82" i="5" a="1"/>
  <c r="C77" i="4" a="1"/>
  <c r="C77" i="4" l="1"/>
  <c r="C82" i="5"/>
  <c r="C78" i="4" a="1"/>
  <c r="C83" i="5" a="1"/>
  <c r="C83" i="5" l="1"/>
  <c r="C78" i="4"/>
  <c r="C79" i="4" a="1"/>
  <c r="C84" i="5" a="1"/>
  <c r="C79" i="4" l="1"/>
  <c r="C84" i="5"/>
  <c r="C80" i="4" a="1"/>
  <c r="C85" i="5" a="1"/>
  <c r="C85" i="5" l="1"/>
  <c r="C80" i="4"/>
  <c r="C86" i="5" a="1"/>
  <c r="C81" i="4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9" i="5" a="1"/>
  <c r="C94" i="4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98" i="4" a="1"/>
  <c r="C103" i="5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<sst xmlns="http://schemas.openxmlformats.org/spreadsheetml/2006/main" count="1249" uniqueCount="447">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</sst>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4" activePane="bottomLeft" state="frozen"/>
      <selection activeCell="E20" sqref="E20"/>
      <selection pane="bottomLeft" activeCell="R12" sqref="R12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99999906001</v>
      </c>
      <c r="G10" s="29">
        <f t="shared" si="2"/>
        <v>99999906001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99999906001医療機関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99999906001</v>
      </c>
      <c r="N10">
        <f>IF(L10&lt;&gt;"○",M10,INDEX(G$4:G9,MATCH(L10&amp;M10,F$4:F9,0)))</f>
        <v>99999906001</v>
      </c>
      <c r="O10" t="str">
        <f t="shared" si="8"/>
        <v>医療機関</v>
      </c>
      <c r="Q10" s="4">
        <v>44933</v>
      </c>
      <c r="S10" t="str">
        <f>$O$1&amp;
906&amp;
REPT("0",3-LEN(ROW($S1)))&amp;ROW($S1)</f>
        <v>99999906001</v>
      </c>
      <c r="T10" t="s">
        <v>50</v>
      </c>
      <c r="U10" t="s">
        <v>50</v>
      </c>
      <c r="V10" t="s">
        <v>446</v>
      </c>
      <c r="AB10" t="str">
        <f>$S$10&amp;"医療機関"</f>
        <v>99999906001医療機関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 t="str">
        <f>IF(G12="","",MAX(C$4:C11)+1)</f>
        <v/>
      </c>
      <c r="D12" t="str">
        <f>IF(AND(N12=""),"",MAX(D$4:D11)+1)</f>
        <v/>
      </c>
      <c r="F12" s="26" t="str">
        <f t="shared" si="1"/>
        <v/>
      </c>
      <c r="G12" s="29" t="str">
        <f t="shared" si="2"/>
        <v/>
      </c>
      <c r="H12" s="20" t="str">
        <f t="shared" si="3"/>
        <v/>
      </c>
      <c r="I12" s="20" t="str">
        <f t="shared" si="4"/>
        <v/>
      </c>
      <c r="J12" s="20" t="str">
        <f t="shared" si="5"/>
        <v/>
      </c>
      <c r="K12" s="31" t="str">
        <f t="shared" si="6"/>
        <v/>
      </c>
      <c r="L12" s="23" t="str">
        <f t="shared" si="7"/>
        <v/>
      </c>
      <c r="M12" t="str" cm="1">
        <f t="array" ref="M12">IF(COUNT(INDEX(FIND(ROW($1:$10)-1,K12),)),VALUE(MID(K12,MIN(SEARCH({1,2,3,4,5,6,7,8,9,0},K12&amp;1234567890)),LEN(K12)-(LENB(K12)-LEN(K12)))),"")</f>
        <v/>
      </c>
      <c r="N12" t="str">
        <f>IF(L12&lt;&gt;"○",M12,INDEX(G$4:G11,MATCH(L12&amp;M12,F$4:F11,0)))</f>
        <v/>
      </c>
      <c r="O12" t="str">
        <f t="shared" si="8"/>
        <v/>
      </c>
      <c r="Q12" s="4"/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2023/1/7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99999906001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99999906001医療機関</v>
      </c>
      <c r="I3" s="1">
        <f>IF(H3&lt;&gt;"",IF(ROW(G1)&gt;MAX(Main!$C$4:$C$1048576),"",INDEX(Main!N$4:N$1048576,MATCH(ROW(G1),Main!$C$4:$C$1048576,0))),"")</f>
        <v>99999906001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クラスターNo.906</v>
      </c>
      <c r="M3" s="4" t="str">
        <f>TEXT(IF(ROW(A1)&gt;MAX(Main!$D$4:$D$1048576),"",INDEX(Main!Q$4:Q$1048576,MATCH(ROW(A1),Main!$D$4:$D$1048576,0))), "yyyy/m/d")</f>
        <v>2023/1/7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99999906001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99999906001医療機関</v>
      </c>
      <c r="T3" s="1">
        <f>IF(S3&lt;&gt;"",IF(ROW(G1)&gt;MAX(Main!$D$4:$D$1048576),"",INDEX(Main!N$4:N$1048576,MATCH(ROW(G1),Main!$D$4:$D$1048576,0))),"")</f>
        <v>99999906001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/>
      </c>
      <c r="C4" s="1" t="str">
        <f>IF(IF(ROW(A2)&gt;MAX(Main!$C$4:$C$1048576),"",INDEX(Main!G$4:G$1048576,MATCH(ROW(A2),Main!$C$4:$C$1048576,0)))="",IF(B4="","",C3),IF(ROW(A2)&gt;MAX(Main!$C$4:$C$1048576),"",INDEX(Main!G$4:G$1048576,MATCH(ROW(A2),Main!$C$4:$C$1048576,0))))</f>
        <v/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/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/>
      </c>
      <c r="F4" s="1" t="str">
        <f t="shared" si="0"/>
        <v/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/>
      </c>
      <c r="H4" s="10" t="str">
        <f>IF(ROW(G2)&gt;MAX(Main!$C$4:$C$1048576),"",INDEX(Main!K$4:K$1048576,MATCH(ROW(G2),Main!$C$4:$C$1048576,0)))</f>
        <v/>
      </c>
      <c r="I4" s="1" t="str">
        <f>IF(H4&lt;&gt;"",IF(ROW(G2)&gt;MAX(Main!$C$4:$C$1048576),"",INDEX(Main!N$4:N$1048576,MATCH(ROW(G2),Main!$C$4:$C$1048576,0))),"")</f>
        <v/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/>
      </c>
      <c r="K4" s="27" t="str">
        <f t="shared" si="1"/>
        <v>例目</v>
      </c>
      <c r="M4" s="4" t="str">
        <f>TEXT(IF(ROW(A2)&gt;MAX(Main!$D$4:$D$1048576),"",INDEX(Main!Q$4:Q$1048576,MATCH(ROW(A2),Main!$D$4:$D$1048576,0))), "yyyy/m/d")</f>
        <v/>
      </c>
      <c r="N4" s="1" t="str">
        <f>IF(IF(ROW(A2)&gt;MAX(Main!$D$4:$D$1048576),"",INDEX(Main!G$4:G$1048576,MATCH(ROW(A2),Main!$D$4:$D$1048576,0)))="",IF(M4="","",N3),IF(ROW(A2)&gt;MAX(Main!$D$4:$D$1048576),"",INDEX(Main!G$4:G$1048576,MATCH(ROW(A2),Main!$D$4:$D$1048576,0))))</f>
        <v/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/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/>
      </c>
      <c r="Q4" s="1" t="str">
        <f t="shared" si="2"/>
        <v/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/>
      </c>
      <c r="S4" s="9" t="str">
        <f>IF(ROW(G2)&gt;MAX(Main!$D$4:$D$1048576),"",INDEX(Main!K$4:K$1048576,MATCH(ROW(G2),Main!$D$4:$D$1048576,0)))</f>
        <v/>
      </c>
      <c r="T4" s="1" t="str">
        <f>IF(S4&lt;&gt;"",IF(ROW(G2)&gt;MAX(Main!$D$4:$D$1048576),"",INDEX(Main!N$4:N$1048576,MATCH(ROW(G2),Main!$D$4:$D$1048576,0))),"")</f>
        <v/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/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99999906001,
            "date": "2023/1/7",
            "label": "クラスターNo.906\n2023/1/7\n山形市\n- ー"
        },
        "classes": ["multiline-manual", "else"]
    }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/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ht="150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"99999906001",
            "target": "99999906001",
            "label": "医療機関"
        }
    }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/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ht="131.25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"lastUpdate":"2023/1/7 20:59"}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2023-01-07T11:59:21Z</dcterms:modified>
</cp:coreProperties>
</file>