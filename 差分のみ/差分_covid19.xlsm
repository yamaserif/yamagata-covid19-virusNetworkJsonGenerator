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F7578DCB-1CA8-426D-AE7E-B1DA0AE46171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9" i="1" l="1"/>
  <c r="S28" i="1"/>
  <c r="S27" i="1"/>
  <c r="S26" i="1"/>
  <c r="S25" i="1"/>
  <c r="S24" i="1"/>
  <c r="S23" i="1"/>
  <c r="S22" i="1"/>
  <c r="S21" i="1"/>
  <c r="S20" i="1"/>
  <c r="AB26" i="1" s="1"/>
  <c r="S18" i="1"/>
  <c r="S17" i="1"/>
  <c r="S16" i="1"/>
  <c r="S15" i="1"/>
  <c r="S14" i="1"/>
  <c r="S13" i="1"/>
  <c r="S12" i="1"/>
  <c r="S11" i="1"/>
  <c r="AB18" i="1"/>
  <c r="AB17" i="1"/>
  <c r="AB16" i="1"/>
  <c r="AB15" i="1"/>
  <c r="AB14" i="1"/>
  <c r="AB13" i="1"/>
  <c r="AB11" i="1"/>
  <c r="S10" i="1"/>
  <c r="AB10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C121" i="1" s="1"/>
  <c r="G120" i="1"/>
  <c r="I120" i="1" s="1"/>
  <c r="G119" i="1"/>
  <c r="F119" i="1" s="1"/>
  <c r="C119" i="1"/>
  <c r="G118" i="1"/>
  <c r="C118" i="1" s="1"/>
  <c r="G117" i="1"/>
  <c r="C117" i="1" s="1"/>
  <c r="G116" i="1"/>
  <c r="F116" i="1" s="1"/>
  <c r="G115" i="1"/>
  <c r="J115" i="1" s="1"/>
  <c r="G114" i="1"/>
  <c r="C114" i="1"/>
  <c r="G113" i="1"/>
  <c r="K113" i="1" s="1"/>
  <c r="L113" i="1" s="1"/>
  <c r="G112" i="1"/>
  <c r="F112" i="1"/>
  <c r="G111" i="1"/>
  <c r="C111" i="1" s="1"/>
  <c r="G110" i="1"/>
  <c r="C110" i="1" s="1"/>
  <c r="G109" i="1"/>
  <c r="F109" i="1" s="1"/>
  <c r="G108" i="1"/>
  <c r="J108" i="1" s="1"/>
  <c r="G107" i="1"/>
  <c r="C107" i="1" s="1"/>
  <c r="G106" i="1"/>
  <c r="H106" i="1" s="1"/>
  <c r="G105" i="1"/>
  <c r="F105" i="1" s="1"/>
  <c r="G104" i="1"/>
  <c r="F104" i="1"/>
  <c r="C104" i="1"/>
  <c r="G103" i="1"/>
  <c r="F103" i="1"/>
  <c r="G102" i="1"/>
  <c r="J102" i="1" s="1"/>
  <c r="G101" i="1"/>
  <c r="G100" i="1"/>
  <c r="K100" i="1" s="1"/>
  <c r="G99" i="1"/>
  <c r="H99" i="1" s="1"/>
  <c r="G98" i="1"/>
  <c r="J98" i="1" s="1"/>
  <c r="F98" i="1"/>
  <c r="C98" i="1"/>
  <c r="G97" i="1"/>
  <c r="H97" i="1" s="1"/>
  <c r="F97" i="1"/>
  <c r="G96" i="1"/>
  <c r="C96" i="1" s="1"/>
  <c r="G95" i="1"/>
  <c r="J95" i="1" s="1"/>
  <c r="G94" i="1"/>
  <c r="C94" i="1" s="1"/>
  <c r="G93" i="1"/>
  <c r="F93" i="1" s="1"/>
  <c r="G92" i="1"/>
  <c r="I92" i="1" s="1"/>
  <c r="G91" i="1"/>
  <c r="C91" i="1" s="1"/>
  <c r="F91" i="1"/>
  <c r="G90" i="1"/>
  <c r="I90" i="1" s="1"/>
  <c r="G89" i="1"/>
  <c r="F89" i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C80" i="1" s="1"/>
  <c r="F80" i="1"/>
  <c r="G79" i="1"/>
  <c r="F79" i="1" s="1"/>
  <c r="G78" i="1"/>
  <c r="C78" i="1" s="1"/>
  <c r="F78" i="1"/>
  <c r="G77" i="1"/>
  <c r="F77" i="1"/>
  <c r="G76" i="1"/>
  <c r="F76" i="1" s="1"/>
  <c r="G75" i="1"/>
  <c r="G74" i="1"/>
  <c r="C74" i="1" s="1"/>
  <c r="F74" i="1"/>
  <c r="G73" i="1"/>
  <c r="F73" i="1" s="1"/>
  <c r="G72" i="1"/>
  <c r="I72" i="1" s="1"/>
  <c r="C72" i="1"/>
  <c r="G71" i="1"/>
  <c r="C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C64" i="1" s="1"/>
  <c r="F64" i="1"/>
  <c r="G63" i="1"/>
  <c r="F63" i="1" s="1"/>
  <c r="G62" i="1"/>
  <c r="G61" i="1"/>
  <c r="I61" i="1" s="1"/>
  <c r="G60" i="1"/>
  <c r="J60" i="1" s="1"/>
  <c r="F60" i="1"/>
  <c r="C60" i="1"/>
  <c r="G59" i="1"/>
  <c r="I59" i="1" s="1"/>
  <c r="F59" i="1"/>
  <c r="C59" i="1"/>
  <c r="G58" i="1"/>
  <c r="G57" i="1"/>
  <c r="F57" i="1" s="1"/>
  <c r="C57" i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C41" i="1" s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/>
  <c r="G29" i="1"/>
  <c r="F29" i="1"/>
  <c r="G28" i="1"/>
  <c r="G27" i="1"/>
  <c r="F27" i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15" i="1"/>
  <c r="J15" i="1" s="1"/>
  <c r="G13" i="1"/>
  <c r="G11" i="1"/>
  <c r="I11" i="1" s="1"/>
  <c r="G9" i="1"/>
  <c r="C9" i="1" s="1"/>
  <c r="G200" i="1"/>
  <c r="I200" i="1" s="1"/>
  <c r="AB27" i="1" l="1"/>
  <c r="AB12" i="1"/>
  <c r="AB28" i="1"/>
  <c r="AB29" i="1"/>
  <c r="K29" i="1" s="1"/>
  <c r="AB20" i="1"/>
  <c r="AB21" i="1"/>
  <c r="AB22" i="1"/>
  <c r="K22" i="1" s="1"/>
  <c r="L22" i="1" s="1"/>
  <c r="AB23" i="1"/>
  <c r="K23" i="1" s="1"/>
  <c r="AB24" i="1"/>
  <c r="K24" i="1" s="1"/>
  <c r="M24" i="1" s="1" a="1"/>
  <c r="M24" i="1" s="1"/>
  <c r="O24" i="1" s="1"/>
  <c r="AB25" i="1"/>
  <c r="K39" i="1"/>
  <c r="M39" i="1" s="1" a="1"/>
  <c r="M39" i="1" s="1"/>
  <c r="O39" i="1" s="1"/>
  <c r="K45" i="1"/>
  <c r="F49" i="1"/>
  <c r="K26" i="1"/>
  <c r="M26" i="1" s="1" a="1"/>
  <c r="M26" i="1" s="1"/>
  <c r="O26" i="1" s="1"/>
  <c r="F51" i="1"/>
  <c r="K27" i="1"/>
  <c r="F44" i="1"/>
  <c r="F34" i="1"/>
  <c r="C90" i="1"/>
  <c r="J164" i="1"/>
  <c r="K164" i="1"/>
  <c r="L164" i="1" s="1"/>
  <c r="F190" i="1"/>
  <c r="C197" i="1"/>
  <c r="C85" i="1"/>
  <c r="I144" i="1"/>
  <c r="C153" i="1"/>
  <c r="J159" i="1"/>
  <c r="C191" i="1"/>
  <c r="F85" i="1"/>
  <c r="C92" i="1"/>
  <c r="K36" i="1"/>
  <c r="M36" i="1" s="1" a="1"/>
  <c r="M36" i="1" s="1"/>
  <c r="O36" i="1" s="1"/>
  <c r="J59" i="1"/>
  <c r="I65" i="1"/>
  <c r="F72" i="1"/>
  <c r="F92" i="1"/>
  <c r="C106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J81" i="1"/>
  <c r="J61" i="1"/>
  <c r="I124" i="1"/>
  <c r="H110" i="1"/>
  <c r="J124" i="1"/>
  <c r="L189" i="1"/>
  <c r="N189" i="1" s="1"/>
  <c r="D189" i="1" s="1"/>
  <c r="I110" i="1"/>
  <c r="J21" i="1"/>
  <c r="K21" i="1"/>
  <c r="M21" i="1" s="1" a="1"/>
  <c r="M21" i="1" s="1"/>
  <c r="O21" i="1" s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C66" i="1"/>
  <c r="C99" i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35" i="1"/>
  <c r="L35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1" i="1"/>
  <c r="C65" i="1"/>
  <c r="F69" i="1"/>
  <c r="J97" i="1"/>
  <c r="C116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K15" i="1"/>
  <c r="M15" i="1" s="1" a="1"/>
  <c r="M15" i="1" s="1"/>
  <c r="O15" i="1" s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C115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K19" i="1"/>
  <c r="M19" i="1" s="1" a="1"/>
  <c r="M19" i="1" s="1"/>
  <c r="O19" i="1" s="1"/>
  <c r="I80" i="1"/>
  <c r="I94" i="1"/>
  <c r="J100" i="1"/>
  <c r="F115" i="1"/>
  <c r="H123" i="1"/>
  <c r="F123" i="1"/>
  <c r="C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D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K16" i="1"/>
  <c r="L16" i="1" s="1"/>
  <c r="I27" i="1"/>
  <c r="J27" i="1"/>
  <c r="K80" i="1"/>
  <c r="F86" i="1"/>
  <c r="C86" i="1"/>
  <c r="K94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C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C63" i="1"/>
  <c r="C100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C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C108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M113" i="1" a="1"/>
  <c r="M113" i="1" s="1"/>
  <c r="O113" i="1" s="1"/>
  <c r="K172" i="1"/>
  <c r="J199" i="1"/>
  <c r="I62" i="1"/>
  <c r="F62" i="1"/>
  <c r="J62" i="1"/>
  <c r="H62" i="1"/>
  <c r="K75" i="1"/>
  <c r="H75" i="1"/>
  <c r="C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N183" i="1" s="1"/>
  <c r="D183" i="1" s="1"/>
  <c r="J103" i="1"/>
  <c r="K103" i="1"/>
  <c r="C103" i="1"/>
  <c r="H137" i="1"/>
  <c r="K66" i="1"/>
  <c r="J66" i="1"/>
  <c r="I66" i="1"/>
  <c r="H66" i="1"/>
  <c r="J71" i="1"/>
  <c r="K87" i="1"/>
  <c r="H87" i="1"/>
  <c r="C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32" i="1"/>
  <c r="K43" i="1"/>
  <c r="J43" i="1"/>
  <c r="H54" i="1"/>
  <c r="K71" i="1"/>
  <c r="C83" i="1"/>
  <c r="K83" i="1"/>
  <c r="H83" i="1"/>
  <c r="I87" i="1"/>
  <c r="K101" i="1"/>
  <c r="H101" i="1"/>
  <c r="J101" i="1"/>
  <c r="F101" i="1"/>
  <c r="C101" i="1"/>
  <c r="I103" i="1"/>
  <c r="K112" i="1"/>
  <c r="J112" i="1"/>
  <c r="I112" i="1"/>
  <c r="C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C67" i="1"/>
  <c r="K67" i="1"/>
  <c r="I83" i="1"/>
  <c r="J87" i="1"/>
  <c r="I101" i="1"/>
  <c r="H112" i="1"/>
  <c r="H114" i="1"/>
  <c r="I32" i="1"/>
  <c r="I43" i="1"/>
  <c r="C55" i="1"/>
  <c r="F55" i="1"/>
  <c r="H67" i="1"/>
  <c r="H79" i="1"/>
  <c r="I79" i="1"/>
  <c r="K79" i="1"/>
  <c r="J79" i="1"/>
  <c r="C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K96" i="1"/>
  <c r="F96" i="1"/>
  <c r="J96" i="1"/>
  <c r="I96" i="1"/>
  <c r="M200" i="1" a="1"/>
  <c r="M200" i="1" s="1"/>
  <c r="O200" i="1" s="1"/>
  <c r="K54" i="1"/>
  <c r="J54" i="1"/>
  <c r="H93" i="1"/>
  <c r="C93" i="1"/>
  <c r="J70" i="1"/>
  <c r="C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C33" i="1"/>
  <c r="K41" i="1"/>
  <c r="J41" i="1"/>
  <c r="I41" i="1"/>
  <c r="H41" i="1"/>
  <c r="K44" i="1"/>
  <c r="L49" i="1"/>
  <c r="N49" i="1" s="1"/>
  <c r="C62" i="1"/>
  <c r="L93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C89" i="1"/>
  <c r="C109" i="1"/>
  <c r="K109" i="1"/>
  <c r="H109" i="1"/>
  <c r="J109" i="1"/>
  <c r="K111" i="1"/>
  <c r="F111" i="1"/>
  <c r="K119" i="1"/>
  <c r="H119" i="1"/>
  <c r="I194" i="1"/>
  <c r="H194" i="1"/>
  <c r="F194" i="1"/>
  <c r="C194" i="1"/>
  <c r="J194" i="1"/>
  <c r="H28" i="1"/>
  <c r="H40" i="1"/>
  <c r="C48" i="1"/>
  <c r="H52" i="1"/>
  <c r="J58" i="1"/>
  <c r="F58" i="1"/>
  <c r="K74" i="1"/>
  <c r="H74" i="1"/>
  <c r="J77" i="1"/>
  <c r="H77" i="1"/>
  <c r="C77" i="1"/>
  <c r="K82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C68" i="1"/>
  <c r="K69" i="1"/>
  <c r="C69" i="1"/>
  <c r="C73" i="1"/>
  <c r="I74" i="1"/>
  <c r="C76" i="1"/>
  <c r="I77" i="1"/>
  <c r="I82" i="1"/>
  <c r="C88" i="1"/>
  <c r="J89" i="1"/>
  <c r="H92" i="1"/>
  <c r="K98" i="1"/>
  <c r="H98" i="1"/>
  <c r="K102" i="1"/>
  <c r="I102" i="1"/>
  <c r="H105" i="1"/>
  <c r="C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C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C120" i="1"/>
  <c r="F120" i="1"/>
  <c r="I122" i="1"/>
  <c r="H122" i="1"/>
  <c r="F122" i="1"/>
  <c r="C122" i="1"/>
  <c r="J138" i="1"/>
  <c r="H9" i="1"/>
  <c r="H11" i="1"/>
  <c r="H13" i="1"/>
  <c r="H16" i="1"/>
  <c r="K73" i="1"/>
  <c r="H73" i="1"/>
  <c r="J73" i="1"/>
  <c r="I73" i="1"/>
  <c r="K76" i="1"/>
  <c r="H76" i="1"/>
  <c r="F81" i="1"/>
  <c r="K81" i="1"/>
  <c r="H81" i="1"/>
  <c r="K84" i="1"/>
  <c r="H84" i="1"/>
  <c r="C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C113" i="1"/>
  <c r="I118" i="1"/>
  <c r="F118" i="1"/>
  <c r="K167" i="1"/>
  <c r="I167" i="1"/>
  <c r="J167" i="1"/>
  <c r="C9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27" i="1" l="1" a="1"/>
  <c r="M27" i="1" s="1"/>
  <c r="O27" i="1" s="1"/>
  <c r="L27" i="1"/>
  <c r="N27" i="1" s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D117" i="1" s="1"/>
  <c r="M9" i="1" a="1"/>
  <c r="M9" i="1" s="1"/>
  <c r="O9" i="1" s="1"/>
  <c r="N113" i="1"/>
  <c r="D113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D123" i="1" s="1"/>
  <c r="L15" i="1"/>
  <c r="N15" i="1" s="1"/>
  <c r="L55" i="1"/>
  <c r="N55" i="1" s="1"/>
  <c r="D55" i="1" s="1"/>
  <c r="M22" i="1" a="1"/>
  <c r="M22" i="1" s="1"/>
  <c r="O22" i="1" s="1"/>
  <c r="L38" i="1"/>
  <c r="N38" i="1" s="1"/>
  <c r="M59" i="1" a="1"/>
  <c r="M59" i="1" s="1"/>
  <c r="N59" i="1" s="1"/>
  <c r="D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D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D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D93" i="1" s="1"/>
  <c r="M78" i="1" a="1"/>
  <c r="M78" i="1" s="1"/>
  <c r="O78" i="1" s="1"/>
  <c r="M46" i="1" a="1"/>
  <c r="M46" i="1" s="1"/>
  <c r="O46" i="1" s="1"/>
  <c r="L46" i="1"/>
  <c r="N46" i="1" s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N106" i="1" s="1"/>
  <c r="D106" i="1" s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N80" i="1" s="1"/>
  <c r="D80" i="1" s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N173" i="1" s="1"/>
  <c r="D173" i="1" s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N135" i="1"/>
  <c r="D135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N110" i="1" s="1"/>
  <c r="D110" i="1" s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D104" i="1" s="1"/>
  <c r="M175" i="1" a="1"/>
  <c r="M175" i="1" s="1"/>
  <c r="O175" i="1" s="1"/>
  <c r="L175" i="1"/>
  <c r="N175" i="1" s="1"/>
  <c r="D175" i="1" s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N132" i="1" s="1"/>
  <c r="D132" i="1" s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N35" i="1"/>
  <c r="L179" i="1"/>
  <c r="M179" i="1" a="1"/>
  <c r="M179" i="1" s="1"/>
  <c r="O179" i="1" s="1"/>
  <c r="M97" i="1" a="1"/>
  <c r="M97" i="1" s="1"/>
  <c r="O97" i="1" s="1"/>
  <c r="L97" i="1"/>
  <c r="N97" i="1" s="1"/>
  <c r="D97" i="1" s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N137" i="1" s="1"/>
  <c r="D137" i="1" s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N96" i="1" s="1"/>
  <c r="D96" i="1" s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N56" i="1"/>
  <c r="N68" i="1"/>
  <c r="D68" i="1" s="1"/>
  <c r="L75" i="1"/>
  <c r="M75" i="1" a="1"/>
  <c r="M75" i="1" s="1"/>
  <c r="O75" i="1" s="1"/>
  <c r="AB5" i="1"/>
  <c r="AB6" i="1"/>
  <c r="N45" i="1" l="1"/>
  <c r="N9" i="1"/>
  <c r="D9" i="1" s="1"/>
  <c r="N29" i="1"/>
  <c r="N83" i="1"/>
  <c r="D83" i="1" s="1"/>
  <c r="N180" i="1"/>
  <c r="D180" i="1" s="1"/>
  <c r="N53" i="1"/>
  <c r="N86" i="1"/>
  <c r="D86" i="1" s="1"/>
  <c r="N31" i="1"/>
  <c r="N57" i="1"/>
  <c r="D57" i="1" s="1"/>
  <c r="N111" i="1"/>
  <c r="D111" i="1" s="1"/>
  <c r="N63" i="1"/>
  <c r="D63" i="1" s="1"/>
  <c r="N22" i="1"/>
  <c r="N74" i="1"/>
  <c r="D74" i="1" s="1"/>
  <c r="N88" i="1"/>
  <c r="D88" i="1" s="1"/>
  <c r="N50" i="1"/>
  <c r="O59" i="1"/>
  <c r="N127" i="1"/>
  <c r="D127" i="1" s="1"/>
  <c r="N16" i="1"/>
  <c r="N163" i="1"/>
  <c r="D163" i="1" s="1"/>
  <c r="N67" i="1"/>
  <c r="D67" i="1" s="1"/>
  <c r="N107" i="1"/>
  <c r="D107" i="1" s="1"/>
  <c r="N52" i="1"/>
  <c r="N118" i="1"/>
  <c r="D118" i="1" s="1"/>
  <c r="N148" i="1"/>
  <c r="D148" i="1" s="1"/>
  <c r="O11" i="1"/>
  <c r="N11" i="1"/>
  <c r="N78" i="1"/>
  <c r="D78" i="1" s="1"/>
  <c r="N20" i="1"/>
  <c r="N95" i="1"/>
  <c r="D95" i="1" s="1"/>
  <c r="N166" i="1"/>
  <c r="D166" i="1" s="1"/>
  <c r="N121" i="1"/>
  <c r="D121" i="1" s="1"/>
  <c r="N129" i="1"/>
  <c r="D129" i="1" s="1"/>
  <c r="N28" i="1"/>
  <c r="N54" i="1"/>
  <c r="N124" i="1"/>
  <c r="D124" i="1" s="1"/>
  <c r="N75" i="1"/>
  <c r="D75" i="1" s="1"/>
  <c r="N120" i="1"/>
  <c r="D120" i="1" s="1"/>
  <c r="N85" i="1"/>
  <c r="D85" i="1" s="1"/>
  <c r="N71" i="1"/>
  <c r="D71" i="1" s="1"/>
  <c r="N155" i="1"/>
  <c r="D155" i="1" s="1"/>
  <c r="N108" i="1"/>
  <c r="D108" i="1" s="1"/>
  <c r="N105" i="1"/>
  <c r="D105" i="1" s="1"/>
  <c r="N43" i="1"/>
  <c r="N154" i="1"/>
  <c r="D154" i="1" s="1"/>
  <c r="N99" i="1"/>
  <c r="D99" i="1" s="1"/>
  <c r="N198" i="1"/>
  <c r="D198" i="1" s="1"/>
  <c r="N162" i="1"/>
  <c r="D162" i="1" s="1"/>
  <c r="N60" i="1"/>
  <c r="D60" i="1" s="1"/>
  <c r="N125" i="1"/>
  <c r="D125" i="1" s="1"/>
  <c r="N70" i="1"/>
  <c r="D70" i="1" s="1"/>
  <c r="N156" i="1"/>
  <c r="D156" i="1" s="1"/>
  <c r="N81" i="1"/>
  <c r="D81" i="1" s="1"/>
  <c r="N58" i="1"/>
  <c r="N146" i="1"/>
  <c r="D146" i="1" s="1"/>
  <c r="N72" i="1"/>
  <c r="D72" i="1" s="1"/>
  <c r="N92" i="1"/>
  <c r="D92" i="1" s="1"/>
  <c r="N34" i="1"/>
  <c r="N23" i="1"/>
  <c r="N18" i="1"/>
  <c r="N13" i="1"/>
  <c r="N66" i="1"/>
  <c r="D66" i="1" s="1"/>
  <c r="N41" i="1"/>
  <c r="D41" i="1" s="1"/>
  <c r="N62" i="1"/>
  <c r="D62" i="1" s="1"/>
  <c r="N168" i="1"/>
  <c r="D168" i="1" s="1"/>
  <c r="N144" i="1"/>
  <c r="D144" i="1" s="1"/>
  <c r="N160" i="1"/>
  <c r="D160" i="1" s="1"/>
  <c r="N94" i="1"/>
  <c r="D94" i="1" s="1"/>
  <c r="N91" i="1"/>
  <c r="D91" i="1" s="1"/>
  <c r="N197" i="1"/>
  <c r="D197" i="1" s="1"/>
  <c r="N48" i="1"/>
  <c r="D48" i="1" s="1"/>
  <c r="N172" i="1"/>
  <c r="D172" i="1" s="1"/>
  <c r="N194" i="1"/>
  <c r="D194" i="1" s="1"/>
  <c r="N112" i="1"/>
  <c r="D112" i="1" s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D116" i="1" s="1"/>
  <c r="N152" i="1"/>
  <c r="D152" i="1" s="1"/>
  <c r="N84" i="1"/>
  <c r="D84" i="1" s="1"/>
  <c r="N191" i="1"/>
  <c r="D191" i="1" s="1"/>
  <c r="N90" i="1"/>
  <c r="D90" i="1" s="1"/>
  <c r="N187" i="1"/>
  <c r="D187" i="1" s="1"/>
  <c r="N79" i="1"/>
  <c r="D79" i="1" s="1"/>
  <c r="N161" i="1"/>
  <c r="D161" i="1" s="1"/>
  <c r="N179" i="1"/>
  <c r="D179" i="1" s="1"/>
  <c r="N151" i="1"/>
  <c r="D151" i="1" s="1"/>
  <c r="N101" i="1"/>
  <c r="D101" i="1" s="1"/>
  <c r="N141" i="1"/>
  <c r="D141" i="1" s="1"/>
  <c r="N165" i="1"/>
  <c r="D165" i="1" s="1"/>
  <c r="N186" i="1"/>
  <c r="D186" i="1" s="1"/>
  <c r="N76" i="1"/>
  <c r="D76" i="1" s="1"/>
  <c r="N102" i="1"/>
  <c r="D102" i="1" s="1"/>
  <c r="N167" i="1"/>
  <c r="D167" i="1" s="1"/>
  <c r="N174" i="1"/>
  <c r="D174" i="1" s="1"/>
  <c r="N32" i="1"/>
  <c r="N188" i="1"/>
  <c r="D188" i="1" s="1"/>
  <c r="N109" i="1"/>
  <c r="D109" i="1" s="1"/>
  <c r="N87" i="1"/>
  <c r="D87" i="1" s="1"/>
  <c r="N192" i="1"/>
  <c r="D192" i="1" s="1"/>
  <c r="N150" i="1"/>
  <c r="D150" i="1" s="1"/>
  <c r="N89" i="1"/>
  <c r="D89" i="1" s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D115" i="1" s="1"/>
  <c r="N103" i="1"/>
  <c r="D103" i="1" s="1"/>
  <c r="N119" i="1"/>
  <c r="D119" i="1" s="1"/>
  <c r="N138" i="1"/>
  <c r="D138" i="1" s="1"/>
  <c r="N69" i="1"/>
  <c r="D69" i="1" s="1"/>
  <c r="N143" i="1"/>
  <c r="D143" i="1" s="1"/>
  <c r="N77" i="1"/>
  <c r="D77" i="1" s="1"/>
  <c r="N199" i="1"/>
  <c r="D199" i="1" s="1"/>
  <c r="N65" i="1"/>
  <c r="D65" i="1" s="1"/>
  <c r="N128" i="1"/>
  <c r="D128" i="1" s="1"/>
  <c r="N114" i="1"/>
  <c r="D114" i="1" s="1"/>
  <c r="N73" i="1"/>
  <c r="D73" i="1" s="1"/>
  <c r="N98" i="1"/>
  <c r="D98" i="1" s="1"/>
  <c r="N82" i="1"/>
  <c r="D82" i="1" s="1"/>
  <c r="N158" i="1"/>
  <c r="D158" i="1" s="1"/>
  <c r="I12" i="1"/>
  <c r="H12" i="1"/>
  <c r="F12" i="1"/>
  <c r="J12" i="1"/>
  <c r="K12" i="1"/>
  <c r="N33" i="1"/>
  <c r="D33" i="1" s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3" i="1"/>
  <c r="D12" i="1"/>
  <c r="C14" i="1" l="1"/>
  <c r="C15" i="1" s="1"/>
  <c r="C16" i="1" s="1"/>
  <c r="D13" i="1"/>
  <c r="D14" i="1" l="1"/>
  <c r="D15" i="1"/>
  <c r="C17" i="1"/>
  <c r="C18" i="1" l="1"/>
  <c r="D16" i="1"/>
  <c r="D17" i="1" l="1"/>
  <c r="C19" i="1"/>
  <c r="C20" i="1" l="1"/>
  <c r="C21" i="1" s="1"/>
  <c r="D18" i="1"/>
  <c r="C22" i="1" l="1"/>
  <c r="D19" i="1"/>
  <c r="C23" i="1"/>
  <c r="D20" i="1" l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4" i="1" s="1"/>
  <c r="D35" i="1" s="1"/>
  <c r="D36" i="1" s="1"/>
  <c r="D37" i="1" s="1"/>
  <c r="D38" i="1" s="1"/>
  <c r="D39" i="1" s="1"/>
  <c r="D40" i="1" s="1"/>
  <c r="D42" i="1" s="1"/>
  <c r="D43" i="1" s="1"/>
  <c r="D44" i="1" s="1"/>
  <c r="D45" i="1" s="1"/>
  <c r="D46" i="1" s="1"/>
  <c r="D47" i="1" s="1"/>
  <c r="D49" i="1" s="1"/>
  <c r="D50" i="1" s="1"/>
  <c r="D51" i="1" s="1"/>
  <c r="D52" i="1" s="1"/>
  <c r="D53" i="1" s="1"/>
  <c r="D54" i="1" s="1"/>
  <c r="D56" i="1" s="1"/>
  <c r="D58" i="1" s="1"/>
  <c r="R8" i="3" l="1"/>
  <c r="O3" i="3"/>
  <c r="M106" i="3"/>
  <c r="N106" i="3" s="1"/>
  <c r="O106" i="3" s="1"/>
  <c r="P106" i="3" s="1"/>
  <c r="M33" i="3"/>
  <c r="N33" i="3" s="1"/>
  <c r="O33" i="3" s="1"/>
  <c r="P33" i="3" s="1"/>
  <c r="Q33" i="3" s="1"/>
  <c r="M50" i="3"/>
  <c r="N50" i="3" s="1"/>
  <c r="O50" i="3" s="1"/>
  <c r="P50" i="3" s="1"/>
  <c r="Q50" i="3" s="1"/>
  <c r="S177" i="3"/>
  <c r="T177" i="3" s="1"/>
  <c r="U177" i="3" s="1"/>
  <c r="S67" i="3"/>
  <c r="T67" i="3" s="1"/>
  <c r="M91" i="3"/>
  <c r="N91" i="3" s="1"/>
  <c r="O91" i="3" s="1"/>
  <c r="P91" i="3" s="1"/>
  <c r="Q91" i="3" s="1"/>
  <c r="S7" i="3"/>
  <c r="T7" i="3" s="1"/>
  <c r="U7" i="3" s="1"/>
  <c r="S58" i="3"/>
  <c r="T58" i="3" s="1"/>
  <c r="U58" i="3" s="1"/>
  <c r="M78" i="3"/>
  <c r="N78" i="3" s="1"/>
  <c r="O78" i="3" s="1"/>
  <c r="P78" i="3" s="1"/>
  <c r="Q78" i="3" s="1"/>
  <c r="S129" i="3"/>
  <c r="T129" i="3" s="1"/>
  <c r="U129" i="3" s="1"/>
  <c r="M139" i="3"/>
  <c r="N139" i="3" s="1"/>
  <c r="O139" i="3" s="1"/>
  <c r="P139" i="3" s="1"/>
  <c r="Q139" i="3" s="1"/>
  <c r="M72" i="3"/>
  <c r="N72" i="3" s="1"/>
  <c r="O72" i="3" s="1"/>
  <c r="P72" i="3" s="1"/>
  <c r="U3" i="3"/>
  <c r="S86" i="3"/>
  <c r="T86" i="3" s="1"/>
  <c r="U86" i="3" s="1"/>
  <c r="M48" i="3"/>
  <c r="N48" i="3" s="1"/>
  <c r="O48" i="3" s="1"/>
  <c r="P48" i="3" s="1"/>
  <c r="Q48" i="3" s="1"/>
  <c r="R11" i="3"/>
  <c r="M32" i="3"/>
  <c r="N32" i="3" s="1"/>
  <c r="O32" i="3" s="1"/>
  <c r="P32" i="3" s="1"/>
  <c r="Q32" i="3" s="1"/>
  <c r="M61" i="3"/>
  <c r="N61" i="3" s="1"/>
  <c r="O61" i="3" s="1"/>
  <c r="P61" i="3" s="1"/>
  <c r="M144" i="3"/>
  <c r="N144" i="3" s="1"/>
  <c r="O144" i="3" s="1"/>
  <c r="P144" i="3" s="1"/>
  <c r="Q144" i="3" s="1"/>
  <c r="S181" i="3"/>
  <c r="T181" i="3" s="1"/>
  <c r="U181" i="3" s="1"/>
  <c r="M90" i="3"/>
  <c r="N90" i="3" s="1"/>
  <c r="O90" i="3" s="1"/>
  <c r="P90" i="3" s="1"/>
  <c r="Q90" i="3" s="1"/>
  <c r="S194" i="3"/>
  <c r="T194" i="3" s="1"/>
  <c r="U194" i="3" s="1"/>
  <c r="S132" i="3"/>
  <c r="T132" i="3" s="1"/>
  <c r="U132" i="3" s="1"/>
  <c r="S145" i="3"/>
  <c r="T145" i="3" s="1"/>
  <c r="U145" i="3" s="1"/>
  <c r="M88" i="3"/>
  <c r="N88" i="3" s="1"/>
  <c r="O88" i="3" s="1"/>
  <c r="P88" i="3" s="1"/>
  <c r="Q88" i="3" s="1"/>
  <c r="M6" i="3"/>
  <c r="N6" i="3" s="1"/>
  <c r="M102" i="3"/>
  <c r="N102" i="3" s="1"/>
  <c r="O102" i="3" s="1"/>
  <c r="P102" i="3" s="1"/>
  <c r="Q102" i="3" s="1"/>
  <c r="M169" i="3"/>
  <c r="N169" i="3" s="1"/>
  <c r="O169" i="3" s="1"/>
  <c r="P169" i="3" s="1"/>
  <c r="Q169" i="3" s="1"/>
  <c r="M10" i="3"/>
  <c r="N10" i="3" s="1"/>
  <c r="S84" i="3"/>
  <c r="T84" i="3" s="1"/>
  <c r="U84" i="3" s="1"/>
  <c r="M111" i="3"/>
  <c r="N111" i="3" s="1"/>
  <c r="O111" i="3" s="1"/>
  <c r="P111" i="3" s="1"/>
  <c r="Q111" i="3" s="1"/>
  <c r="S156" i="3"/>
  <c r="T156" i="3" s="1"/>
  <c r="U156" i="3" s="1"/>
  <c r="S165" i="3"/>
  <c r="T165" i="3" s="1"/>
  <c r="U165" i="3" s="1"/>
  <c r="M172" i="3"/>
  <c r="N172" i="3" s="1"/>
  <c r="O172" i="3" s="1"/>
  <c r="P172" i="3" s="1"/>
  <c r="Q172" i="3" s="1"/>
  <c r="M100" i="3"/>
  <c r="N100" i="3" s="1"/>
  <c r="O100" i="3" s="1"/>
  <c r="P100" i="3" s="1"/>
  <c r="Q100" i="3" s="1"/>
  <c r="S126" i="3"/>
  <c r="T126" i="3" s="1"/>
  <c r="U126" i="3" s="1"/>
  <c r="M103" i="3"/>
  <c r="N103" i="3" s="1"/>
  <c r="O103" i="3" s="1"/>
  <c r="P103" i="3" s="1"/>
  <c r="Q103" i="3" s="1"/>
  <c r="M189" i="3"/>
  <c r="N189" i="3" s="1"/>
  <c r="O189" i="3" s="1"/>
  <c r="P189" i="3" s="1"/>
  <c r="Q189" i="3" s="1"/>
  <c r="M14" i="3"/>
  <c r="N14" i="3" s="1"/>
  <c r="M11" i="3"/>
  <c r="N11" i="3" s="1"/>
  <c r="M53" i="3"/>
  <c r="N53" i="3" s="1"/>
  <c r="O53" i="3" s="1"/>
  <c r="P53" i="3" s="1"/>
  <c r="Q53" i="3" s="1"/>
  <c r="S173" i="3"/>
  <c r="T173" i="3" s="1"/>
  <c r="U173" i="3" s="1"/>
  <c r="M31" i="3"/>
  <c r="N31" i="3" s="1"/>
  <c r="O31" i="3" s="1"/>
  <c r="P31" i="3" s="1"/>
  <c r="Q31" i="3" s="1"/>
  <c r="M168" i="3"/>
  <c r="N168" i="3" s="1"/>
  <c r="O168" i="3" s="1"/>
  <c r="P168" i="3" s="1"/>
  <c r="Q168" i="3" s="1"/>
  <c r="M183" i="3"/>
  <c r="N183" i="3" s="1"/>
  <c r="O183" i="3" s="1"/>
  <c r="P183" i="3" s="1"/>
  <c r="Q183" i="3" s="1"/>
  <c r="S89" i="3"/>
  <c r="T89" i="3" s="1"/>
  <c r="U89" i="3" s="1"/>
  <c r="S82" i="3"/>
  <c r="T82" i="3" s="1"/>
  <c r="U82" i="3" s="1"/>
  <c r="U4" i="3"/>
  <c r="S57" i="3"/>
  <c r="T57" i="3" s="1"/>
  <c r="U57" i="3" s="1"/>
  <c r="S52" i="3"/>
  <c r="T52" i="3" s="1"/>
  <c r="U52" i="3" s="1"/>
  <c r="M4" i="3"/>
  <c r="N4" i="3" s="1"/>
  <c r="S102" i="3"/>
  <c r="T102" i="3" s="1"/>
  <c r="U102" i="3" s="1"/>
  <c r="U67" i="3"/>
  <c r="M75" i="3"/>
  <c r="N75" i="3" s="1"/>
  <c r="O75" i="3" s="1"/>
  <c r="P75" i="3" s="1"/>
  <c r="Q75" i="3" s="1"/>
  <c r="P3" i="3"/>
  <c r="Q3" i="3" s="1"/>
  <c r="M156" i="3"/>
  <c r="N156" i="3" s="1"/>
  <c r="O156" i="3" s="1"/>
  <c r="P156" i="3" s="1"/>
  <c r="Q156" i="3" s="1"/>
  <c r="M26" i="3"/>
  <c r="N26" i="3" s="1"/>
  <c r="O26" i="3" s="1"/>
  <c r="P26" i="3" s="1"/>
  <c r="Q26" i="3" s="1"/>
  <c r="S193" i="3"/>
  <c r="T193" i="3" s="1"/>
  <c r="U193" i="3" s="1"/>
  <c r="S101" i="3"/>
  <c r="T101" i="3" s="1"/>
  <c r="U101" i="3" s="1"/>
  <c r="S98" i="3"/>
  <c r="T98" i="3" s="1"/>
  <c r="U98" i="3" s="1"/>
  <c r="S124" i="3"/>
  <c r="T124" i="3" s="1"/>
  <c r="U124" i="3" s="1"/>
  <c r="S163" i="3"/>
  <c r="T163" i="3" s="1"/>
  <c r="U163" i="3" s="1"/>
  <c r="M22" i="3"/>
  <c r="N22" i="3" s="1"/>
  <c r="M105" i="3"/>
  <c r="N105" i="3" s="1"/>
  <c r="O105" i="3" s="1"/>
  <c r="P105" i="3" s="1"/>
  <c r="Q105" i="3" s="1"/>
  <c r="S135" i="3"/>
  <c r="T135" i="3" s="1"/>
  <c r="U135" i="3" s="1"/>
  <c r="M182" i="3"/>
  <c r="N182" i="3" s="1"/>
  <c r="O182" i="3" s="1"/>
  <c r="P182" i="3" s="1"/>
  <c r="S153" i="3"/>
  <c r="T153" i="3" s="1"/>
  <c r="U153" i="3" s="1"/>
  <c r="S168" i="3"/>
  <c r="T168" i="3" s="1"/>
  <c r="U168" i="3" s="1"/>
  <c r="M163" i="3"/>
  <c r="N163" i="3" s="1"/>
  <c r="O163" i="3" s="1"/>
  <c r="P163" i="3" s="1"/>
  <c r="Q163" i="3" s="1"/>
  <c r="S29" i="3"/>
  <c r="T29" i="3" s="1"/>
  <c r="U29" i="3" s="1"/>
  <c r="M181" i="3"/>
  <c r="N181" i="3" s="1"/>
  <c r="O181" i="3" s="1"/>
  <c r="P181" i="3" s="1"/>
  <c r="Q181" i="3" s="1"/>
  <c r="S197" i="3"/>
  <c r="T197" i="3" s="1"/>
  <c r="U197" i="3" s="1"/>
  <c r="M86" i="3"/>
  <c r="N86" i="3" s="1"/>
  <c r="O86" i="3" s="1"/>
  <c r="P86" i="3" s="1"/>
  <c r="Q86" i="3" s="1"/>
  <c r="M184" i="3"/>
  <c r="N184" i="3" s="1"/>
  <c r="O184" i="3" s="1"/>
  <c r="P184" i="3" s="1"/>
  <c r="Q184" i="3" s="1"/>
  <c r="M136" i="3"/>
  <c r="N136" i="3" s="1"/>
  <c r="O136" i="3" s="1"/>
  <c r="P136" i="3" s="1"/>
  <c r="Q136" i="3" s="1"/>
  <c r="S92" i="3"/>
  <c r="T92" i="3" s="1"/>
  <c r="U92" i="3" s="1"/>
  <c r="S159" i="3"/>
  <c r="T159" i="3" s="1"/>
  <c r="U159" i="3" s="1"/>
  <c r="M119" i="3"/>
  <c r="N119" i="3" s="1"/>
  <c r="O119" i="3" s="1"/>
  <c r="P119" i="3" s="1"/>
  <c r="Q119" i="3" s="1"/>
  <c r="S21" i="3"/>
  <c r="T21" i="3" s="1"/>
  <c r="U21" i="3" s="1"/>
  <c r="M187" i="3"/>
  <c r="N187" i="3" s="1"/>
  <c r="O187" i="3" s="1"/>
  <c r="P187" i="3" s="1"/>
  <c r="Q187" i="3" s="1"/>
  <c r="M7" i="3"/>
  <c r="N7" i="3" s="1"/>
  <c r="S8" i="3"/>
  <c r="T8" i="3" s="1"/>
  <c r="U8" i="3" s="1"/>
  <c r="M63" i="3"/>
  <c r="N63" i="3" s="1"/>
  <c r="O63" i="3" s="1"/>
  <c r="P63" i="3" s="1"/>
  <c r="Q63" i="3" s="1"/>
  <c r="S116" i="3"/>
  <c r="T116" i="3" s="1"/>
  <c r="M151" i="3"/>
  <c r="N151" i="3" s="1"/>
  <c r="O151" i="3" s="1"/>
  <c r="P151" i="3" s="1"/>
  <c r="Q151" i="3" s="1"/>
  <c r="M81" i="3"/>
  <c r="N81" i="3" s="1"/>
  <c r="O81" i="3" s="1"/>
  <c r="P81" i="3" s="1"/>
  <c r="Q81" i="3" s="1"/>
  <c r="S155" i="3"/>
  <c r="T155" i="3" s="1"/>
  <c r="U155" i="3" s="1"/>
  <c r="S31" i="3"/>
  <c r="T31" i="3" s="1"/>
  <c r="U31" i="3" s="1"/>
  <c r="S130" i="3"/>
  <c r="T130" i="3" s="1"/>
  <c r="U130" i="3" s="1"/>
  <c r="M77" i="3"/>
  <c r="N77" i="3" s="1"/>
  <c r="O77" i="3" s="1"/>
  <c r="P77" i="3" s="1"/>
  <c r="M194" i="3"/>
  <c r="N194" i="3" s="1"/>
  <c r="O194" i="3" s="1"/>
  <c r="P194" i="3" s="1"/>
  <c r="Q194" i="3" s="1"/>
  <c r="S30" i="3"/>
  <c r="T30" i="3" s="1"/>
  <c r="U30" i="3" s="1"/>
  <c r="M67" i="3"/>
  <c r="N67" i="3" s="1"/>
  <c r="O67" i="3" s="1"/>
  <c r="P67" i="3" s="1"/>
  <c r="Q67" i="3" s="1"/>
  <c r="S88" i="3"/>
  <c r="T88" i="3" s="1"/>
  <c r="U88" i="3" s="1"/>
  <c r="M146" i="3"/>
  <c r="N146" i="3" s="1"/>
  <c r="O146" i="3" s="1"/>
  <c r="P146" i="3" s="1"/>
  <c r="Q146" i="3" s="1"/>
  <c r="M66" i="3"/>
  <c r="N66" i="3" s="1"/>
  <c r="O66" i="3" s="1"/>
  <c r="P66" i="3" s="1"/>
  <c r="Q66" i="3" s="1"/>
  <c r="S151" i="3"/>
  <c r="T151" i="3" s="1"/>
  <c r="U151" i="3" s="1"/>
  <c r="M96" i="3"/>
  <c r="N96" i="3" s="1"/>
  <c r="O96" i="3" s="1"/>
  <c r="P96" i="3" s="1"/>
  <c r="M135" i="3"/>
  <c r="N135" i="3" s="1"/>
  <c r="O135" i="3" s="1"/>
  <c r="P135" i="3" s="1"/>
  <c r="Q135" i="3" s="1"/>
  <c r="M130" i="3"/>
  <c r="N130" i="3" s="1"/>
  <c r="O130" i="3" s="1"/>
  <c r="P130" i="3" s="1"/>
  <c r="Q130" i="3" s="1"/>
  <c r="M20" i="3"/>
  <c r="N20" i="3" s="1"/>
  <c r="M80" i="3"/>
  <c r="N80" i="3" s="1"/>
  <c r="O80" i="3" s="1"/>
  <c r="P80" i="3" s="1"/>
  <c r="Q80" i="3" s="1"/>
  <c r="S35" i="3"/>
  <c r="T35" i="3" s="1"/>
  <c r="U35" i="3" s="1"/>
  <c r="S182" i="3"/>
  <c r="T182" i="3" s="1"/>
  <c r="U182" i="3" s="1"/>
  <c r="M170" i="3"/>
  <c r="N170" i="3" s="1"/>
  <c r="O170" i="3" s="1"/>
  <c r="P170" i="3" s="1"/>
  <c r="Q170" i="3" s="1"/>
  <c r="M113" i="3"/>
  <c r="N113" i="3" s="1"/>
  <c r="O113" i="3" s="1"/>
  <c r="P113" i="3" s="1"/>
  <c r="Q113" i="3" s="1"/>
  <c r="M56" i="3"/>
  <c r="N56" i="3" s="1"/>
  <c r="O56" i="3" s="1"/>
  <c r="P56" i="3" s="1"/>
  <c r="Q56" i="3" s="1"/>
  <c r="M155" i="3"/>
  <c r="N155" i="3" s="1"/>
  <c r="O155" i="3" s="1"/>
  <c r="P155" i="3" s="1"/>
  <c r="Q155" i="3" s="1"/>
  <c r="M24" i="3"/>
  <c r="N24" i="3" s="1"/>
  <c r="O24" i="3" s="1"/>
  <c r="P24" i="3" s="1"/>
  <c r="Q24" i="3" s="1"/>
  <c r="M3" i="3"/>
  <c r="S41" i="3"/>
  <c r="T41" i="3" s="1"/>
  <c r="U41" i="3" s="1"/>
  <c r="S95" i="3"/>
  <c r="T95" i="3" s="1"/>
  <c r="U95" i="3" s="1"/>
  <c r="M121" i="3"/>
  <c r="N121" i="3" s="1"/>
  <c r="O121" i="3" s="1"/>
  <c r="P121" i="3" s="1"/>
  <c r="Q121" i="3" s="1"/>
  <c r="S37" i="3"/>
  <c r="T37" i="3" s="1"/>
  <c r="U37" i="3" s="1"/>
  <c r="S94" i="3"/>
  <c r="T94" i="3" s="1"/>
  <c r="U94" i="3" s="1"/>
  <c r="S192" i="3"/>
  <c r="T192" i="3" s="1"/>
  <c r="U192" i="3" s="1"/>
  <c r="S87" i="3"/>
  <c r="T87" i="3" s="1"/>
  <c r="U87" i="3" s="1"/>
  <c r="S15" i="3"/>
  <c r="T15" i="3" s="1"/>
  <c r="U15" i="3" s="1"/>
  <c r="M47" i="3"/>
  <c r="N47" i="3" s="1"/>
  <c r="O47" i="3" s="1"/>
  <c r="P47" i="3" s="1"/>
  <c r="Q47" i="3" s="1"/>
  <c r="M45" i="3"/>
  <c r="N45" i="3" s="1"/>
  <c r="O45" i="3" s="1"/>
  <c r="P45" i="3" s="1"/>
  <c r="Q45" i="3" s="1"/>
  <c r="S141" i="3"/>
  <c r="T141" i="3" s="1"/>
  <c r="U141" i="3" s="1"/>
  <c r="S48" i="3"/>
  <c r="T48" i="3" s="1"/>
  <c r="U48" i="3" s="1"/>
  <c r="M140" i="3"/>
  <c r="N140" i="3" s="1"/>
  <c r="O140" i="3" s="1"/>
  <c r="P140" i="3" s="1"/>
  <c r="Q140" i="3" s="1"/>
  <c r="M15" i="3"/>
  <c r="N15" i="3" s="1"/>
  <c r="M21" i="3"/>
  <c r="N21" i="3" s="1"/>
  <c r="S47" i="3"/>
  <c r="T47" i="3" s="1"/>
  <c r="U47" i="3" s="1"/>
  <c r="S45" i="3"/>
  <c r="T45" i="3" s="1"/>
  <c r="U45" i="3" s="1"/>
  <c r="S117" i="3"/>
  <c r="T117" i="3" s="1"/>
  <c r="U117" i="3" s="1"/>
  <c r="S32" i="3"/>
  <c r="T32" i="3" s="1"/>
  <c r="U32" i="3" s="1"/>
  <c r="M39" i="3"/>
  <c r="N39" i="3" s="1"/>
  <c r="O39" i="3" s="1"/>
  <c r="P39" i="3" s="1"/>
  <c r="Q39" i="3" s="1"/>
  <c r="S112" i="3"/>
  <c r="T112" i="3" s="1"/>
  <c r="U112" i="3" s="1"/>
  <c r="M133" i="3"/>
  <c r="N133" i="3" s="1"/>
  <c r="O133" i="3" s="1"/>
  <c r="P133" i="3" s="1"/>
  <c r="Q133" i="3" s="1"/>
  <c r="S93" i="3"/>
  <c r="T93" i="3" s="1"/>
  <c r="U93" i="3" s="1"/>
  <c r="S6" i="3"/>
  <c r="T6" i="3" s="1"/>
  <c r="U6" i="3" s="1"/>
  <c r="M8" i="3"/>
  <c r="N8" i="3" s="1"/>
  <c r="M149" i="3"/>
  <c r="N149" i="3" s="1"/>
  <c r="O149" i="3" s="1"/>
  <c r="P149" i="3" s="1"/>
  <c r="Q149" i="3" s="1"/>
  <c r="M97" i="3"/>
  <c r="N97" i="3" s="1"/>
  <c r="O97" i="3" s="1"/>
  <c r="P97" i="3" s="1"/>
  <c r="Q97" i="3" s="1"/>
  <c r="M95" i="3"/>
  <c r="N95" i="3" s="1"/>
  <c r="O95" i="3" s="1"/>
  <c r="P95" i="3" s="1"/>
  <c r="Q95" i="3" s="1"/>
  <c r="M190" i="3"/>
  <c r="N190" i="3" s="1"/>
  <c r="O190" i="3" s="1"/>
  <c r="P190" i="3" s="1"/>
  <c r="Q190" i="3" s="1"/>
  <c r="M159" i="3"/>
  <c r="N159" i="3" s="1"/>
  <c r="O159" i="3" s="1"/>
  <c r="P159" i="3" s="1"/>
  <c r="Q159" i="3" s="1"/>
  <c r="S104" i="3"/>
  <c r="T104" i="3" s="1"/>
  <c r="U104" i="3" s="1"/>
  <c r="M188" i="3"/>
  <c r="N188" i="3" s="1"/>
  <c r="O188" i="3" s="1"/>
  <c r="P188" i="3" s="1"/>
  <c r="S154" i="3"/>
  <c r="T154" i="3" s="1"/>
  <c r="U154" i="3" s="1"/>
  <c r="S91" i="3"/>
  <c r="T91" i="3" s="1"/>
  <c r="U91" i="3" s="1"/>
  <c r="M191" i="3"/>
  <c r="N191" i="3" s="1"/>
  <c r="O191" i="3" s="1"/>
  <c r="P191" i="3" s="1"/>
  <c r="S16" i="3"/>
  <c r="T16" i="3" s="1"/>
  <c r="U16" i="3" s="1"/>
  <c r="S136" i="3"/>
  <c r="T136" i="3" s="1"/>
  <c r="U136" i="3" s="1"/>
  <c r="M37" i="3"/>
  <c r="N37" i="3" s="1"/>
  <c r="O37" i="3" s="1"/>
  <c r="P37" i="3" s="1"/>
  <c r="Q37" i="3" s="1"/>
  <c r="S185" i="3"/>
  <c r="T185" i="3" s="1"/>
  <c r="U185" i="3" s="1"/>
  <c r="M117" i="3"/>
  <c r="N117" i="3" s="1"/>
  <c r="O117" i="3" s="1"/>
  <c r="P117" i="3" s="1"/>
  <c r="Q117" i="3" s="1"/>
  <c r="M142" i="3"/>
  <c r="N142" i="3" s="1"/>
  <c r="O142" i="3" s="1"/>
  <c r="P142" i="3" s="1"/>
  <c r="Q142" i="3" s="1"/>
  <c r="S184" i="3"/>
  <c r="T184" i="3" s="1"/>
  <c r="U184" i="3" s="1"/>
  <c r="S18" i="3"/>
  <c r="T18" i="3" s="1"/>
  <c r="U18" i="3" s="1"/>
  <c r="M134" i="3"/>
  <c r="N134" i="3" s="1"/>
  <c r="O134" i="3" s="1"/>
  <c r="P134" i="3" s="1"/>
  <c r="S160" i="3"/>
  <c r="T160" i="3" s="1"/>
  <c r="U160" i="3" s="1"/>
  <c r="M141" i="3"/>
  <c r="N141" i="3" s="1"/>
  <c r="O141" i="3" s="1"/>
  <c r="P141" i="3" s="1"/>
  <c r="Q141" i="3" s="1"/>
  <c r="N16" i="3"/>
  <c r="S139" i="3"/>
  <c r="T139" i="3" s="1"/>
  <c r="U139" i="3" s="1"/>
  <c r="M154" i="3"/>
  <c r="N154" i="3" s="1"/>
  <c r="O154" i="3" s="1"/>
  <c r="P154" i="3" s="1"/>
  <c r="Q154" i="3" s="1"/>
  <c r="S123" i="3"/>
  <c r="T123" i="3" s="1"/>
  <c r="U123" i="3" s="1"/>
  <c r="M165" i="3"/>
  <c r="N165" i="3" s="1"/>
  <c r="O165" i="3" s="1"/>
  <c r="P165" i="3" s="1"/>
  <c r="Q165" i="3" s="1"/>
  <c r="M58" i="3"/>
  <c r="N58" i="3" s="1"/>
  <c r="O58" i="3" s="1"/>
  <c r="P58" i="3" s="1"/>
  <c r="Q58" i="3" s="1"/>
  <c r="S137" i="3"/>
  <c r="T137" i="3" s="1"/>
  <c r="U137" i="3" s="1"/>
  <c r="M132" i="3"/>
  <c r="N132" i="3" s="1"/>
  <c r="O132" i="3" s="1"/>
  <c r="P132" i="3" s="1"/>
  <c r="Q132" i="3" s="1"/>
  <c r="S10" i="3"/>
  <c r="T10" i="3" s="1"/>
  <c r="U10" i="3" s="1"/>
  <c r="M152" i="3"/>
  <c r="N152" i="3" s="1"/>
  <c r="O152" i="3" s="1"/>
  <c r="P152" i="3" s="1"/>
  <c r="S55" i="3"/>
  <c r="T55" i="3" s="1"/>
  <c r="U55" i="3" s="1"/>
  <c r="M127" i="3"/>
  <c r="N127" i="3" s="1"/>
  <c r="O127" i="3" s="1"/>
  <c r="P127" i="3" s="1"/>
  <c r="Q127" i="3" s="1"/>
  <c r="S12" i="3"/>
  <c r="T12" i="3" s="1"/>
  <c r="U12" i="3" s="1"/>
  <c r="M46" i="3"/>
  <c r="N46" i="3" s="1"/>
  <c r="O46" i="3" s="1"/>
  <c r="P46" i="3" s="1"/>
  <c r="Q46" i="3" s="1"/>
  <c r="S14" i="3"/>
  <c r="T14" i="3" s="1"/>
  <c r="U14" i="3" s="1"/>
  <c r="M150" i="3"/>
  <c r="N150" i="3" s="1"/>
  <c r="O150" i="3" s="1"/>
  <c r="P150" i="3" s="1"/>
  <c r="Q150" i="3" s="1"/>
  <c r="S150" i="3"/>
  <c r="T150" i="3" s="1"/>
  <c r="U150" i="3" s="1"/>
  <c r="M104" i="3"/>
  <c r="N104" i="3" s="1"/>
  <c r="O104" i="3" s="1"/>
  <c r="P104" i="3" s="1"/>
  <c r="Q104" i="3" s="1"/>
  <c r="M73" i="3"/>
  <c r="N73" i="3" s="1"/>
  <c r="O73" i="3" s="1"/>
  <c r="P73" i="3" s="1"/>
  <c r="Q73" i="3" s="1"/>
  <c r="S36" i="3"/>
  <c r="T36" i="3" s="1"/>
  <c r="U36" i="3" s="1"/>
  <c r="S63" i="3"/>
  <c r="T63" i="3" s="1"/>
  <c r="U63" i="3" s="1"/>
  <c r="M93" i="3"/>
  <c r="N93" i="3" s="1"/>
  <c r="O93" i="3" s="1"/>
  <c r="P93" i="3" s="1"/>
  <c r="Q93" i="3" s="1"/>
  <c r="S85" i="3"/>
  <c r="T85" i="3" s="1"/>
  <c r="U85" i="3" s="1"/>
  <c r="S4" i="3"/>
  <c r="T4" i="3" s="1"/>
  <c r="S28" i="3"/>
  <c r="T28" i="3" s="1"/>
  <c r="U28" i="3" s="1"/>
  <c r="M118" i="3"/>
  <c r="N118" i="3" s="1"/>
  <c r="O118" i="3" s="1"/>
  <c r="P118" i="3" s="1"/>
  <c r="Q118" i="3" s="1"/>
  <c r="R4" i="3"/>
  <c r="M85" i="3"/>
  <c r="N85" i="3" s="1"/>
  <c r="O85" i="3" s="1"/>
  <c r="P85" i="3" s="1"/>
  <c r="Q85" i="3" s="1"/>
  <c r="M124" i="3"/>
  <c r="N124" i="3" s="1"/>
  <c r="O124" i="3" s="1"/>
  <c r="P124" i="3" s="1"/>
  <c r="Q124" i="3" s="1"/>
  <c r="M17" i="3"/>
  <c r="N17" i="3" s="1"/>
  <c r="S76" i="3"/>
  <c r="T76" i="3" s="1"/>
  <c r="U76" i="3" s="1"/>
  <c r="M148" i="3"/>
  <c r="N148" i="3" s="1"/>
  <c r="O148" i="3" s="1"/>
  <c r="P148" i="3" s="1"/>
  <c r="Q148" i="3" s="1"/>
  <c r="S149" i="3"/>
  <c r="T149" i="3" s="1"/>
  <c r="U149" i="3" s="1"/>
  <c r="S73" i="3"/>
  <c r="T73" i="3" s="1"/>
  <c r="U73" i="3" s="1"/>
  <c r="M110" i="3"/>
  <c r="N110" i="3" s="1"/>
  <c r="O110" i="3" s="1"/>
  <c r="P110" i="3" s="1"/>
  <c r="Q110" i="3" s="1"/>
  <c r="M35" i="3"/>
  <c r="N35" i="3" s="1"/>
  <c r="O35" i="3" s="1"/>
  <c r="P35" i="3" s="1"/>
  <c r="Q35" i="3" s="1"/>
  <c r="R7" i="3"/>
  <c r="M52" i="3"/>
  <c r="N52" i="3" s="1"/>
  <c r="O52" i="3" s="1"/>
  <c r="P52" i="3" s="1"/>
  <c r="Q52" i="3" s="1"/>
  <c r="S54" i="3"/>
  <c r="T54" i="3" s="1"/>
  <c r="U54" i="3" s="1"/>
  <c r="M160" i="3"/>
  <c r="N160" i="3" s="1"/>
  <c r="O160" i="3" s="1"/>
  <c r="P160" i="3" s="1"/>
  <c r="Q160" i="3" s="1"/>
  <c r="M82" i="3"/>
  <c r="N82" i="3" s="1"/>
  <c r="O82" i="3" s="1"/>
  <c r="P82" i="3" s="1"/>
  <c r="Q82" i="3" s="1"/>
  <c r="M59" i="3"/>
  <c r="N59" i="3" s="1"/>
  <c r="O59" i="3" s="1"/>
  <c r="P59" i="3" s="1"/>
  <c r="S109" i="3"/>
  <c r="T109" i="3" s="1"/>
  <c r="U109" i="3" s="1"/>
  <c r="S125" i="3"/>
  <c r="T125" i="3" s="1"/>
  <c r="U125" i="3" s="1"/>
  <c r="S68" i="3"/>
  <c r="T68" i="3" s="1"/>
  <c r="U68" i="3" s="1"/>
  <c r="S11" i="3"/>
  <c r="T11" i="3" s="1"/>
  <c r="U11" i="3" s="1"/>
  <c r="M65" i="3"/>
  <c r="N65" i="3" s="1"/>
  <c r="O65" i="3" s="1"/>
  <c r="P65" i="3" s="1"/>
  <c r="Q65" i="3" s="1"/>
  <c r="S66" i="3"/>
  <c r="T66" i="3" s="1"/>
  <c r="U66" i="3" s="1"/>
  <c r="M12" i="3"/>
  <c r="N12" i="3" s="1"/>
  <c r="S25" i="3"/>
  <c r="T25" i="3" s="1"/>
  <c r="U25" i="3" s="1"/>
  <c r="S59" i="3"/>
  <c r="T59" i="3" s="1"/>
  <c r="U59" i="3" s="1"/>
  <c r="S120" i="3"/>
  <c r="T120" i="3" s="1"/>
  <c r="U120" i="3" s="1"/>
  <c r="S122" i="3"/>
  <c r="T122" i="3" s="1"/>
  <c r="U122" i="3" s="1"/>
  <c r="M69" i="3"/>
  <c r="N69" i="3" s="1"/>
  <c r="O69" i="3" s="1"/>
  <c r="P69" i="3" s="1"/>
  <c r="S90" i="3"/>
  <c r="T90" i="3" s="1"/>
  <c r="U90" i="3" s="1"/>
  <c r="M83" i="3"/>
  <c r="N83" i="3" s="1"/>
  <c r="O83" i="3" s="1"/>
  <c r="P83" i="3" s="1"/>
  <c r="S179" i="3"/>
  <c r="T179" i="3" s="1"/>
  <c r="U179" i="3" s="1"/>
  <c r="S189" i="3"/>
  <c r="T189" i="3" s="1"/>
  <c r="U189" i="3" s="1"/>
  <c r="S62" i="3"/>
  <c r="T62" i="3" s="1"/>
  <c r="U62" i="3" s="1"/>
  <c r="S191" i="3"/>
  <c r="T191" i="3" s="1"/>
  <c r="U191" i="3" s="1"/>
  <c r="S22" i="3"/>
  <c r="T22" i="3" s="1"/>
  <c r="U22" i="3" s="1"/>
  <c r="S164" i="3"/>
  <c r="T164" i="3" s="1"/>
  <c r="U164" i="3" s="1"/>
  <c r="M166" i="3"/>
  <c r="N166" i="3" s="1"/>
  <c r="O166" i="3" s="1"/>
  <c r="P166" i="3" s="1"/>
  <c r="Q166" i="3" s="1"/>
  <c r="S60" i="3"/>
  <c r="T60" i="3" s="1"/>
  <c r="U60" i="3" s="1"/>
  <c r="S152" i="3"/>
  <c r="T152" i="3" s="1"/>
  <c r="U152" i="3" s="1"/>
  <c r="S128" i="3"/>
  <c r="T128" i="3" s="1"/>
  <c r="U128" i="3" s="1"/>
  <c r="S70" i="3"/>
  <c r="T70" i="3" s="1"/>
  <c r="U70" i="3" s="1"/>
  <c r="M34" i="3"/>
  <c r="N34" i="3" s="1"/>
  <c r="O34" i="3" s="1"/>
  <c r="P34" i="3" s="1"/>
  <c r="Q34" i="3" s="1"/>
  <c r="S5" i="3"/>
  <c r="T5" i="3" s="1"/>
  <c r="U5" i="3" s="1"/>
  <c r="S114" i="3"/>
  <c r="T114" i="3" s="1"/>
  <c r="U114" i="3" s="1"/>
  <c r="S96" i="3"/>
  <c r="T96" i="3" s="1"/>
  <c r="U96" i="3" s="1"/>
  <c r="M196" i="3"/>
  <c r="N196" i="3" s="1"/>
  <c r="O196" i="3" s="1"/>
  <c r="P196" i="3" s="1"/>
  <c r="Q196" i="3" s="1"/>
  <c r="S119" i="3"/>
  <c r="T119" i="3" s="1"/>
  <c r="U119" i="3" s="1"/>
  <c r="S43" i="3"/>
  <c r="T43" i="3" s="1"/>
  <c r="U43" i="3" s="1"/>
  <c r="S17" i="3"/>
  <c r="T17" i="3" s="1"/>
  <c r="U17" i="3" s="1"/>
  <c r="M177" i="3"/>
  <c r="N177" i="3" s="1"/>
  <c r="O177" i="3" s="1"/>
  <c r="P177" i="3" s="1"/>
  <c r="Q177" i="3" s="1"/>
  <c r="M16" i="3"/>
  <c r="S143" i="3"/>
  <c r="T143" i="3" s="1"/>
  <c r="U143" i="3" s="1"/>
  <c r="S97" i="3"/>
  <c r="T97" i="3" s="1"/>
  <c r="U97" i="3" s="1"/>
  <c r="S71" i="3"/>
  <c r="T71" i="3" s="1"/>
  <c r="U71" i="3" s="1"/>
  <c r="S3" i="3"/>
  <c r="T3" i="3" s="1"/>
  <c r="S39" i="3"/>
  <c r="T39" i="3" s="1"/>
  <c r="U39" i="3" s="1"/>
  <c r="S138" i="3"/>
  <c r="T138" i="3" s="1"/>
  <c r="U138" i="3" s="1"/>
  <c r="M176" i="3"/>
  <c r="N176" i="3" s="1"/>
  <c r="O176" i="3" s="1"/>
  <c r="P176" i="3" s="1"/>
  <c r="Q176" i="3" s="1"/>
  <c r="S174" i="3"/>
  <c r="T174" i="3" s="1"/>
  <c r="U174" i="3" s="1"/>
  <c r="S80" i="3"/>
  <c r="T80" i="3" s="1"/>
  <c r="U80" i="3" s="1"/>
  <c r="S26" i="3"/>
  <c r="T26" i="3" s="1"/>
  <c r="U26" i="3" s="1"/>
  <c r="M185" i="3"/>
  <c r="N185" i="3" s="1"/>
  <c r="O185" i="3" s="1"/>
  <c r="P185" i="3" s="1"/>
  <c r="M87" i="3"/>
  <c r="N87" i="3" s="1"/>
  <c r="O87" i="3" s="1"/>
  <c r="P87" i="3" s="1"/>
  <c r="Q87" i="3" s="1"/>
  <c r="M9" i="3"/>
  <c r="N9" i="3" s="1"/>
  <c r="S127" i="3"/>
  <c r="T127" i="3" s="1"/>
  <c r="U127" i="3" s="1"/>
  <c r="M51" i="3"/>
  <c r="N51" i="3" s="1"/>
  <c r="O51" i="3" s="1"/>
  <c r="P51" i="3" s="1"/>
  <c r="Q51" i="3" s="1"/>
  <c r="R29" i="3"/>
  <c r="S81" i="3"/>
  <c r="T81" i="3" s="1"/>
  <c r="U81" i="3" s="1"/>
  <c r="S188" i="3"/>
  <c r="T188" i="3" s="1"/>
  <c r="U188" i="3" s="1"/>
  <c r="S24" i="3"/>
  <c r="T24" i="3" s="1"/>
  <c r="U24" i="3" s="1"/>
  <c r="M128" i="3"/>
  <c r="N128" i="3" s="1"/>
  <c r="O128" i="3" s="1"/>
  <c r="P128" i="3" s="1"/>
  <c r="Q128" i="3" s="1"/>
  <c r="S75" i="3"/>
  <c r="T75" i="3" s="1"/>
  <c r="U75" i="3" s="1"/>
  <c r="M153" i="3"/>
  <c r="N153" i="3" s="1"/>
  <c r="O153" i="3" s="1"/>
  <c r="P153" i="3" s="1"/>
  <c r="S108" i="3"/>
  <c r="T108" i="3" s="1"/>
  <c r="U108" i="3" s="1"/>
  <c r="R21" i="3"/>
  <c r="M114" i="3"/>
  <c r="N114" i="3" s="1"/>
  <c r="O114" i="3" s="1"/>
  <c r="P114" i="3" s="1"/>
  <c r="M99" i="3"/>
  <c r="N99" i="3" s="1"/>
  <c r="O99" i="3" s="1"/>
  <c r="P99" i="3" s="1"/>
  <c r="Q99" i="3" s="1"/>
  <c r="S187" i="3"/>
  <c r="T187" i="3" s="1"/>
  <c r="U187" i="3" s="1"/>
  <c r="M115" i="3"/>
  <c r="N115" i="3" s="1"/>
  <c r="O115" i="3" s="1"/>
  <c r="P115" i="3" s="1"/>
  <c r="Q115" i="3" s="1"/>
  <c r="S77" i="3"/>
  <c r="T77" i="3" s="1"/>
  <c r="U77" i="3" s="1"/>
  <c r="M64" i="3"/>
  <c r="N64" i="3" s="1"/>
  <c r="O64" i="3" s="1"/>
  <c r="P64" i="3" s="1"/>
  <c r="Q64" i="3" s="1"/>
  <c r="M125" i="3"/>
  <c r="N125" i="3" s="1"/>
  <c r="O125" i="3" s="1"/>
  <c r="P125" i="3" s="1"/>
  <c r="Q125" i="3" s="1"/>
  <c r="R119" i="3"/>
  <c r="S170" i="3"/>
  <c r="T170" i="3" s="1"/>
  <c r="U170" i="3" s="1"/>
  <c r="S100" i="3"/>
  <c r="T100" i="3" s="1"/>
  <c r="U100" i="3" s="1"/>
  <c r="M98" i="3"/>
  <c r="N98" i="3" s="1"/>
  <c r="O98" i="3" s="1"/>
  <c r="P98" i="3" s="1"/>
  <c r="M55" i="3"/>
  <c r="N55" i="3" s="1"/>
  <c r="O55" i="3" s="1"/>
  <c r="P55" i="3" s="1"/>
  <c r="R135" i="3"/>
  <c r="S64" i="3"/>
  <c r="T64" i="3" s="1"/>
  <c r="U64" i="3" s="1"/>
  <c r="S142" i="3"/>
  <c r="T142" i="3" s="1"/>
  <c r="U142" i="3" s="1"/>
  <c r="M107" i="3"/>
  <c r="N107" i="3" s="1"/>
  <c r="O107" i="3" s="1"/>
  <c r="P107" i="3" s="1"/>
  <c r="S190" i="3"/>
  <c r="T190" i="3" s="1"/>
  <c r="U190" i="3" s="1"/>
  <c r="M19" i="3"/>
  <c r="N19" i="3" s="1"/>
  <c r="M62" i="3"/>
  <c r="N62" i="3" s="1"/>
  <c r="O62" i="3" s="1"/>
  <c r="P62" i="3" s="1"/>
  <c r="M171" i="3"/>
  <c r="N171" i="3" s="1"/>
  <c r="O171" i="3" s="1"/>
  <c r="P171" i="3" s="1"/>
  <c r="S19" i="3"/>
  <c r="T19" i="3" s="1"/>
  <c r="U19" i="3" s="1"/>
  <c r="S180" i="3"/>
  <c r="T180" i="3" s="1"/>
  <c r="U180" i="3" s="1"/>
  <c r="M25" i="3"/>
  <c r="N25" i="3" s="1"/>
  <c r="O25" i="3" s="1"/>
  <c r="P25" i="3" s="1"/>
  <c r="M41" i="3"/>
  <c r="N41" i="3" s="1"/>
  <c r="O41" i="3" s="1"/>
  <c r="P41" i="3" s="1"/>
  <c r="Q41" i="3" s="1"/>
  <c r="S144" i="3"/>
  <c r="T144" i="3" s="1"/>
  <c r="U144" i="3" s="1"/>
  <c r="M71" i="3"/>
  <c r="N71" i="3" s="1"/>
  <c r="O71" i="3" s="1"/>
  <c r="P71" i="3" s="1"/>
  <c r="Q71" i="3" s="1"/>
  <c r="M23" i="3"/>
  <c r="N23" i="3" s="1"/>
  <c r="O23" i="3" s="1"/>
  <c r="P23" i="3" s="1"/>
  <c r="S176" i="3"/>
  <c r="T176" i="3" s="1"/>
  <c r="U176" i="3" s="1"/>
  <c r="M5" i="3"/>
  <c r="N5" i="3" s="1"/>
  <c r="R31" i="3"/>
  <c r="S131" i="3"/>
  <c r="T131" i="3" s="1"/>
  <c r="U131" i="3" s="1"/>
  <c r="M109" i="3"/>
  <c r="N109" i="3" s="1"/>
  <c r="O109" i="3" s="1"/>
  <c r="P109" i="3" s="1"/>
  <c r="M197" i="3"/>
  <c r="N197" i="3" s="1"/>
  <c r="O197" i="3" s="1"/>
  <c r="P197" i="3" s="1"/>
  <c r="Q197" i="3" s="1"/>
  <c r="R133" i="3"/>
  <c r="S158" i="3"/>
  <c r="T158" i="3" s="1"/>
  <c r="U158" i="3" s="1"/>
  <c r="S171" i="3"/>
  <c r="T171" i="3" s="1"/>
  <c r="U171" i="3" s="1"/>
  <c r="R88" i="3"/>
  <c r="M186" i="3"/>
  <c r="N186" i="3" s="1"/>
  <c r="O186" i="3" s="1"/>
  <c r="P186" i="3" s="1"/>
  <c r="Q186" i="3" s="1"/>
  <c r="S38" i="3"/>
  <c r="T38" i="3" s="1"/>
  <c r="U38" i="3" s="1"/>
  <c r="M143" i="3"/>
  <c r="N143" i="3" s="1"/>
  <c r="O143" i="3" s="1"/>
  <c r="P143" i="3" s="1"/>
  <c r="Q143" i="3" s="1"/>
  <c r="M89" i="3"/>
  <c r="N89" i="3" s="1"/>
  <c r="O89" i="3" s="1"/>
  <c r="P89" i="3" s="1"/>
  <c r="M68" i="3"/>
  <c r="N68" i="3" s="1"/>
  <c r="O68" i="3" s="1"/>
  <c r="P68" i="3" s="1"/>
  <c r="S56" i="3"/>
  <c r="T56" i="3" s="1"/>
  <c r="U56" i="3" s="1"/>
  <c r="R14" i="3"/>
  <c r="M38" i="3"/>
  <c r="N38" i="3" s="1"/>
  <c r="O38" i="3" s="1"/>
  <c r="P38" i="3" s="1"/>
  <c r="Q38" i="3" s="1"/>
  <c r="S9" i="3"/>
  <c r="T9" i="3" s="1"/>
  <c r="U9" i="3" s="1"/>
  <c r="R15" i="3"/>
  <c r="S169" i="3"/>
  <c r="T169" i="3" s="1"/>
  <c r="U169" i="3" s="1"/>
  <c r="M70" i="3"/>
  <c r="N70" i="3" s="1"/>
  <c r="O70" i="3" s="1"/>
  <c r="P70" i="3" s="1"/>
  <c r="S34" i="3"/>
  <c r="T34" i="3" s="1"/>
  <c r="U34" i="3" s="1"/>
  <c r="U116" i="3"/>
  <c r="S148" i="3"/>
  <c r="T148" i="3" s="1"/>
  <c r="U148" i="3" s="1"/>
  <c r="M180" i="3"/>
  <c r="N180" i="3" s="1"/>
  <c r="O180" i="3" s="1"/>
  <c r="P180" i="3" s="1"/>
  <c r="Q180" i="3" s="1"/>
  <c r="M29" i="3"/>
  <c r="N29" i="3" s="1"/>
  <c r="O29" i="3" s="1"/>
  <c r="P29" i="3" s="1"/>
  <c r="Q29" i="3" s="1"/>
  <c r="S33" i="3"/>
  <c r="T33" i="3" s="1"/>
  <c r="U33" i="3" s="1"/>
  <c r="M200" i="3"/>
  <c r="N200" i="3" s="1"/>
  <c r="O200" i="3" s="1"/>
  <c r="P200" i="3" s="1"/>
  <c r="Q200" i="3" s="1"/>
  <c r="M84" i="3"/>
  <c r="N84" i="3" s="1"/>
  <c r="O84" i="3" s="1"/>
  <c r="P84" i="3" s="1"/>
  <c r="Q84" i="3" s="1"/>
  <c r="R65" i="3"/>
  <c r="M123" i="3"/>
  <c r="N123" i="3" s="1"/>
  <c r="O123" i="3" s="1"/>
  <c r="P123" i="3" s="1"/>
  <c r="Q123" i="3" s="1"/>
  <c r="R147" i="3"/>
  <c r="M120" i="3"/>
  <c r="N120" i="3" s="1"/>
  <c r="O120" i="3" s="1"/>
  <c r="P120" i="3" s="1"/>
  <c r="Q120" i="3" s="1"/>
  <c r="R149" i="3"/>
  <c r="M178" i="3"/>
  <c r="M122" i="3"/>
  <c r="N122" i="3" s="1"/>
  <c r="O122" i="3" s="1"/>
  <c r="P122" i="3" s="1"/>
  <c r="Q122" i="3" s="1"/>
  <c r="M195" i="3"/>
  <c r="N195" i="3" s="1"/>
  <c r="O195" i="3" s="1"/>
  <c r="P195" i="3" s="1"/>
  <c r="Q195" i="3" s="1"/>
  <c r="S133" i="3"/>
  <c r="T133" i="3" s="1"/>
  <c r="U133" i="3" s="1"/>
  <c r="M27" i="3"/>
  <c r="N27" i="3" s="1"/>
  <c r="O27" i="3" s="1"/>
  <c r="P27" i="3" s="1"/>
  <c r="Q27" i="3" s="1"/>
  <c r="R174" i="3"/>
  <c r="N178" i="3"/>
  <c r="O178" i="3" s="1"/>
  <c r="P178" i="3" s="1"/>
  <c r="Q178" i="3" s="1"/>
  <c r="S161" i="3"/>
  <c r="T161" i="3" s="1"/>
  <c r="U161" i="3" s="1"/>
  <c r="S162" i="3"/>
  <c r="T162" i="3" s="1"/>
  <c r="U162" i="3" s="1"/>
  <c r="M174" i="3"/>
  <c r="N174" i="3" s="1"/>
  <c r="O174" i="3" s="1"/>
  <c r="P174" i="3" s="1"/>
  <c r="Q174" i="3" s="1"/>
  <c r="M74" i="3"/>
  <c r="N74" i="3" s="1"/>
  <c r="O74" i="3" s="1"/>
  <c r="P74" i="3" s="1"/>
  <c r="Q74" i="3" s="1"/>
  <c r="S13" i="3"/>
  <c r="T13" i="3" s="1"/>
  <c r="U13" i="3" s="1"/>
  <c r="R130" i="3"/>
  <c r="M164" i="3"/>
  <c r="N164" i="3" s="1"/>
  <c r="O164" i="3" s="1"/>
  <c r="P164" i="3" s="1"/>
  <c r="Q164" i="3" s="1"/>
  <c r="S46" i="3"/>
  <c r="T46" i="3" s="1"/>
  <c r="U46" i="3" s="1"/>
  <c r="M60" i="3"/>
  <c r="N60" i="3" s="1"/>
  <c r="O60" i="3" s="1"/>
  <c r="P60" i="3" s="1"/>
  <c r="Q60" i="3" s="1"/>
  <c r="R39" i="3"/>
  <c r="R94" i="3"/>
  <c r="S27" i="3"/>
  <c r="T27" i="3" s="1"/>
  <c r="U27" i="3" s="1"/>
  <c r="M193" i="3"/>
  <c r="N193" i="3" s="1"/>
  <c r="O193" i="3" s="1"/>
  <c r="P193" i="3" s="1"/>
  <c r="Q193" i="3" s="1"/>
  <c r="M28" i="3"/>
  <c r="N28" i="3" s="1"/>
  <c r="O28" i="3" s="1"/>
  <c r="P28" i="3" s="1"/>
  <c r="Q28" i="3" s="1"/>
  <c r="S183" i="3"/>
  <c r="T183" i="3" s="1"/>
  <c r="U183" i="3" s="1"/>
  <c r="S140" i="3"/>
  <c r="T140" i="3" s="1"/>
  <c r="S65" i="3"/>
  <c r="T65" i="3" s="1"/>
  <c r="U65" i="3" s="1"/>
  <c r="R105" i="3"/>
  <c r="M167" i="3"/>
  <c r="N167" i="3" s="1"/>
  <c r="O167" i="3" s="1"/>
  <c r="P167" i="3" s="1"/>
  <c r="Q167" i="3" s="1"/>
  <c r="R154" i="3"/>
  <c r="M76" i="3"/>
  <c r="N76" i="3" s="1"/>
  <c r="O76" i="3" s="1"/>
  <c r="P76" i="3" s="1"/>
  <c r="Q76" i="3" s="1"/>
  <c r="S178" i="3"/>
  <c r="T178" i="3" s="1"/>
  <c r="U178" i="3" s="1"/>
  <c r="M30" i="3"/>
  <c r="N30" i="3" s="1"/>
  <c r="O30" i="3" s="1"/>
  <c r="P30" i="3" s="1"/>
  <c r="Q30" i="3" s="1"/>
  <c r="M162" i="3"/>
  <c r="N162" i="3" s="1"/>
  <c r="O162" i="3" s="1"/>
  <c r="P162" i="3" s="1"/>
  <c r="Q162" i="3" s="1"/>
  <c r="S111" i="3"/>
  <c r="T111" i="3" s="1"/>
  <c r="U111" i="3" s="1"/>
  <c r="M18" i="3"/>
  <c r="N18" i="3" s="1"/>
  <c r="S157" i="3"/>
  <c r="T157" i="3" s="1"/>
  <c r="U157" i="3" s="1"/>
  <c r="R194" i="3"/>
  <c r="S79" i="3"/>
  <c r="T79" i="3" s="1"/>
  <c r="U79" i="3" s="1"/>
  <c r="S99" i="3"/>
  <c r="T99" i="3" s="1"/>
  <c r="U99" i="3" s="1"/>
  <c r="R144" i="3"/>
  <c r="S147" i="3"/>
  <c r="T147" i="3" s="1"/>
  <c r="U147" i="3" s="1"/>
  <c r="S146" i="3"/>
  <c r="T146" i="3" s="1"/>
  <c r="U146" i="3" s="1"/>
  <c r="S107" i="3"/>
  <c r="T107" i="3" s="1"/>
  <c r="U107" i="3" s="1"/>
  <c r="S105" i="3"/>
  <c r="T105" i="3" s="1"/>
  <c r="U105" i="3" s="1"/>
  <c r="S118" i="3"/>
  <c r="T118" i="3" s="1"/>
  <c r="U118" i="3" s="1"/>
  <c r="M147" i="3"/>
  <c r="N147" i="3" s="1"/>
  <c r="O147" i="3" s="1"/>
  <c r="P147" i="3" s="1"/>
  <c r="Q147" i="3" s="1"/>
  <c r="M92" i="3"/>
  <c r="N92" i="3" s="1"/>
  <c r="O92" i="3" s="1"/>
  <c r="P92" i="3" s="1"/>
  <c r="Q92" i="3" s="1"/>
  <c r="N3" i="3"/>
  <c r="S50" i="3"/>
  <c r="T50" i="3" s="1"/>
  <c r="U50" i="3" s="1"/>
  <c r="S196" i="3"/>
  <c r="T196" i="3" s="1"/>
  <c r="U196" i="3" s="1"/>
  <c r="M57" i="3"/>
  <c r="N57" i="3" s="1"/>
  <c r="O57" i="3" s="1"/>
  <c r="P57" i="3" s="1"/>
  <c r="Q57" i="3" s="1"/>
  <c r="M179" i="3"/>
  <c r="N179" i="3" s="1"/>
  <c r="O179" i="3" s="1"/>
  <c r="P179" i="3" s="1"/>
  <c r="M79" i="3"/>
  <c r="N79" i="3" s="1"/>
  <c r="O79" i="3" s="1"/>
  <c r="P79" i="3" s="1"/>
  <c r="Q79" i="3" s="1"/>
  <c r="M94" i="3"/>
  <c r="N94" i="3" s="1"/>
  <c r="O94" i="3" s="1"/>
  <c r="P94" i="3" s="1"/>
  <c r="Q94" i="3" s="1"/>
  <c r="M175" i="3"/>
  <c r="N175" i="3" s="1"/>
  <c r="O175" i="3" s="1"/>
  <c r="P175" i="3" s="1"/>
  <c r="S83" i="3"/>
  <c r="T83" i="3" s="1"/>
  <c r="U83" i="3" s="1"/>
  <c r="S20" i="3"/>
  <c r="T20" i="3" s="1"/>
  <c r="U20" i="3" s="1"/>
  <c r="S103" i="3"/>
  <c r="T103" i="3" s="1"/>
  <c r="U103" i="3" s="1"/>
  <c r="R12" i="3"/>
  <c r="M42" i="3"/>
  <c r="N42" i="3" s="1"/>
  <c r="O42" i="3" s="1"/>
  <c r="P42" i="3" s="1"/>
  <c r="Q42" i="3" s="1"/>
  <c r="S167" i="3"/>
  <c r="T167" i="3" s="1"/>
  <c r="U167" i="3" s="1"/>
  <c r="S121" i="3"/>
  <c r="T121" i="3" s="1"/>
  <c r="U121" i="3" s="1"/>
  <c r="S49" i="3"/>
  <c r="T49" i="3" s="1"/>
  <c r="U49" i="3" s="1"/>
  <c r="M161" i="3"/>
  <c r="N161" i="3" s="1"/>
  <c r="O161" i="3" s="1"/>
  <c r="P161" i="3" s="1"/>
  <c r="Q161" i="3" s="1"/>
  <c r="M199" i="3"/>
  <c r="N199" i="3" s="1"/>
  <c r="O199" i="3" s="1"/>
  <c r="P199" i="3" s="1"/>
  <c r="Q199" i="3" s="1"/>
  <c r="S69" i="3"/>
  <c r="T69" i="3" s="1"/>
  <c r="U69" i="3" s="1"/>
  <c r="M112" i="3"/>
  <c r="N112" i="3" s="1"/>
  <c r="O112" i="3" s="1"/>
  <c r="P112" i="3" s="1"/>
  <c r="Q112" i="3" s="1"/>
  <c r="S61" i="3"/>
  <c r="T61" i="3" s="1"/>
  <c r="U61" i="3" s="1"/>
  <c r="R140" i="3"/>
  <c r="S78" i="3"/>
  <c r="T78" i="3" s="1"/>
  <c r="U78" i="3" s="1"/>
  <c r="M137" i="3"/>
  <c r="N137" i="3" s="1"/>
  <c r="O137" i="3" s="1"/>
  <c r="P137" i="3" s="1"/>
  <c r="Q137" i="3" s="1"/>
  <c r="M173" i="3"/>
  <c r="N173" i="3" s="1"/>
  <c r="O173" i="3" s="1"/>
  <c r="P173" i="3" s="1"/>
  <c r="Q173" i="3" s="1"/>
  <c r="S175" i="3"/>
  <c r="T175" i="3" s="1"/>
  <c r="U175" i="3" s="1"/>
  <c r="S72" i="3"/>
  <c r="T72" i="3" s="1"/>
  <c r="U72" i="3" s="1"/>
  <c r="R169" i="3"/>
  <c r="M43" i="3"/>
  <c r="N43" i="3" s="1"/>
  <c r="O43" i="3" s="1"/>
  <c r="P43" i="3" s="1"/>
  <c r="Q43" i="3" s="1"/>
  <c r="S195" i="3"/>
  <c r="T195" i="3" s="1"/>
  <c r="U195" i="3" s="1"/>
  <c r="M108" i="3"/>
  <c r="N108" i="3" s="1"/>
  <c r="O108" i="3" s="1"/>
  <c r="P108" i="3" s="1"/>
  <c r="Q108" i="3" s="1"/>
  <c r="S42" i="3"/>
  <c r="T42" i="3" s="1"/>
  <c r="U42" i="3" s="1"/>
  <c r="M54" i="3"/>
  <c r="N54" i="3" s="1"/>
  <c r="O54" i="3" s="1"/>
  <c r="P54" i="3" s="1"/>
  <c r="Q54" i="3" s="1"/>
  <c r="M126" i="3"/>
  <c r="N126" i="3" s="1"/>
  <c r="O126" i="3" s="1"/>
  <c r="P126" i="3" s="1"/>
  <c r="Q126" i="3" s="1"/>
  <c r="M158" i="3"/>
  <c r="N158" i="3" s="1"/>
  <c r="O158" i="3" s="1"/>
  <c r="P158" i="3" s="1"/>
  <c r="Q158" i="3" s="1"/>
  <c r="M13" i="3"/>
  <c r="N13" i="3" s="1"/>
  <c r="S198" i="3"/>
  <c r="T198" i="3" s="1"/>
  <c r="U198" i="3" s="1"/>
  <c r="S113" i="3"/>
  <c r="T113" i="3" s="1"/>
  <c r="U113" i="3" s="1"/>
  <c r="R27" i="3"/>
  <c r="R43" i="3"/>
  <c r="M44" i="3"/>
  <c r="N44" i="3" s="1"/>
  <c r="O44" i="3" s="1"/>
  <c r="P44" i="3" s="1"/>
  <c r="Q44" i="3" s="1"/>
  <c r="S200" i="3"/>
  <c r="T200" i="3" s="1"/>
  <c r="U200" i="3" s="1"/>
  <c r="S40" i="3"/>
  <c r="T40" i="3" s="1"/>
  <c r="U40" i="3" s="1"/>
  <c r="M116" i="3"/>
  <c r="N116" i="3" s="1"/>
  <c r="O116" i="3" s="1"/>
  <c r="P116" i="3" s="1"/>
  <c r="M138" i="3"/>
  <c r="N138" i="3" s="1"/>
  <c r="O138" i="3" s="1"/>
  <c r="P138" i="3" s="1"/>
  <c r="Q138" i="3" s="1"/>
  <c r="S53" i="3"/>
  <c r="T53" i="3" s="1"/>
  <c r="U53" i="3" s="1"/>
  <c r="S115" i="3"/>
  <c r="T115" i="3" s="1"/>
  <c r="U115" i="3" s="1"/>
  <c r="R32" i="3"/>
  <c r="S134" i="3"/>
  <c r="T134" i="3" s="1"/>
  <c r="U134" i="3" s="1"/>
  <c r="S44" i="3"/>
  <c r="T44" i="3" s="1"/>
  <c r="U44" i="3" s="1"/>
  <c r="R13" i="3"/>
  <c r="S172" i="3"/>
  <c r="T172" i="3" s="1"/>
  <c r="U172" i="3" s="1"/>
  <c r="M49" i="3"/>
  <c r="N49" i="3" s="1"/>
  <c r="O49" i="3" s="1"/>
  <c r="P49" i="3" s="1"/>
  <c r="Q49" i="3" s="1"/>
  <c r="R3" i="3"/>
  <c r="S166" i="3"/>
  <c r="T166" i="3" s="1"/>
  <c r="U166" i="3" s="1"/>
  <c r="S186" i="3"/>
  <c r="T186" i="3" s="1"/>
  <c r="U186" i="3" s="1"/>
  <c r="S106" i="3"/>
  <c r="T106" i="3" s="1"/>
  <c r="U106" i="3" s="1"/>
  <c r="R142" i="3"/>
  <c r="R20" i="3"/>
  <c r="S23" i="3"/>
  <c r="T23" i="3" s="1"/>
  <c r="U23" i="3" s="1"/>
  <c r="S51" i="3"/>
  <c r="T51" i="3" s="1"/>
  <c r="U51" i="3" s="1"/>
  <c r="U140" i="3"/>
  <c r="R189" i="3"/>
  <c r="R141" i="3"/>
  <c r="M131" i="3"/>
  <c r="N131" i="3" s="1"/>
  <c r="O131" i="3" s="1"/>
  <c r="P131" i="3" s="1"/>
  <c r="Q131" i="3" s="1"/>
  <c r="M40" i="3"/>
  <c r="N40" i="3" s="1"/>
  <c r="O40" i="3" s="1"/>
  <c r="P40" i="3" s="1"/>
  <c r="Q40" i="3" s="1"/>
  <c r="R80" i="3"/>
  <c r="M198" i="3"/>
  <c r="N198" i="3" s="1"/>
  <c r="O198" i="3" s="1"/>
  <c r="P198" i="3" s="1"/>
  <c r="Q198" i="3" s="1"/>
  <c r="M36" i="3"/>
  <c r="N36" i="3" s="1"/>
  <c r="O36" i="3" s="1"/>
  <c r="P36" i="3" s="1"/>
  <c r="Q36" i="3" s="1"/>
  <c r="S74" i="3"/>
  <c r="T74" i="3" s="1"/>
  <c r="U74" i="3" s="1"/>
  <c r="S199" i="3"/>
  <c r="T199" i="3" s="1"/>
  <c r="U199" i="3" s="1"/>
  <c r="R37" i="3"/>
  <c r="M145" i="3"/>
  <c r="N145" i="3" s="1"/>
  <c r="O145" i="3" s="1"/>
  <c r="P145" i="3" s="1"/>
  <c r="Q145" i="3" s="1"/>
  <c r="R18" i="3"/>
  <c r="S110" i="3"/>
  <c r="T110" i="3" s="1"/>
  <c r="U110" i="3" s="1"/>
  <c r="M157" i="3"/>
  <c r="N157" i="3" s="1"/>
  <c r="O157" i="3" s="1"/>
  <c r="P157" i="3" s="1"/>
  <c r="Q157" i="3" s="1"/>
  <c r="M129" i="3"/>
  <c r="N129" i="3" s="1"/>
  <c r="O129" i="3" s="1"/>
  <c r="P129" i="3" s="1"/>
  <c r="Q129" i="3" s="1"/>
  <c r="M192" i="3"/>
  <c r="N192" i="3" s="1"/>
  <c r="O192" i="3" s="1"/>
  <c r="P192" i="3" s="1"/>
  <c r="Q192" i="3" s="1"/>
  <c r="M101" i="3"/>
  <c r="N101" i="3" s="1"/>
  <c r="O101" i="3" s="1"/>
  <c r="P101" i="3" s="1"/>
  <c r="Q101" i="3" s="1"/>
  <c r="R34" i="3"/>
  <c r="R16" i="3"/>
  <c r="R155" i="3"/>
  <c r="R5" i="3"/>
  <c r="R19" i="3"/>
  <c r="R26" i="3"/>
  <c r="R196" i="3"/>
  <c r="R123" i="3"/>
  <c r="R36" i="3"/>
  <c r="R181" i="3"/>
  <c r="R200" i="3"/>
  <c r="R35" i="3"/>
  <c r="R71" i="3"/>
  <c r="R9" i="3"/>
  <c r="R190" i="3"/>
  <c r="R75" i="3"/>
  <c r="R86" i="3"/>
  <c r="O22" i="3"/>
  <c r="P22" i="3" s="1"/>
  <c r="Q22" i="3" s="1"/>
  <c r="R90" i="3"/>
  <c r="R148" i="3"/>
  <c r="R95" i="3"/>
  <c r="R85" i="3"/>
  <c r="R100" i="3"/>
  <c r="R104" i="3"/>
  <c r="R17" i="3"/>
  <c r="R44" i="3"/>
  <c r="R10" i="3"/>
  <c r="R120" i="3"/>
  <c r="R40" i="3"/>
  <c r="R168" i="3"/>
  <c r="R76" i="3"/>
  <c r="R176" i="3"/>
  <c r="R6" i="3"/>
  <c r="R113" i="3"/>
  <c r="R165" i="3"/>
  <c r="R82" i="3"/>
  <c r="C31" i="1"/>
  <c r="Q182" i="3" l="1"/>
  <c r="R182" i="3"/>
  <c r="Q23" i="3"/>
  <c r="R23" i="3"/>
  <c r="Q55" i="3"/>
  <c r="R55" i="3"/>
  <c r="Q25" i="3"/>
  <c r="R25" i="3"/>
  <c r="R108" i="3"/>
  <c r="R158" i="3"/>
  <c r="R41" i="3"/>
  <c r="R197" i="3"/>
  <c r="R78" i="3"/>
  <c r="R150" i="3"/>
  <c r="R46" i="3"/>
  <c r="R22" i="3"/>
  <c r="R156" i="3"/>
  <c r="R193" i="3"/>
  <c r="R187" i="3"/>
  <c r="R143" i="3"/>
  <c r="R199" i="3"/>
  <c r="R166" i="3"/>
  <c r="R93" i="3"/>
  <c r="R24" i="3"/>
  <c r="R91" i="3"/>
  <c r="R84" i="3"/>
  <c r="R180" i="3"/>
  <c r="R30" i="3"/>
  <c r="R92" i="3"/>
  <c r="R183" i="3"/>
  <c r="R57" i="3"/>
  <c r="R139" i="3"/>
  <c r="R164" i="3"/>
  <c r="R137" i="3"/>
  <c r="R48" i="3"/>
  <c r="R103" i="3"/>
  <c r="R178" i="3"/>
  <c r="R99" i="3"/>
  <c r="R67" i="3"/>
  <c r="R33" i="3"/>
  <c r="R45" i="3"/>
  <c r="R121" i="3"/>
  <c r="R50" i="3"/>
  <c r="R162" i="3"/>
  <c r="R110" i="3"/>
  <c r="R163" i="3"/>
  <c r="R28" i="3"/>
  <c r="R170" i="3"/>
  <c r="R151" i="3"/>
  <c r="R173" i="3"/>
  <c r="R136" i="3"/>
  <c r="R87" i="3"/>
  <c r="R97" i="3"/>
  <c r="R38" i="3"/>
  <c r="R129" i="3"/>
  <c r="R157" i="3"/>
  <c r="R42" i="3"/>
  <c r="Q109" i="3"/>
  <c r="R109" i="3"/>
  <c r="Q89" i="3"/>
  <c r="R89" i="3"/>
  <c r="Q70" i="3"/>
  <c r="R70" i="3"/>
  <c r="O20" i="3"/>
  <c r="P20" i="3" s="1"/>
  <c r="Q20" i="3" s="1"/>
  <c r="Q171" i="3"/>
  <c r="R171" i="3"/>
  <c r="O15" i="3"/>
  <c r="P15" i="3" s="1"/>
  <c r="Q15" i="3" s="1"/>
  <c r="Q61" i="3"/>
  <c r="R61" i="3"/>
  <c r="R198" i="3"/>
  <c r="Q185" i="3"/>
  <c r="R185" i="3"/>
  <c r="Q175" i="3"/>
  <c r="R175" i="3"/>
  <c r="Q62" i="3"/>
  <c r="R62" i="3"/>
  <c r="Q153" i="3"/>
  <c r="R153" i="3"/>
  <c r="Q96" i="3"/>
  <c r="R96" i="3"/>
  <c r="Q191" i="3"/>
  <c r="R191" i="3"/>
  <c r="Q68" i="3"/>
  <c r="R68" i="3"/>
  <c r="Q77" i="3"/>
  <c r="R77" i="3"/>
  <c r="O16" i="3"/>
  <c r="P16" i="3" s="1"/>
  <c r="Q16" i="3" s="1"/>
  <c r="Q83" i="3"/>
  <c r="R83" i="3"/>
  <c r="Q114" i="3"/>
  <c r="R114" i="3"/>
  <c r="Q179" i="3"/>
  <c r="R179" i="3"/>
  <c r="Q107" i="3"/>
  <c r="R107" i="3"/>
  <c r="Q106" i="3"/>
  <c r="R106" i="3"/>
  <c r="Q116" i="3"/>
  <c r="R116" i="3"/>
  <c r="Q152" i="3"/>
  <c r="R152" i="3"/>
  <c r="Q134" i="3"/>
  <c r="R134" i="3"/>
  <c r="Q188" i="3"/>
  <c r="R188" i="3"/>
  <c r="Q72" i="3"/>
  <c r="R72" i="3"/>
  <c r="Q69" i="3"/>
  <c r="R69" i="3"/>
  <c r="Q59" i="3"/>
  <c r="R59" i="3"/>
  <c r="O17" i="3"/>
  <c r="P17" i="3" s="1"/>
  <c r="Q17" i="3" s="1"/>
  <c r="R115" i="3"/>
  <c r="R56" i="3"/>
  <c r="O5" i="3"/>
  <c r="P5" i="3" s="1"/>
  <c r="Q5" i="3" s="1"/>
  <c r="R125" i="3"/>
  <c r="O4" i="3"/>
  <c r="P4" i="3" s="1"/>
  <c r="Q4" i="3" s="1"/>
  <c r="O14" i="3"/>
  <c r="P14" i="3" s="1"/>
  <c r="Q14" i="3" s="1"/>
  <c r="R131" i="3"/>
  <c r="R146" i="3"/>
  <c r="R54" i="3"/>
  <c r="R79" i="3"/>
  <c r="R117" i="3"/>
  <c r="R51" i="3"/>
  <c r="R81" i="3"/>
  <c r="R49" i="3"/>
  <c r="R58" i="3"/>
  <c r="R118" i="3"/>
  <c r="O12" i="3"/>
  <c r="P12" i="3" s="1"/>
  <c r="Q12" i="3" s="1"/>
  <c r="O10" i="3"/>
  <c r="P10" i="3" s="1"/>
  <c r="Q10" i="3" s="1"/>
  <c r="R132" i="3"/>
  <c r="R184" i="3"/>
  <c r="R53" i="3"/>
  <c r="R111" i="3"/>
  <c r="R177" i="3"/>
  <c r="R127" i="3"/>
  <c r="O6" i="3"/>
  <c r="P6" i="3" s="1"/>
  <c r="Q6" i="3" s="1"/>
  <c r="O11" i="3"/>
  <c r="P11" i="3" s="1"/>
  <c r="Q11" i="3" s="1"/>
  <c r="R47" i="3"/>
  <c r="R60" i="3"/>
  <c r="O18" i="3"/>
  <c r="P18" i="3" s="1"/>
  <c r="Q18" i="3" s="1"/>
  <c r="O7" i="3"/>
  <c r="P7" i="3" s="1"/>
  <c r="Q7" i="3" s="1"/>
  <c r="R172" i="3"/>
  <c r="R122" i="3"/>
  <c r="R192" i="3"/>
  <c r="R112" i="3"/>
  <c r="R159" i="3"/>
  <c r="R195" i="3"/>
  <c r="R128" i="3"/>
  <c r="R167" i="3"/>
  <c r="C32" i="1"/>
  <c r="R66" i="3"/>
  <c r="R160" i="3"/>
  <c r="R126" i="3"/>
  <c r="O13" i="3"/>
  <c r="P13" i="3" s="1"/>
  <c r="Q13" i="3" s="1"/>
  <c r="R138" i="3"/>
  <c r="R124" i="3"/>
  <c r="Q98" i="3"/>
  <c r="R98" i="3"/>
  <c r="R74" i="3"/>
  <c r="O8" i="3"/>
  <c r="P8" i="3" s="1"/>
  <c r="Q8" i="3" s="1"/>
  <c r="O21" i="3"/>
  <c r="P21" i="3" s="1"/>
  <c r="Q21" i="3" s="1"/>
  <c r="R101" i="3"/>
  <c r="R102" i="3" s="1"/>
  <c r="R64" i="3"/>
  <c r="R161" i="3"/>
  <c r="O19" i="3"/>
  <c r="P19" i="3" s="1"/>
  <c r="Q19" i="3" s="1"/>
  <c r="O9" i="3"/>
  <c r="P9" i="3" s="1"/>
  <c r="Q9" i="3" s="1"/>
  <c r="R73" i="3"/>
  <c r="R186" i="3"/>
  <c r="R145" i="3"/>
  <c r="R52" i="3"/>
  <c r="A11" i="5"/>
  <c r="R63" i="3"/>
  <c r="C21" i="5" a="1"/>
  <c r="C19" i="5" a="1"/>
  <c r="C15" i="5" a="1"/>
  <c r="C16" i="5" a="1"/>
  <c r="C20" i="5" a="1"/>
  <c r="C27" i="5" a="1"/>
  <c r="C29" i="5" a="1"/>
  <c r="C24" i="5" a="1"/>
  <c r="C12" i="5" a="1"/>
  <c r="C18" i="5" a="1"/>
  <c r="C25" i="5" a="1"/>
  <c r="C26" i="5" a="1"/>
  <c r="C22" i="5" a="1"/>
  <c r="C14" i="5" a="1"/>
  <c r="C17" i="5" a="1"/>
  <c r="C13" i="5" a="1"/>
  <c r="C30" i="5" a="1"/>
  <c r="C23" i="5" a="1"/>
  <c r="C28" i="5" a="1"/>
  <c r="C18" i="5" l="1"/>
  <c r="C28" i="5"/>
  <c r="C30" i="5"/>
  <c r="C17" i="5"/>
  <c r="C22" i="5"/>
  <c r="C12" i="5"/>
  <c r="C16" i="5"/>
  <c r="C27" i="5"/>
  <c r="C20" i="5"/>
  <c r="C15" i="5"/>
  <c r="C19" i="5"/>
  <c r="C21" i="5"/>
  <c r="C23" i="5"/>
  <c r="C13" i="5"/>
  <c r="C14" i="5"/>
  <c r="C26" i="5"/>
  <c r="C25" i="5"/>
  <c r="C24" i="5"/>
  <c r="C29" i="5"/>
  <c r="C34" i="1"/>
  <c r="C31" i="5" a="1"/>
  <c r="C31" i="5" l="1"/>
  <c r="C35" i="1"/>
  <c r="C36" i="1" s="1"/>
  <c r="C37" i="1" s="1"/>
  <c r="C38" i="1" s="1"/>
  <c r="C39" i="1" s="1"/>
  <c r="C40" i="1" s="1"/>
  <c r="C42" i="1" s="1"/>
  <c r="C43" i="1" s="1"/>
  <c r="C44" i="1" s="1"/>
  <c r="C45" i="1" s="1"/>
  <c r="C46" i="1" s="1"/>
  <c r="C47" i="1" s="1"/>
  <c r="C49" i="1" s="1"/>
  <c r="C50" i="1" s="1"/>
  <c r="C51" i="1" s="1"/>
  <c r="C52" i="1" s="1"/>
  <c r="C53" i="1" s="1"/>
  <c r="C54" i="1" s="1"/>
  <c r="C56" i="1" s="1"/>
  <c r="C58" i="1" s="1"/>
  <c r="G10" i="3"/>
  <c r="G9" i="3"/>
  <c r="G12" i="3"/>
  <c r="C32" i="5" a="1"/>
  <c r="C32" i="5" l="1"/>
  <c r="H152" i="3"/>
  <c r="I152" i="3" s="1"/>
  <c r="J152" i="3" s="1"/>
  <c r="H194" i="3"/>
  <c r="I194" i="3" s="1"/>
  <c r="J194" i="3" s="1"/>
  <c r="H153" i="3"/>
  <c r="I153" i="3" s="1"/>
  <c r="J153" i="3" s="1"/>
  <c r="H126" i="3"/>
  <c r="I126" i="3" s="1"/>
  <c r="J126" i="3" s="1"/>
  <c r="H96" i="3"/>
  <c r="I96" i="3" s="1"/>
  <c r="J96" i="3" s="1"/>
  <c r="H162" i="3"/>
  <c r="I162" i="3" s="1"/>
  <c r="J162" i="3" s="1"/>
  <c r="B171" i="3"/>
  <c r="C171" i="3" s="1"/>
  <c r="H44" i="3"/>
  <c r="I44" i="3" s="1"/>
  <c r="J44" i="3" s="1"/>
  <c r="H76" i="3"/>
  <c r="I76" i="3" s="1"/>
  <c r="J76" i="3" s="1"/>
  <c r="B71" i="3"/>
  <c r="C71" i="3" s="1"/>
  <c r="B20" i="3"/>
  <c r="C20" i="3" s="1"/>
  <c r="H81" i="3"/>
  <c r="I81" i="3" s="1"/>
  <c r="J81" i="3" s="1"/>
  <c r="H27" i="3"/>
  <c r="I27" i="3" s="1"/>
  <c r="J27" i="3" s="1"/>
  <c r="B24" i="3"/>
  <c r="C24" i="3" s="1"/>
  <c r="H199" i="3"/>
  <c r="I199" i="3" s="1"/>
  <c r="J199" i="3" s="1"/>
  <c r="H22" i="3"/>
  <c r="I22" i="3" s="1"/>
  <c r="J22" i="3" s="1"/>
  <c r="B70" i="3"/>
  <c r="C70" i="3" s="1"/>
  <c r="J37" i="3"/>
  <c r="H129" i="3"/>
  <c r="I129" i="3" s="1"/>
  <c r="B114" i="3"/>
  <c r="C114" i="3" s="1"/>
  <c r="J135" i="3"/>
  <c r="B62" i="3"/>
  <c r="C62" i="3" s="1"/>
  <c r="H142" i="3"/>
  <c r="I142" i="3" s="1"/>
  <c r="J142" i="3" s="1"/>
  <c r="B69" i="3"/>
  <c r="C69" i="3" s="1"/>
  <c r="B89" i="3"/>
  <c r="C89" i="3" s="1"/>
  <c r="H155" i="3"/>
  <c r="I155" i="3" s="1"/>
  <c r="J155" i="3" s="1"/>
  <c r="H61" i="3"/>
  <c r="I61" i="3" s="1"/>
  <c r="J61" i="3" s="1"/>
  <c r="H20" i="3"/>
  <c r="I20" i="3" s="1"/>
  <c r="J20" i="3" s="1"/>
  <c r="B130" i="3"/>
  <c r="C130" i="3" s="1"/>
  <c r="H179" i="3"/>
  <c r="I179" i="3" s="1"/>
  <c r="J179" i="3" s="1"/>
  <c r="B154" i="3"/>
  <c r="C154" i="3" s="1"/>
  <c r="D181" i="3"/>
  <c r="E181" i="3" s="1"/>
  <c r="F181" i="3" s="1"/>
  <c r="C168" i="3"/>
  <c r="B75" i="3"/>
  <c r="C75" i="3" s="1"/>
  <c r="B128" i="3"/>
  <c r="C128" i="3" s="1"/>
  <c r="B47" i="3"/>
  <c r="C47" i="3" s="1"/>
  <c r="B50" i="3"/>
  <c r="C50" i="3" s="1"/>
  <c r="H188" i="3"/>
  <c r="I188" i="3" s="1"/>
  <c r="J188" i="3" s="1"/>
  <c r="H168" i="3"/>
  <c r="I168" i="3" s="1"/>
  <c r="J168" i="3" s="1"/>
  <c r="H98" i="3"/>
  <c r="I98" i="3" s="1"/>
  <c r="J98" i="3" s="1"/>
  <c r="E3" i="3"/>
  <c r="F3" i="3" s="1"/>
  <c r="H145" i="3"/>
  <c r="I145" i="3" s="1"/>
  <c r="J145" i="3" s="1"/>
  <c r="B102" i="3"/>
  <c r="C102" i="3" s="1"/>
  <c r="B25" i="3"/>
  <c r="C25" i="3" s="1"/>
  <c r="B118" i="3"/>
  <c r="C118" i="3" s="1"/>
  <c r="B146" i="3"/>
  <c r="C146" i="3" s="1"/>
  <c r="H16" i="3"/>
  <c r="I16" i="3" s="1"/>
  <c r="J16" i="3" s="1"/>
  <c r="B196" i="3"/>
  <c r="C196" i="3" s="1"/>
  <c r="B16" i="3"/>
  <c r="C16" i="3" s="1"/>
  <c r="B193" i="3"/>
  <c r="C193" i="3" s="1"/>
  <c r="H122" i="3"/>
  <c r="I122" i="3" s="1"/>
  <c r="J122" i="3" s="1"/>
  <c r="B79" i="3"/>
  <c r="C79" i="3" s="1"/>
  <c r="B174" i="3"/>
  <c r="C174" i="3" s="1"/>
  <c r="H17" i="3"/>
  <c r="I17" i="3" s="1"/>
  <c r="J17" i="3" s="1"/>
  <c r="H58" i="3"/>
  <c r="I58" i="3" s="1"/>
  <c r="J58" i="3" s="1"/>
  <c r="B150" i="3"/>
  <c r="C150" i="3" s="1"/>
  <c r="H4" i="3"/>
  <c r="I4" i="3" s="1"/>
  <c r="J4" i="3" s="1"/>
  <c r="G3" i="3"/>
  <c r="H31" i="3"/>
  <c r="I31" i="3" s="1"/>
  <c r="J31" i="3" s="1"/>
  <c r="H114" i="3"/>
  <c r="I114" i="3" s="1"/>
  <c r="J114" i="3" s="1"/>
  <c r="B191" i="3"/>
  <c r="C191" i="3" s="1"/>
  <c r="H14" i="3"/>
  <c r="I14" i="3" s="1"/>
  <c r="B94" i="3"/>
  <c r="C94" i="3" s="1"/>
  <c r="B124" i="3"/>
  <c r="C124" i="3" s="1"/>
  <c r="B46" i="3"/>
  <c r="C46" i="3" s="1"/>
  <c r="B34" i="3"/>
  <c r="C34" i="3" s="1"/>
  <c r="H144" i="3"/>
  <c r="I144" i="3" s="1"/>
  <c r="J144" i="3" s="1"/>
  <c r="H86" i="3"/>
  <c r="I86" i="3" s="1"/>
  <c r="J86" i="3" s="1"/>
  <c r="H47" i="3"/>
  <c r="I47" i="3" s="1"/>
  <c r="J47" i="3" s="1"/>
  <c r="B32" i="3"/>
  <c r="C32" i="3" s="1"/>
  <c r="H107" i="3"/>
  <c r="I107" i="3" s="1"/>
  <c r="J107" i="3" s="1"/>
  <c r="J8" i="3"/>
  <c r="H92" i="3"/>
  <c r="I92" i="3" s="1"/>
  <c r="J92" i="3" s="1"/>
  <c r="H70" i="3"/>
  <c r="I70" i="3" s="1"/>
  <c r="J70" i="3" s="1"/>
  <c r="H124" i="3"/>
  <c r="I124" i="3" s="1"/>
  <c r="J124" i="3" s="1"/>
  <c r="B90" i="3"/>
  <c r="C90" i="3" s="1"/>
  <c r="B81" i="3"/>
  <c r="C81" i="3" s="1"/>
  <c r="B153" i="3"/>
  <c r="C153" i="3" s="1"/>
  <c r="H24" i="3"/>
  <c r="I24" i="3" s="1"/>
  <c r="J24" i="3" s="1"/>
  <c r="H13" i="3"/>
  <c r="I13" i="3" s="1"/>
  <c r="B141" i="3"/>
  <c r="C141" i="3" s="1"/>
  <c r="H111" i="3"/>
  <c r="I111" i="3" s="1"/>
  <c r="J111" i="3" s="1"/>
  <c r="B167" i="3"/>
  <c r="C167" i="3" s="1"/>
  <c r="B51" i="3"/>
  <c r="C51" i="3" s="1"/>
  <c r="H7" i="3"/>
  <c r="I7" i="3" s="1"/>
  <c r="J7" i="3" s="1"/>
  <c r="H141" i="3"/>
  <c r="I141" i="3" s="1"/>
  <c r="J141" i="3" s="1"/>
  <c r="H34" i="3"/>
  <c r="I34" i="3" s="1"/>
  <c r="J34" i="3" s="1"/>
  <c r="H187" i="3"/>
  <c r="I187" i="3" s="1"/>
  <c r="J187" i="3" s="1"/>
  <c r="H48" i="3"/>
  <c r="I48" i="3" s="1"/>
  <c r="J48" i="3" s="1"/>
  <c r="B168" i="3"/>
  <c r="B164" i="3"/>
  <c r="C164" i="3" s="1"/>
  <c r="B17" i="3"/>
  <c r="C17" i="3" s="1"/>
  <c r="B132" i="3"/>
  <c r="C132" i="3" s="1"/>
  <c r="B63" i="3"/>
  <c r="C63" i="3" s="1"/>
  <c r="B183" i="3"/>
  <c r="C183" i="3" s="1"/>
  <c r="H180" i="3"/>
  <c r="I180" i="3" s="1"/>
  <c r="J180" i="3" s="1"/>
  <c r="B112" i="3"/>
  <c r="C112" i="3" s="1"/>
  <c r="J28" i="3"/>
  <c r="B172" i="3"/>
  <c r="C172" i="3" s="1"/>
  <c r="B176" i="3"/>
  <c r="C176" i="3" s="1"/>
  <c r="B122" i="3"/>
  <c r="C122" i="3" s="1"/>
  <c r="B155" i="3"/>
  <c r="C155" i="3" s="1"/>
  <c r="B188" i="3"/>
  <c r="C188" i="3" s="1"/>
  <c r="C66" i="3"/>
  <c r="B199" i="3"/>
  <c r="C199" i="3" s="1"/>
  <c r="H163" i="3"/>
  <c r="I163" i="3" s="1"/>
  <c r="J163" i="3" s="1"/>
  <c r="H189" i="3"/>
  <c r="I189" i="3" s="1"/>
  <c r="J189" i="3" s="1"/>
  <c r="H183" i="3"/>
  <c r="I183" i="3" s="1"/>
  <c r="J183" i="3" s="1"/>
  <c r="B197" i="3"/>
  <c r="B181" i="3"/>
  <c r="C181" i="3" s="1"/>
  <c r="K181" i="3" s="1"/>
  <c r="H128" i="3"/>
  <c r="I128" i="3" s="1"/>
  <c r="J128" i="3" s="1"/>
  <c r="H171" i="3"/>
  <c r="I171" i="3" s="1"/>
  <c r="J171" i="3" s="1"/>
  <c r="H197" i="3"/>
  <c r="I197" i="3" s="1"/>
  <c r="J197" i="3" s="1"/>
  <c r="H140" i="3"/>
  <c r="I140" i="3" s="1"/>
  <c r="J140" i="3" s="1"/>
  <c r="B3" i="3"/>
  <c r="B165" i="3"/>
  <c r="C165" i="3" s="1"/>
  <c r="H55" i="3"/>
  <c r="I55" i="3" s="1"/>
  <c r="J55" i="3" s="1"/>
  <c r="G7" i="3"/>
  <c r="H150" i="3"/>
  <c r="I150" i="3" s="1"/>
  <c r="J150" i="3" s="1"/>
  <c r="B159" i="3"/>
  <c r="C159" i="3" s="1"/>
  <c r="B93" i="3"/>
  <c r="C93" i="3" s="1"/>
  <c r="B39" i="3"/>
  <c r="C39" i="3" s="1"/>
  <c r="H120" i="3"/>
  <c r="I120" i="3" s="1"/>
  <c r="J120" i="3" s="1"/>
  <c r="B59" i="3"/>
  <c r="C59" i="3" s="1"/>
  <c r="B137" i="3"/>
  <c r="C137" i="3" s="1"/>
  <c r="B29" i="3"/>
  <c r="C29" i="3" s="1"/>
  <c r="H30" i="3"/>
  <c r="I30" i="3" s="1"/>
  <c r="J30" i="3" s="1"/>
  <c r="H109" i="3"/>
  <c r="I109" i="3" s="1"/>
  <c r="J109" i="3" s="1"/>
  <c r="H90" i="3"/>
  <c r="I90" i="3" s="1"/>
  <c r="J90" i="3" s="1"/>
  <c r="B35" i="3"/>
  <c r="C35" i="3" s="1"/>
  <c r="H174" i="3"/>
  <c r="I174" i="3" s="1"/>
  <c r="J174" i="3" s="1"/>
  <c r="C197" i="3"/>
  <c r="C113" i="3"/>
  <c r="H19" i="3"/>
  <c r="I19" i="3" s="1"/>
  <c r="J19" i="3" s="1"/>
  <c r="H37" i="3"/>
  <c r="I37" i="3" s="1"/>
  <c r="B200" i="3"/>
  <c r="C200" i="3" s="1"/>
  <c r="H158" i="3"/>
  <c r="I158" i="3" s="1"/>
  <c r="H59" i="3"/>
  <c r="I59" i="3" s="1"/>
  <c r="B41" i="3"/>
  <c r="C41" i="3" s="1"/>
  <c r="H113" i="3"/>
  <c r="I113" i="3" s="1"/>
  <c r="J113" i="3" s="1"/>
  <c r="H182" i="3"/>
  <c r="I182" i="3" s="1"/>
  <c r="J182" i="3" s="1"/>
  <c r="H104" i="3"/>
  <c r="I104" i="3" s="1"/>
  <c r="J104" i="3" s="1"/>
  <c r="B65" i="3"/>
  <c r="C65" i="3" s="1"/>
  <c r="H51" i="3"/>
  <c r="I51" i="3" s="1"/>
  <c r="J51" i="3" s="1"/>
  <c r="B72" i="3"/>
  <c r="C72" i="3" s="1"/>
  <c r="B180" i="3"/>
  <c r="C180" i="3" s="1"/>
  <c r="B145" i="3"/>
  <c r="C145" i="3" s="1"/>
  <c r="B4" i="3"/>
  <c r="C4" i="3" s="1"/>
  <c r="B84" i="3"/>
  <c r="C84" i="3" s="1"/>
  <c r="H36" i="3"/>
  <c r="I36" i="3" s="1"/>
  <c r="J36" i="3" s="1"/>
  <c r="H119" i="3"/>
  <c r="I119" i="3" s="1"/>
  <c r="J119" i="3" s="1"/>
  <c r="H125" i="3"/>
  <c r="I125" i="3" s="1"/>
  <c r="J125" i="3" s="1"/>
  <c r="H156" i="3"/>
  <c r="I156" i="3" s="1"/>
  <c r="J156" i="3" s="1"/>
  <c r="G6" i="3"/>
  <c r="B27" i="3"/>
  <c r="C27" i="3" s="1"/>
  <c r="H123" i="3"/>
  <c r="I123" i="3" s="1"/>
  <c r="J123" i="3" s="1"/>
  <c r="B30" i="3"/>
  <c r="C30" i="3" s="1"/>
  <c r="B22" i="3"/>
  <c r="C22" i="3" s="1"/>
  <c r="B100" i="3"/>
  <c r="C100" i="3" s="1"/>
  <c r="H181" i="3"/>
  <c r="I181" i="3" s="1"/>
  <c r="J181" i="3" s="1"/>
  <c r="H102" i="3"/>
  <c r="I102" i="3" s="1"/>
  <c r="J102" i="3" s="1"/>
  <c r="B166" i="3"/>
  <c r="C166" i="3" s="1"/>
  <c r="B147" i="3"/>
  <c r="C147" i="3" s="1"/>
  <c r="H53" i="3"/>
  <c r="I53" i="3" s="1"/>
  <c r="J53" i="3" s="1"/>
  <c r="H29" i="3"/>
  <c r="I29" i="3" s="1"/>
  <c r="J29" i="3" s="1"/>
  <c r="H192" i="3"/>
  <c r="I192" i="3" s="1"/>
  <c r="J192" i="3" s="1"/>
  <c r="H5" i="3"/>
  <c r="I5" i="3" s="1"/>
  <c r="J5" i="3" s="1"/>
  <c r="B73" i="3"/>
  <c r="C73" i="3" s="1"/>
  <c r="H169" i="3"/>
  <c r="I169" i="3" s="1"/>
  <c r="J169" i="3" s="1"/>
  <c r="B48" i="3"/>
  <c r="C48" i="3" s="1"/>
  <c r="H79" i="3"/>
  <c r="I79" i="3" s="1"/>
  <c r="J79" i="3" s="1"/>
  <c r="H100" i="3"/>
  <c r="I100" i="3" s="1"/>
  <c r="J100" i="3" s="1"/>
  <c r="B187" i="3"/>
  <c r="C187" i="3" s="1"/>
  <c r="H143" i="3"/>
  <c r="I143" i="3" s="1"/>
  <c r="J143" i="3" s="1"/>
  <c r="H78" i="3"/>
  <c r="I78" i="3" s="1"/>
  <c r="J78" i="3" s="1"/>
  <c r="H136" i="3"/>
  <c r="I136" i="3" s="1"/>
  <c r="J136" i="3" s="1"/>
  <c r="B173" i="3"/>
  <c r="C173" i="3" s="1"/>
  <c r="B8" i="3"/>
  <c r="C8" i="3" s="1"/>
  <c r="H159" i="3"/>
  <c r="I159" i="3" s="1"/>
  <c r="J159" i="3" s="1"/>
  <c r="H200" i="3"/>
  <c r="I200" i="3" s="1"/>
  <c r="J200" i="3" s="1"/>
  <c r="H52" i="3"/>
  <c r="I52" i="3" s="1"/>
  <c r="J52" i="3" s="1"/>
  <c r="B116" i="3"/>
  <c r="C116" i="3" s="1"/>
  <c r="H64" i="3"/>
  <c r="I64" i="3" s="1"/>
  <c r="J64" i="3" s="1"/>
  <c r="B140" i="3"/>
  <c r="C140" i="3" s="1"/>
  <c r="B179" i="3"/>
  <c r="C179" i="3" s="1"/>
  <c r="H131" i="3"/>
  <c r="I131" i="3" s="1"/>
  <c r="J131" i="3" s="1"/>
  <c r="H130" i="3"/>
  <c r="I130" i="3" s="1"/>
  <c r="J130" i="3" s="1"/>
  <c r="H164" i="3"/>
  <c r="I164" i="3" s="1"/>
  <c r="J164" i="3" s="1"/>
  <c r="B106" i="3"/>
  <c r="C106" i="3" s="1"/>
  <c r="H196" i="3"/>
  <c r="I196" i="3" s="1"/>
  <c r="J196" i="3" s="1"/>
  <c r="B45" i="3"/>
  <c r="C45" i="3" s="1"/>
  <c r="B182" i="3"/>
  <c r="C182" i="3" s="1"/>
  <c r="B111" i="3"/>
  <c r="C111" i="3" s="1"/>
  <c r="B105" i="3"/>
  <c r="C105" i="3" s="1"/>
  <c r="B44" i="3"/>
  <c r="C44" i="3" s="1"/>
  <c r="B26" i="3"/>
  <c r="C26" i="3" s="1"/>
  <c r="B54" i="3"/>
  <c r="C54" i="3" s="1"/>
  <c r="H149" i="3"/>
  <c r="I149" i="3" s="1"/>
  <c r="J149" i="3" s="1"/>
  <c r="H87" i="3"/>
  <c r="I87" i="3" s="1"/>
  <c r="J87" i="3" s="1"/>
  <c r="H11" i="3"/>
  <c r="I11" i="3" s="1"/>
  <c r="J11" i="3" s="1"/>
  <c r="H63" i="3"/>
  <c r="I63" i="3" s="1"/>
  <c r="J63" i="3" s="1"/>
  <c r="B185" i="3"/>
  <c r="C185" i="3" s="1"/>
  <c r="K185" i="3" s="1"/>
  <c r="B177" i="3"/>
  <c r="C177" i="3" s="1"/>
  <c r="H110" i="3"/>
  <c r="I110" i="3" s="1"/>
  <c r="J110" i="3" s="1"/>
  <c r="B78" i="3"/>
  <c r="C78" i="3" s="1"/>
  <c r="B119" i="3"/>
  <c r="C119" i="3" s="1"/>
  <c r="H151" i="3"/>
  <c r="I151" i="3" s="1"/>
  <c r="J151" i="3" s="1"/>
  <c r="H173" i="3"/>
  <c r="I173" i="3" s="1"/>
  <c r="J173" i="3" s="1"/>
  <c r="B192" i="3"/>
  <c r="C192" i="3" s="1"/>
  <c r="H93" i="3"/>
  <c r="I93" i="3" s="1"/>
  <c r="J93" i="3" s="1"/>
  <c r="B160" i="3"/>
  <c r="C160" i="3" s="1"/>
  <c r="H177" i="3"/>
  <c r="I177" i="3" s="1"/>
  <c r="J177" i="3" s="1"/>
  <c r="B163" i="3"/>
  <c r="C163" i="3" s="1"/>
  <c r="B97" i="3"/>
  <c r="C97" i="3" s="1"/>
  <c r="H84" i="3"/>
  <c r="I84" i="3" s="1"/>
  <c r="J84" i="3" s="1"/>
  <c r="B98" i="3"/>
  <c r="C98" i="3" s="1"/>
  <c r="H62" i="3"/>
  <c r="I62" i="3" s="1"/>
  <c r="J62" i="3" s="1"/>
  <c r="H49" i="3"/>
  <c r="I49" i="3" s="1"/>
  <c r="J49" i="3" s="1"/>
  <c r="B9" i="3"/>
  <c r="C9" i="3" s="1"/>
  <c r="H115" i="3"/>
  <c r="I115" i="3" s="1"/>
  <c r="J115" i="3" s="1"/>
  <c r="B194" i="3"/>
  <c r="C194" i="3" s="1"/>
  <c r="B31" i="3"/>
  <c r="C31" i="3" s="1"/>
  <c r="B74" i="3"/>
  <c r="C74" i="3" s="1"/>
  <c r="H80" i="3"/>
  <c r="I80" i="3" s="1"/>
  <c r="J80" i="3" s="1"/>
  <c r="H38" i="3"/>
  <c r="I38" i="3" s="1"/>
  <c r="J38" i="3" s="1"/>
  <c r="H75" i="3"/>
  <c r="I75" i="3" s="1"/>
  <c r="J75" i="3" s="1"/>
  <c r="B57" i="3"/>
  <c r="C57" i="3" s="1"/>
  <c r="B18" i="3"/>
  <c r="C18" i="3" s="1"/>
  <c r="H95" i="3"/>
  <c r="I95" i="3" s="1"/>
  <c r="J95" i="3" s="1"/>
  <c r="H69" i="3"/>
  <c r="I69" i="3" s="1"/>
  <c r="J69" i="3" s="1"/>
  <c r="H138" i="3"/>
  <c r="I138" i="3" s="1"/>
  <c r="J138" i="3" s="1"/>
  <c r="B86" i="3"/>
  <c r="H57" i="3"/>
  <c r="I57" i="3" s="1"/>
  <c r="J57" i="3" s="1"/>
  <c r="B53" i="3"/>
  <c r="C53" i="3" s="1"/>
  <c r="H9" i="3"/>
  <c r="I9" i="3" s="1"/>
  <c r="J9" i="3" s="1"/>
  <c r="H23" i="3"/>
  <c r="I23" i="3" s="1"/>
  <c r="J23" i="3" s="1"/>
  <c r="B104" i="3"/>
  <c r="C104" i="3" s="1"/>
  <c r="H39" i="3"/>
  <c r="I39" i="3" s="1"/>
  <c r="J39" i="3" s="1"/>
  <c r="B127" i="3"/>
  <c r="C127" i="3" s="1"/>
  <c r="H56" i="3"/>
  <c r="I56" i="3" s="1"/>
  <c r="J56" i="3" s="1"/>
  <c r="J13" i="3"/>
  <c r="B157" i="3"/>
  <c r="C157" i="3" s="1"/>
  <c r="B58" i="3"/>
  <c r="C58" i="3" s="1"/>
  <c r="B158" i="3"/>
  <c r="C158" i="3" s="1"/>
  <c r="B15" i="3"/>
  <c r="C15" i="3" s="1"/>
  <c r="H32" i="3"/>
  <c r="I32" i="3" s="1"/>
  <c r="J32" i="3" s="1"/>
  <c r="H193" i="3"/>
  <c r="I193" i="3" s="1"/>
  <c r="J193" i="3" s="1"/>
  <c r="H10" i="3"/>
  <c r="I10" i="3" s="1"/>
  <c r="J10" i="3" s="1"/>
  <c r="H167" i="3"/>
  <c r="I167" i="3" s="1"/>
  <c r="J167" i="3" s="1"/>
  <c r="B117" i="3"/>
  <c r="C117" i="3" s="1"/>
  <c r="H106" i="3"/>
  <c r="I106" i="3" s="1"/>
  <c r="J106" i="3" s="1"/>
  <c r="B38" i="3"/>
  <c r="C38" i="3" s="1"/>
  <c r="B92" i="3"/>
  <c r="C92" i="3" s="1"/>
  <c r="B7" i="3"/>
  <c r="C7" i="3" s="1"/>
  <c r="H121" i="3"/>
  <c r="I121" i="3" s="1"/>
  <c r="J121" i="3" s="1"/>
  <c r="H190" i="3"/>
  <c r="I190" i="3" s="1"/>
  <c r="J190" i="3" s="1"/>
  <c r="H186" i="3"/>
  <c r="I186" i="3" s="1"/>
  <c r="J186" i="3" s="1"/>
  <c r="B10" i="3"/>
  <c r="H67" i="3"/>
  <c r="I67" i="3" s="1"/>
  <c r="J67" i="3" s="1"/>
  <c r="B28" i="3"/>
  <c r="C28" i="3" s="1"/>
  <c r="B82" i="3"/>
  <c r="C82" i="3" s="1"/>
  <c r="H83" i="3"/>
  <c r="I83" i="3" s="1"/>
  <c r="J83" i="3" s="1"/>
  <c r="B195" i="3"/>
  <c r="C195" i="3" s="1"/>
  <c r="B113" i="3"/>
  <c r="B88" i="3"/>
  <c r="C88" i="3" s="1"/>
  <c r="B135" i="3"/>
  <c r="C135" i="3" s="1"/>
  <c r="B6" i="3"/>
  <c r="C6" i="3" s="1"/>
  <c r="B126" i="3"/>
  <c r="C126" i="3" s="1"/>
  <c r="H43" i="3"/>
  <c r="I43" i="3" s="1"/>
  <c r="J43" i="3" s="1"/>
  <c r="B40" i="3"/>
  <c r="C40" i="3" s="1"/>
  <c r="B14" i="3"/>
  <c r="C14" i="3" s="1"/>
  <c r="H41" i="3"/>
  <c r="I41" i="3" s="1"/>
  <c r="J41" i="3" s="1"/>
  <c r="H161" i="3"/>
  <c r="I161" i="3" s="1"/>
  <c r="J161" i="3" s="1"/>
  <c r="H91" i="3"/>
  <c r="I91" i="3" s="1"/>
  <c r="J91" i="3" s="1"/>
  <c r="B23" i="3"/>
  <c r="C23" i="3" s="1"/>
  <c r="H89" i="3"/>
  <c r="I89" i="3" s="1"/>
  <c r="J89" i="3" s="1"/>
  <c r="B148" i="3"/>
  <c r="C148" i="3" s="1"/>
  <c r="B13" i="3"/>
  <c r="C13" i="3" s="1"/>
  <c r="B95" i="3"/>
  <c r="C95" i="3" s="1"/>
  <c r="H88" i="3"/>
  <c r="I88" i="3" s="1"/>
  <c r="J88" i="3" s="1"/>
  <c r="C152" i="3"/>
  <c r="B36" i="3"/>
  <c r="C36" i="3" s="1"/>
  <c r="B64" i="3"/>
  <c r="C64" i="3" s="1"/>
  <c r="B121" i="3"/>
  <c r="C121" i="3" s="1"/>
  <c r="H26" i="3"/>
  <c r="I26" i="3" s="1"/>
  <c r="B133" i="3"/>
  <c r="C133" i="3" s="1"/>
  <c r="J14" i="3"/>
  <c r="B110" i="3"/>
  <c r="C110" i="3" s="1"/>
  <c r="B85" i="3"/>
  <c r="C85" i="3" s="1"/>
  <c r="J158" i="3"/>
  <c r="H170" i="3"/>
  <c r="I170" i="3" s="1"/>
  <c r="J170" i="3" s="1"/>
  <c r="H18" i="3"/>
  <c r="I18" i="3" s="1"/>
  <c r="J18" i="3" s="1"/>
  <c r="H54" i="3"/>
  <c r="I54" i="3" s="1"/>
  <c r="J54" i="3" s="1"/>
  <c r="H45" i="3"/>
  <c r="I45" i="3" s="1"/>
  <c r="J45" i="3" s="1"/>
  <c r="B143" i="3"/>
  <c r="C143" i="3" s="1"/>
  <c r="B68" i="3"/>
  <c r="C68" i="3" s="1"/>
  <c r="H157" i="3"/>
  <c r="I157" i="3" s="1"/>
  <c r="J157" i="3" s="1"/>
  <c r="B101" i="3"/>
  <c r="C101" i="3" s="1"/>
  <c r="H72" i="3"/>
  <c r="I72" i="3" s="1"/>
  <c r="J72" i="3" s="1"/>
  <c r="B56" i="3"/>
  <c r="C56" i="3" s="1"/>
  <c r="H165" i="3"/>
  <c r="I165" i="3" s="1"/>
  <c r="J165" i="3" s="1"/>
  <c r="B52" i="3"/>
  <c r="C52" i="3" s="1"/>
  <c r="H25" i="3"/>
  <c r="I25" i="3" s="1"/>
  <c r="J25" i="3" s="1"/>
  <c r="H112" i="3"/>
  <c r="I112" i="3" s="1"/>
  <c r="J112" i="3" s="1"/>
  <c r="H134" i="3"/>
  <c r="I134" i="3" s="1"/>
  <c r="J134" i="3" s="1"/>
  <c r="B83" i="3"/>
  <c r="C83" i="3" s="1"/>
  <c r="B152" i="3"/>
  <c r="H6" i="3"/>
  <c r="I6" i="3" s="1"/>
  <c r="J6" i="3" s="1"/>
  <c r="B11" i="3"/>
  <c r="C11" i="3"/>
  <c r="B175" i="3"/>
  <c r="C175" i="3" s="1"/>
  <c r="H195" i="3"/>
  <c r="I195" i="3" s="1"/>
  <c r="J195" i="3" s="1"/>
  <c r="B76" i="3"/>
  <c r="C76" i="3" s="1"/>
  <c r="C10" i="3"/>
  <c r="H68" i="3"/>
  <c r="I68" i="3" s="1"/>
  <c r="J68" i="3" s="1"/>
  <c r="B37" i="3"/>
  <c r="C37" i="3" s="1"/>
  <c r="H97" i="3"/>
  <c r="I97" i="3" s="1"/>
  <c r="J97" i="3" s="1"/>
  <c r="H184" i="3"/>
  <c r="I184" i="3" s="1"/>
  <c r="J184" i="3" s="1"/>
  <c r="B178" i="3"/>
  <c r="C178" i="3" s="1"/>
  <c r="B139" i="3"/>
  <c r="C139" i="3" s="1"/>
  <c r="B67" i="3"/>
  <c r="C67" i="3" s="1"/>
  <c r="B134" i="3"/>
  <c r="C134" i="3" s="1"/>
  <c r="B103" i="3"/>
  <c r="C103" i="3" s="1"/>
  <c r="B108" i="3"/>
  <c r="C108" i="3" s="1"/>
  <c r="B129" i="3"/>
  <c r="C129" i="3" s="1"/>
  <c r="H103" i="3"/>
  <c r="I103" i="3" s="1"/>
  <c r="J103" i="3" s="1"/>
  <c r="H146" i="3"/>
  <c r="I146" i="3" s="1"/>
  <c r="J146" i="3" s="1"/>
  <c r="H185" i="3"/>
  <c r="I185" i="3" s="1"/>
  <c r="J185" i="3" s="1"/>
  <c r="G21" i="3"/>
  <c r="H33" i="3"/>
  <c r="I33" i="3" s="1"/>
  <c r="J33" i="3" s="1"/>
  <c r="B91" i="3"/>
  <c r="C91" i="3" s="1"/>
  <c r="H65" i="3"/>
  <c r="I65" i="3" s="1"/>
  <c r="J65" i="3" s="1"/>
  <c r="B125" i="3"/>
  <c r="C125" i="3" s="1"/>
  <c r="H133" i="3"/>
  <c r="I133" i="3" s="1"/>
  <c r="J133" i="3" s="1"/>
  <c r="H60" i="3"/>
  <c r="I60" i="3" s="1"/>
  <c r="J60" i="3" s="1"/>
  <c r="B5" i="3"/>
  <c r="C5" i="3" s="1"/>
  <c r="B77" i="3"/>
  <c r="C77" i="3" s="1"/>
  <c r="B21" i="3"/>
  <c r="C21" i="3" s="1"/>
  <c r="H108" i="3"/>
  <c r="I108" i="3" s="1"/>
  <c r="J108" i="3" s="1"/>
  <c r="H82" i="3"/>
  <c r="I82" i="3" s="1"/>
  <c r="J82" i="3" s="1"/>
  <c r="B60" i="3"/>
  <c r="C60" i="3" s="1"/>
  <c r="H85" i="3"/>
  <c r="I85" i="3" s="1"/>
  <c r="J85" i="3" s="1"/>
  <c r="H3" i="3"/>
  <c r="I3" i="3" s="1"/>
  <c r="J3" i="3" s="1"/>
  <c r="H154" i="3"/>
  <c r="I154" i="3" s="1"/>
  <c r="J154" i="3" s="1"/>
  <c r="C3" i="3"/>
  <c r="H74" i="3"/>
  <c r="I74" i="3" s="1"/>
  <c r="J74" i="3" s="1"/>
  <c r="B109" i="3"/>
  <c r="C109" i="3" s="1"/>
  <c r="H99" i="3"/>
  <c r="I99" i="3" s="1"/>
  <c r="J99" i="3" s="1"/>
  <c r="B87" i="3"/>
  <c r="C87" i="3" s="1"/>
  <c r="H28" i="3"/>
  <c r="I28" i="3" s="1"/>
  <c r="B169" i="3"/>
  <c r="C169" i="3" s="1"/>
  <c r="H21" i="3"/>
  <c r="I21" i="3" s="1"/>
  <c r="J21" i="3" s="1"/>
  <c r="G11" i="3"/>
  <c r="B66" i="3"/>
  <c r="H73" i="3"/>
  <c r="I73" i="3" s="1"/>
  <c r="J73" i="3" s="1"/>
  <c r="B49" i="3"/>
  <c r="C49" i="3" s="1"/>
  <c r="G13" i="3"/>
  <c r="B115" i="3"/>
  <c r="C115" i="3" s="1"/>
  <c r="H8" i="3"/>
  <c r="I8" i="3" s="1"/>
  <c r="B151" i="3"/>
  <c r="C151" i="3" s="1"/>
  <c r="C86" i="3"/>
  <c r="J26" i="3"/>
  <c r="H191" i="3"/>
  <c r="I191" i="3" s="1"/>
  <c r="J191" i="3" s="1"/>
  <c r="B144" i="3"/>
  <c r="C144" i="3" s="1"/>
  <c r="H137" i="3"/>
  <c r="I137" i="3" s="1"/>
  <c r="J137" i="3" s="1"/>
  <c r="B138" i="3"/>
  <c r="C138" i="3" s="1"/>
  <c r="H172" i="3"/>
  <c r="I172" i="3" s="1"/>
  <c r="J172" i="3" s="1"/>
  <c r="H175" i="3"/>
  <c r="I175" i="3" s="1"/>
  <c r="J175" i="3" s="1"/>
  <c r="B61" i="3"/>
  <c r="C61" i="3" s="1"/>
  <c r="B156" i="3"/>
  <c r="C156" i="3" s="1"/>
  <c r="H15" i="3"/>
  <c r="I15" i="3" s="1"/>
  <c r="J15" i="3" s="1"/>
  <c r="D3" i="3"/>
  <c r="H148" i="3"/>
  <c r="I148" i="3" s="1"/>
  <c r="J148" i="3" s="1"/>
  <c r="B189" i="3"/>
  <c r="C189" i="3" s="1"/>
  <c r="H127" i="3"/>
  <c r="I127" i="3" s="1"/>
  <c r="J127" i="3" s="1"/>
  <c r="B99" i="3"/>
  <c r="C99" i="3" s="1"/>
  <c r="G20" i="3"/>
  <c r="D185" i="3"/>
  <c r="E185" i="3" s="1"/>
  <c r="F185" i="3" s="1"/>
  <c r="H198" i="3"/>
  <c r="I198" i="3" s="1"/>
  <c r="J198" i="3" s="1"/>
  <c r="H50" i="3"/>
  <c r="I50" i="3" s="1"/>
  <c r="J50" i="3" s="1"/>
  <c r="B190" i="3"/>
  <c r="C190" i="3" s="1"/>
  <c r="H42" i="3"/>
  <c r="I42" i="3" s="1"/>
  <c r="J42" i="3" s="1"/>
  <c r="B42" i="3"/>
  <c r="C42" i="3" s="1"/>
  <c r="H117" i="3"/>
  <c r="I117" i="3" s="1"/>
  <c r="J117" i="3" s="1"/>
  <c r="B120" i="3"/>
  <c r="C120" i="3" s="1"/>
  <c r="G15" i="3"/>
  <c r="B161" i="3"/>
  <c r="C161" i="3" s="1"/>
  <c r="H12" i="3"/>
  <c r="I12" i="3" s="1"/>
  <c r="J12" i="3" s="1"/>
  <c r="H94" i="3"/>
  <c r="I94" i="3" s="1"/>
  <c r="J94" i="3" s="1"/>
  <c r="B184" i="3"/>
  <c r="C184" i="3" s="1"/>
  <c r="H178" i="3"/>
  <c r="I178" i="3" s="1"/>
  <c r="J178" i="3" s="1"/>
  <c r="J59" i="3"/>
  <c r="B55" i="3"/>
  <c r="C55" i="3" s="1"/>
  <c r="H66" i="3"/>
  <c r="I66" i="3" s="1"/>
  <c r="J66" i="3" s="1"/>
  <c r="B43" i="3"/>
  <c r="C43" i="3" s="1"/>
  <c r="H77" i="3"/>
  <c r="I77" i="3" s="1"/>
  <c r="J77" i="3" s="1"/>
  <c r="B149" i="3"/>
  <c r="C149" i="3" s="1"/>
  <c r="H139" i="3"/>
  <c r="I139" i="3" s="1"/>
  <c r="J139" i="3" s="1"/>
  <c r="B123" i="3"/>
  <c r="C123" i="3" s="1"/>
  <c r="H71" i="3"/>
  <c r="I71" i="3" s="1"/>
  <c r="J71" i="3" s="1"/>
  <c r="H176" i="3"/>
  <c r="I176" i="3" s="1"/>
  <c r="J176" i="3" s="1"/>
  <c r="G181" i="3"/>
  <c r="H105" i="3"/>
  <c r="I105" i="3" s="1"/>
  <c r="J105" i="3" s="1"/>
  <c r="G5" i="3"/>
  <c r="B186" i="3"/>
  <c r="C186" i="3" s="1"/>
  <c r="B170" i="3"/>
  <c r="C170" i="3" s="1"/>
  <c r="H135" i="3"/>
  <c r="I135" i="3" s="1"/>
  <c r="B96" i="3"/>
  <c r="C96" i="3" s="1"/>
  <c r="B12" i="3"/>
  <c r="C12" i="3" s="1"/>
  <c r="H166" i="3"/>
  <c r="I166" i="3" s="1"/>
  <c r="J166" i="3" s="1"/>
  <c r="H35" i="3"/>
  <c r="I35" i="3" s="1"/>
  <c r="J35" i="3" s="1"/>
  <c r="H40" i="3"/>
  <c r="I40" i="3" s="1"/>
  <c r="J40" i="3" s="1"/>
  <c r="G4" i="3"/>
  <c r="J129" i="3"/>
  <c r="H116" i="3"/>
  <c r="I116" i="3" s="1"/>
  <c r="J116" i="3" s="1"/>
  <c r="B162" i="3"/>
  <c r="C162" i="3" s="1"/>
  <c r="H132" i="3"/>
  <c r="I132" i="3" s="1"/>
  <c r="J132" i="3" s="1"/>
  <c r="H147" i="3"/>
  <c r="I147" i="3" s="1"/>
  <c r="J147" i="3" s="1"/>
  <c r="G14" i="3"/>
  <c r="H46" i="3"/>
  <c r="I46" i="3" s="1"/>
  <c r="J46" i="3" s="1"/>
  <c r="B107" i="3"/>
  <c r="C107" i="3" s="1"/>
  <c r="B80" i="3"/>
  <c r="C80" i="3" s="1"/>
  <c r="B131" i="3"/>
  <c r="C131" i="3" s="1"/>
  <c r="B136" i="3"/>
  <c r="C136" i="3" s="1"/>
  <c r="B198" i="3"/>
  <c r="C198" i="3" s="1"/>
  <c r="G19" i="3"/>
  <c r="G17" i="3"/>
  <c r="G16" i="3"/>
  <c r="H118" i="3"/>
  <c r="I118" i="3" s="1"/>
  <c r="J118" i="3" s="1"/>
  <c r="H101" i="3"/>
  <c r="I101" i="3" s="1"/>
  <c r="J101" i="3" s="1"/>
  <c r="B33" i="3"/>
  <c r="C33" i="3" s="1"/>
  <c r="G8" i="3"/>
  <c r="B142" i="3"/>
  <c r="C142" i="3" s="1"/>
  <c r="B19" i="3"/>
  <c r="C19" i="3" s="1"/>
  <c r="H160" i="3"/>
  <c r="I160" i="3" s="1"/>
  <c r="J160" i="3" s="1"/>
  <c r="G18" i="3"/>
  <c r="C33" i="5" a="1"/>
  <c r="C33" i="5" l="1"/>
  <c r="D178" i="3"/>
  <c r="E178" i="3" s="1"/>
  <c r="K178" i="3"/>
  <c r="D102" i="3"/>
  <c r="E102" i="3" s="1"/>
  <c r="K102" i="3"/>
  <c r="D139" i="3"/>
  <c r="E139" i="3" s="1"/>
  <c r="K139" i="3"/>
  <c r="D151" i="3"/>
  <c r="E151" i="3" s="1"/>
  <c r="K151" i="3"/>
  <c r="D126" i="3"/>
  <c r="E126" i="3" s="1"/>
  <c r="K126" i="3"/>
  <c r="D33" i="3"/>
  <c r="E33" i="3" s="1"/>
  <c r="K33" i="3"/>
  <c r="D99" i="3"/>
  <c r="E99" i="3" s="1"/>
  <c r="K99" i="3"/>
  <c r="D109" i="3"/>
  <c r="E109" i="3" s="1"/>
  <c r="K109" i="3"/>
  <c r="D52" i="3"/>
  <c r="E52" i="3" s="1"/>
  <c r="K52" i="3"/>
  <c r="D40" i="3"/>
  <c r="E40" i="3" s="1"/>
  <c r="K40" i="3"/>
  <c r="D187" i="3"/>
  <c r="E187" i="3" s="1"/>
  <c r="K187" i="3"/>
  <c r="D164" i="3"/>
  <c r="E164" i="3" s="1"/>
  <c r="K164" i="3"/>
  <c r="D71" i="3"/>
  <c r="E71" i="3" s="1"/>
  <c r="K71" i="3"/>
  <c r="D149" i="3"/>
  <c r="E149" i="3" s="1"/>
  <c r="K149" i="3"/>
  <c r="D156" i="3"/>
  <c r="E156" i="3" s="1"/>
  <c r="K156" i="3"/>
  <c r="D152" i="3"/>
  <c r="E152" i="3" s="1"/>
  <c r="K152" i="3"/>
  <c r="D104" i="3"/>
  <c r="E104" i="3" s="1"/>
  <c r="K104" i="3"/>
  <c r="D78" i="3"/>
  <c r="E78" i="3" s="1"/>
  <c r="K78" i="3"/>
  <c r="D197" i="3"/>
  <c r="E197" i="3" s="1"/>
  <c r="K197" i="3"/>
  <c r="D189" i="3"/>
  <c r="E189" i="3" s="1"/>
  <c r="K189" i="3"/>
  <c r="D87" i="3"/>
  <c r="E87" i="3" s="1"/>
  <c r="K87" i="3"/>
  <c r="D67" i="3"/>
  <c r="E67" i="3" s="1"/>
  <c r="K67" i="3"/>
  <c r="D133" i="3"/>
  <c r="E133" i="3" s="1"/>
  <c r="K133" i="3"/>
  <c r="D81" i="3"/>
  <c r="E81" i="3" s="1"/>
  <c r="K81" i="3"/>
  <c r="D154" i="3"/>
  <c r="E154" i="3" s="1"/>
  <c r="K154" i="3"/>
  <c r="D88" i="3"/>
  <c r="E88" i="3" s="1"/>
  <c r="K88" i="3"/>
  <c r="D80" i="3"/>
  <c r="E80" i="3" s="1"/>
  <c r="K80" i="3"/>
  <c r="D42" i="3"/>
  <c r="E42" i="3" s="1"/>
  <c r="K42" i="3"/>
  <c r="D6" i="3"/>
  <c r="K6" i="3"/>
  <c r="D54" i="3"/>
  <c r="E54" i="3" s="1"/>
  <c r="K54" i="3"/>
  <c r="D48" i="3"/>
  <c r="E48" i="3" s="1"/>
  <c r="K48" i="3"/>
  <c r="D35" i="3"/>
  <c r="E35" i="3" s="1"/>
  <c r="K35" i="3"/>
  <c r="D79" i="3"/>
  <c r="E79" i="3" s="1"/>
  <c r="K79" i="3"/>
  <c r="D193" i="3"/>
  <c r="E193" i="3" s="1"/>
  <c r="K193" i="3"/>
  <c r="D85" i="3"/>
  <c r="E85" i="3" s="1"/>
  <c r="K85" i="3"/>
  <c r="D7" i="3"/>
  <c r="K7" i="3"/>
  <c r="D173" i="3"/>
  <c r="E173" i="3" s="1"/>
  <c r="K173" i="3"/>
  <c r="D73" i="3"/>
  <c r="E73" i="3" s="1"/>
  <c r="K73" i="3"/>
  <c r="D84" i="3"/>
  <c r="E84" i="3" s="1"/>
  <c r="K84" i="3"/>
  <c r="D142" i="3"/>
  <c r="E142" i="3" s="1"/>
  <c r="K142" i="3"/>
  <c r="D161" i="3"/>
  <c r="E161" i="3" s="1"/>
  <c r="K161" i="3"/>
  <c r="D83" i="3"/>
  <c r="E83" i="3" s="1"/>
  <c r="K83" i="3"/>
  <c r="D38" i="3"/>
  <c r="E38" i="3" s="1"/>
  <c r="K38" i="3"/>
  <c r="D160" i="3"/>
  <c r="E160" i="3" s="1"/>
  <c r="K160" i="3"/>
  <c r="D105" i="3"/>
  <c r="E105" i="3" s="1"/>
  <c r="K105" i="3"/>
  <c r="D140" i="3"/>
  <c r="E140" i="3" s="1"/>
  <c r="K140" i="3"/>
  <c r="D4" i="3"/>
  <c r="K4" i="3"/>
  <c r="D41" i="3"/>
  <c r="E41" i="3" s="1"/>
  <c r="K41" i="3"/>
  <c r="D191" i="3"/>
  <c r="E191" i="3" s="1"/>
  <c r="K191" i="3"/>
  <c r="D186" i="3"/>
  <c r="E186" i="3" s="1"/>
  <c r="K186" i="3"/>
  <c r="G185" i="3"/>
  <c r="D138" i="3"/>
  <c r="E138" i="3" s="1"/>
  <c r="K138" i="3"/>
  <c r="D60" i="3"/>
  <c r="E60" i="3" s="1"/>
  <c r="K60" i="3"/>
  <c r="D77" i="3"/>
  <c r="E77" i="3" s="1"/>
  <c r="K77" i="3"/>
  <c r="D37" i="3"/>
  <c r="E37" i="3" s="1"/>
  <c r="K37" i="3"/>
  <c r="D23" i="3"/>
  <c r="K23" i="3"/>
  <c r="D195" i="3"/>
  <c r="E195" i="3" s="1"/>
  <c r="K195" i="3"/>
  <c r="D157" i="3"/>
  <c r="E157" i="3" s="1"/>
  <c r="K157" i="3"/>
  <c r="D31" i="3"/>
  <c r="E31" i="3" s="1"/>
  <c r="K31" i="3"/>
  <c r="D111" i="3"/>
  <c r="E111" i="3" s="1"/>
  <c r="K111" i="3"/>
  <c r="D145" i="3"/>
  <c r="E145" i="3" s="1"/>
  <c r="K145" i="3"/>
  <c r="D51" i="3"/>
  <c r="E51" i="3" s="1"/>
  <c r="K51" i="3"/>
  <c r="D16" i="3"/>
  <c r="K16" i="3"/>
  <c r="D194" i="3"/>
  <c r="E194" i="3" s="1"/>
  <c r="K194" i="3"/>
  <c r="D125" i="3"/>
  <c r="E125" i="3" s="1"/>
  <c r="K125" i="3"/>
  <c r="D103" i="3"/>
  <c r="E103" i="3" s="1"/>
  <c r="K103" i="3"/>
  <c r="D36" i="3"/>
  <c r="E36" i="3" s="1"/>
  <c r="K36" i="3"/>
  <c r="D18" i="3"/>
  <c r="K18" i="3"/>
  <c r="D119" i="3"/>
  <c r="E119" i="3" s="1"/>
  <c r="K119" i="3"/>
  <c r="D106" i="3"/>
  <c r="E106" i="3" s="1"/>
  <c r="K106" i="3"/>
  <c r="D166" i="3"/>
  <c r="E166" i="3" s="1"/>
  <c r="K166" i="3"/>
  <c r="D113" i="3"/>
  <c r="E113" i="3" s="1"/>
  <c r="K113" i="3"/>
  <c r="D155" i="3"/>
  <c r="E155" i="3" s="1"/>
  <c r="K155" i="3"/>
  <c r="D25" i="3"/>
  <c r="K25" i="3"/>
  <c r="D168" i="3"/>
  <c r="E168" i="3" s="1"/>
  <c r="K168" i="3"/>
  <c r="D184" i="3"/>
  <c r="E184" i="3" s="1"/>
  <c r="K184" i="3"/>
  <c r="D131" i="3"/>
  <c r="E131" i="3" s="1"/>
  <c r="K131" i="3"/>
  <c r="D134" i="3"/>
  <c r="E134" i="3" s="1"/>
  <c r="K134" i="3"/>
  <c r="D175" i="3"/>
  <c r="E175" i="3" s="1"/>
  <c r="K175" i="3"/>
  <c r="D57" i="3"/>
  <c r="E57" i="3" s="1"/>
  <c r="K57" i="3"/>
  <c r="D98" i="3"/>
  <c r="E98" i="3" s="1"/>
  <c r="K98" i="3"/>
  <c r="D39" i="3"/>
  <c r="E39" i="3" s="1"/>
  <c r="K39" i="3"/>
  <c r="D122" i="3"/>
  <c r="E122" i="3" s="1"/>
  <c r="K122" i="3"/>
  <c r="D153" i="3"/>
  <c r="E153" i="3" s="1"/>
  <c r="K153" i="3"/>
  <c r="D34" i="3"/>
  <c r="E34" i="3" s="1"/>
  <c r="K34" i="3"/>
  <c r="D114" i="3"/>
  <c r="E114" i="3" s="1"/>
  <c r="K114" i="3"/>
  <c r="D12" i="3"/>
  <c r="K12" i="3"/>
  <c r="D61" i="3"/>
  <c r="E61" i="3" s="1"/>
  <c r="K61" i="3"/>
  <c r="D86" i="3"/>
  <c r="E86" i="3" s="1"/>
  <c r="K86" i="3"/>
  <c r="K3" i="3"/>
  <c r="D91" i="3"/>
  <c r="E91" i="3" s="1"/>
  <c r="K91" i="3"/>
  <c r="D11" i="3"/>
  <c r="K11" i="3"/>
  <c r="D176" i="3"/>
  <c r="E176" i="3" s="1"/>
  <c r="K176" i="3"/>
  <c r="D46" i="3"/>
  <c r="E46" i="3" s="1"/>
  <c r="K46" i="3"/>
  <c r="D174" i="3"/>
  <c r="E174" i="3" s="1"/>
  <c r="K174" i="3"/>
  <c r="D19" i="3"/>
  <c r="K19" i="3"/>
  <c r="D96" i="3"/>
  <c r="E96" i="3" s="1"/>
  <c r="K96" i="3"/>
  <c r="D43" i="3"/>
  <c r="E43" i="3" s="1"/>
  <c r="K43" i="3"/>
  <c r="D49" i="3"/>
  <c r="E49" i="3" s="1"/>
  <c r="K49" i="3"/>
  <c r="D95" i="3"/>
  <c r="E95" i="3" s="1"/>
  <c r="K95" i="3"/>
  <c r="D15" i="3"/>
  <c r="K15" i="3"/>
  <c r="D97" i="3"/>
  <c r="E97" i="3" s="1"/>
  <c r="K97" i="3"/>
  <c r="D177" i="3"/>
  <c r="E177" i="3" s="1"/>
  <c r="K177" i="3"/>
  <c r="D8" i="3"/>
  <c r="K8" i="3"/>
  <c r="D100" i="3"/>
  <c r="E100" i="3" s="1"/>
  <c r="K100" i="3"/>
  <c r="D93" i="3"/>
  <c r="E93" i="3" s="1"/>
  <c r="K93" i="3"/>
  <c r="D172" i="3"/>
  <c r="E172" i="3" s="1"/>
  <c r="K172" i="3"/>
  <c r="D90" i="3"/>
  <c r="E90" i="3" s="1"/>
  <c r="K90" i="3"/>
  <c r="D124" i="3"/>
  <c r="E124" i="3" s="1"/>
  <c r="K124" i="3"/>
  <c r="D107" i="3"/>
  <c r="E107" i="3" s="1"/>
  <c r="K107" i="3"/>
  <c r="D56" i="3"/>
  <c r="E56" i="3" s="1"/>
  <c r="K56" i="3"/>
  <c r="D13" i="3"/>
  <c r="K13" i="3"/>
  <c r="D135" i="3"/>
  <c r="E135" i="3" s="1"/>
  <c r="K135" i="3"/>
  <c r="D158" i="3"/>
  <c r="E158" i="3" s="1"/>
  <c r="K158" i="3"/>
  <c r="D163" i="3"/>
  <c r="E163" i="3" s="1"/>
  <c r="K163" i="3"/>
  <c r="D26" i="3"/>
  <c r="K26" i="3"/>
  <c r="D22" i="3"/>
  <c r="K22" i="3"/>
  <c r="D159" i="3"/>
  <c r="E159" i="3" s="1"/>
  <c r="K159" i="3"/>
  <c r="D94" i="3"/>
  <c r="E94" i="3" s="1"/>
  <c r="K94" i="3"/>
  <c r="D130" i="3"/>
  <c r="E130" i="3" s="1"/>
  <c r="K130" i="3"/>
  <c r="D171" i="3"/>
  <c r="E171" i="3" s="1"/>
  <c r="K171" i="3"/>
  <c r="D115" i="3"/>
  <c r="E115" i="3" s="1"/>
  <c r="K115" i="3"/>
  <c r="D148" i="3"/>
  <c r="E148" i="3" s="1"/>
  <c r="K148" i="3"/>
  <c r="D92" i="3"/>
  <c r="E92" i="3" s="1"/>
  <c r="K92" i="3"/>
  <c r="D58" i="3"/>
  <c r="E58" i="3" s="1"/>
  <c r="K58" i="3"/>
  <c r="D44" i="3"/>
  <c r="E44" i="3" s="1"/>
  <c r="K44" i="3"/>
  <c r="D179" i="3"/>
  <c r="E179" i="3" s="1"/>
  <c r="K179" i="3"/>
  <c r="D30" i="3"/>
  <c r="E30" i="3" s="1"/>
  <c r="K30" i="3"/>
  <c r="D112" i="3"/>
  <c r="E112" i="3" s="1"/>
  <c r="K112" i="3"/>
  <c r="D70" i="3"/>
  <c r="E70" i="3" s="1"/>
  <c r="K70" i="3"/>
  <c r="D170" i="3"/>
  <c r="E170" i="3" s="1"/>
  <c r="K170" i="3"/>
  <c r="D55" i="3"/>
  <c r="E55" i="3" s="1"/>
  <c r="K55" i="3"/>
  <c r="D190" i="3"/>
  <c r="E190" i="3" s="1"/>
  <c r="K190" i="3"/>
  <c r="D21" i="3"/>
  <c r="K21" i="3"/>
  <c r="D101" i="3"/>
  <c r="E101" i="3" s="1"/>
  <c r="K101" i="3"/>
  <c r="D110" i="3"/>
  <c r="E110" i="3" s="1"/>
  <c r="K110" i="3"/>
  <c r="D53" i="3"/>
  <c r="E53" i="3" s="1"/>
  <c r="K53" i="3"/>
  <c r="D74" i="3"/>
  <c r="E74" i="3" s="1"/>
  <c r="K74" i="3"/>
  <c r="D198" i="3"/>
  <c r="E198" i="3" s="1"/>
  <c r="K198" i="3"/>
  <c r="D144" i="3"/>
  <c r="E144" i="3" s="1"/>
  <c r="K144" i="3"/>
  <c r="D5" i="3"/>
  <c r="K5" i="3"/>
  <c r="D192" i="3"/>
  <c r="E192" i="3" s="1"/>
  <c r="K192" i="3"/>
  <c r="D182" i="3"/>
  <c r="E182" i="3" s="1"/>
  <c r="K182" i="3"/>
  <c r="D180" i="3"/>
  <c r="E180" i="3" s="1"/>
  <c r="K180" i="3"/>
  <c r="D183" i="3"/>
  <c r="E183" i="3" s="1"/>
  <c r="K183" i="3"/>
  <c r="D167" i="3"/>
  <c r="E167" i="3" s="1"/>
  <c r="K167" i="3"/>
  <c r="D196" i="3"/>
  <c r="E196" i="3" s="1"/>
  <c r="K196" i="3"/>
  <c r="D50" i="3"/>
  <c r="E50" i="3" s="1"/>
  <c r="K50" i="3"/>
  <c r="D89" i="3"/>
  <c r="E89" i="3" s="1"/>
  <c r="K89" i="3"/>
  <c r="D24" i="3"/>
  <c r="K24" i="3"/>
  <c r="D136" i="3"/>
  <c r="E136" i="3" s="1"/>
  <c r="K136" i="3"/>
  <c r="D123" i="3"/>
  <c r="E123" i="3" s="1"/>
  <c r="K123" i="3"/>
  <c r="D68" i="3"/>
  <c r="E68" i="3" s="1"/>
  <c r="K68" i="3"/>
  <c r="D82" i="3"/>
  <c r="E82" i="3" s="1"/>
  <c r="K82" i="3"/>
  <c r="D45" i="3"/>
  <c r="E45" i="3" s="1"/>
  <c r="K45" i="3"/>
  <c r="D27" i="3"/>
  <c r="E27" i="3" s="1"/>
  <c r="K27" i="3"/>
  <c r="D72" i="3"/>
  <c r="E72" i="3" s="1"/>
  <c r="K72" i="3"/>
  <c r="D200" i="3"/>
  <c r="E200" i="3" s="1"/>
  <c r="K200" i="3"/>
  <c r="D29" i="3"/>
  <c r="E29" i="3" s="1"/>
  <c r="K29" i="3"/>
  <c r="D165" i="3"/>
  <c r="E165" i="3" s="1"/>
  <c r="K165" i="3"/>
  <c r="D199" i="3"/>
  <c r="E199" i="3" s="1"/>
  <c r="K199" i="3"/>
  <c r="D63" i="3"/>
  <c r="E63" i="3" s="1"/>
  <c r="K63" i="3"/>
  <c r="D32" i="3"/>
  <c r="E32" i="3" s="1"/>
  <c r="K32" i="3"/>
  <c r="D47" i="3"/>
  <c r="E47" i="3" s="1"/>
  <c r="K47" i="3"/>
  <c r="D69" i="3"/>
  <c r="E69" i="3" s="1"/>
  <c r="K69" i="3"/>
  <c r="D129" i="3"/>
  <c r="E129" i="3" s="1"/>
  <c r="K129" i="3"/>
  <c r="D10" i="3"/>
  <c r="K10" i="3"/>
  <c r="D143" i="3"/>
  <c r="E143" i="3" s="1"/>
  <c r="K143" i="3"/>
  <c r="D121" i="3"/>
  <c r="E121" i="3" s="1"/>
  <c r="K121" i="3"/>
  <c r="D28" i="3"/>
  <c r="E28" i="3" s="1"/>
  <c r="K28" i="3"/>
  <c r="D117" i="3"/>
  <c r="E117" i="3" s="1"/>
  <c r="K117" i="3"/>
  <c r="D9" i="3"/>
  <c r="K9" i="3"/>
  <c r="D116" i="3"/>
  <c r="E116" i="3" s="1"/>
  <c r="K116" i="3"/>
  <c r="D137" i="3"/>
  <c r="E137" i="3" s="1"/>
  <c r="K137" i="3"/>
  <c r="D66" i="3"/>
  <c r="E66" i="3" s="1"/>
  <c r="K66" i="3"/>
  <c r="D132" i="3"/>
  <c r="E132" i="3" s="1"/>
  <c r="K132" i="3"/>
  <c r="D141" i="3"/>
  <c r="E141" i="3" s="1"/>
  <c r="K141" i="3"/>
  <c r="D146" i="3"/>
  <c r="E146" i="3" s="1"/>
  <c r="K146" i="3"/>
  <c r="D128" i="3"/>
  <c r="E128" i="3" s="1"/>
  <c r="K128" i="3"/>
  <c r="D162" i="3"/>
  <c r="E162" i="3" s="1"/>
  <c r="K162" i="3"/>
  <c r="D120" i="3"/>
  <c r="E120" i="3" s="1"/>
  <c r="K120" i="3"/>
  <c r="D169" i="3"/>
  <c r="E169" i="3" s="1"/>
  <c r="K169" i="3"/>
  <c r="D108" i="3"/>
  <c r="E108" i="3" s="1"/>
  <c r="K108" i="3"/>
  <c r="D76" i="3"/>
  <c r="E76" i="3" s="1"/>
  <c r="K76" i="3"/>
  <c r="D64" i="3"/>
  <c r="E64" i="3" s="1"/>
  <c r="K64" i="3"/>
  <c r="D14" i="3"/>
  <c r="K14" i="3"/>
  <c r="D127" i="3"/>
  <c r="E127" i="3" s="1"/>
  <c r="K127" i="3"/>
  <c r="D147" i="3"/>
  <c r="E147" i="3" s="1"/>
  <c r="K147" i="3"/>
  <c r="D65" i="3"/>
  <c r="E65" i="3" s="1"/>
  <c r="K65" i="3"/>
  <c r="D59" i="3"/>
  <c r="E59" i="3" s="1"/>
  <c r="K59" i="3"/>
  <c r="A12" i="4"/>
  <c r="D188" i="3"/>
  <c r="E188" i="3" s="1"/>
  <c r="K188" i="3"/>
  <c r="D17" i="3"/>
  <c r="K17" i="3"/>
  <c r="D150" i="3"/>
  <c r="E150" i="3" s="1"/>
  <c r="K150" i="3"/>
  <c r="D118" i="3"/>
  <c r="E118" i="3" s="1"/>
  <c r="K118" i="3"/>
  <c r="D75" i="3"/>
  <c r="E75" i="3" s="1"/>
  <c r="K75" i="3"/>
  <c r="D62" i="3"/>
  <c r="E62" i="3" s="1"/>
  <c r="K62" i="3"/>
  <c r="D20" i="3"/>
  <c r="K20" i="3"/>
  <c r="C34" i="5" a="1"/>
  <c r="C13" i="4" a="1"/>
  <c r="C34" i="5" l="1"/>
  <c r="F27" i="3"/>
  <c r="G27" i="3"/>
  <c r="F44" i="3"/>
  <c r="G44" i="3"/>
  <c r="F31" i="3"/>
  <c r="G31" i="3"/>
  <c r="F41" i="3"/>
  <c r="G41" i="3"/>
  <c r="F35" i="3"/>
  <c r="G35" i="3"/>
  <c r="F32" i="3"/>
  <c r="G32" i="3"/>
  <c r="F45" i="3"/>
  <c r="G45" i="3"/>
  <c r="F42" i="3"/>
  <c r="G42" i="3"/>
  <c r="F29" i="3"/>
  <c r="G29" i="3"/>
  <c r="F43" i="3"/>
  <c r="G43" i="3"/>
  <c r="F38" i="3"/>
  <c r="G38" i="3"/>
  <c r="F33" i="3"/>
  <c r="G33" i="3"/>
  <c r="F40" i="3"/>
  <c r="G40" i="3"/>
  <c r="F39" i="3"/>
  <c r="G39" i="3"/>
  <c r="F28" i="3"/>
  <c r="G28" i="3"/>
  <c r="F30" i="3"/>
  <c r="G30" i="3"/>
  <c r="F34" i="3"/>
  <c r="G34" i="3"/>
  <c r="F36" i="3"/>
  <c r="G36" i="3"/>
  <c r="F37" i="3"/>
  <c r="G37" i="3"/>
  <c r="C13" i="4"/>
  <c r="F150" i="3"/>
  <c r="G150" i="3"/>
  <c r="F175" i="3"/>
  <c r="G175" i="3"/>
  <c r="F155" i="3"/>
  <c r="G155" i="3"/>
  <c r="F145" i="3"/>
  <c r="G145" i="3"/>
  <c r="F127" i="3"/>
  <c r="G127" i="3"/>
  <c r="F120" i="3"/>
  <c r="G120" i="3"/>
  <c r="F72" i="3"/>
  <c r="G72" i="3"/>
  <c r="F183" i="3"/>
  <c r="G183" i="3"/>
  <c r="F198" i="3"/>
  <c r="G198" i="3"/>
  <c r="F179" i="3"/>
  <c r="G179" i="3"/>
  <c r="F171" i="3"/>
  <c r="G171" i="3"/>
  <c r="F124" i="3"/>
  <c r="G124" i="3"/>
  <c r="F177" i="3"/>
  <c r="G177" i="3"/>
  <c r="F96" i="3"/>
  <c r="G96" i="3"/>
  <c r="F91" i="3"/>
  <c r="G91" i="3"/>
  <c r="F83" i="3"/>
  <c r="G83" i="3"/>
  <c r="E7" i="3"/>
  <c r="F54" i="3"/>
  <c r="G54" i="3"/>
  <c r="F81" i="3"/>
  <c r="G81" i="3"/>
  <c r="F78" i="3"/>
  <c r="G78" i="3"/>
  <c r="F164" i="3"/>
  <c r="G164" i="3"/>
  <c r="E17" i="3"/>
  <c r="F153" i="3"/>
  <c r="G153" i="3"/>
  <c r="F113" i="3"/>
  <c r="G113" i="3"/>
  <c r="F103" i="3"/>
  <c r="G103" i="3"/>
  <c r="F77" i="3"/>
  <c r="G77" i="3"/>
  <c r="F162" i="3"/>
  <c r="G162" i="3"/>
  <c r="F143" i="3"/>
  <c r="G143" i="3"/>
  <c r="E24" i="3"/>
  <c r="G24" i="3" s="1"/>
  <c r="F180" i="3"/>
  <c r="G180" i="3"/>
  <c r="F74" i="3"/>
  <c r="G74" i="3"/>
  <c r="F55" i="3"/>
  <c r="G55" i="3"/>
  <c r="F130" i="3"/>
  <c r="G130" i="3"/>
  <c r="F90" i="3"/>
  <c r="G90" i="3"/>
  <c r="E19" i="3"/>
  <c r="E4" i="3"/>
  <c r="F161" i="3"/>
  <c r="G161" i="3"/>
  <c r="E6" i="3"/>
  <c r="F133" i="3"/>
  <c r="G133" i="3"/>
  <c r="F104" i="3"/>
  <c r="G104" i="3"/>
  <c r="F126" i="3"/>
  <c r="G126" i="3"/>
  <c r="F188" i="3"/>
  <c r="G188" i="3"/>
  <c r="F122" i="3"/>
  <c r="G122" i="3"/>
  <c r="F131" i="3"/>
  <c r="G131" i="3"/>
  <c r="F166" i="3"/>
  <c r="G166" i="3"/>
  <c r="F60" i="3"/>
  <c r="G60" i="3"/>
  <c r="F64" i="3"/>
  <c r="G64" i="3"/>
  <c r="F128" i="3"/>
  <c r="G128" i="3"/>
  <c r="F116" i="3"/>
  <c r="G116" i="3"/>
  <c r="E10" i="3"/>
  <c r="F199" i="3"/>
  <c r="G199" i="3"/>
  <c r="F89" i="3"/>
  <c r="G89" i="3"/>
  <c r="F182" i="3"/>
  <c r="G182" i="3"/>
  <c r="F170" i="3"/>
  <c r="G170" i="3"/>
  <c r="F58" i="3"/>
  <c r="G58" i="3"/>
  <c r="F135" i="3"/>
  <c r="G135" i="3"/>
  <c r="F172" i="3"/>
  <c r="G172" i="3"/>
  <c r="F174" i="3"/>
  <c r="G174" i="3"/>
  <c r="F140" i="3"/>
  <c r="G140" i="3"/>
  <c r="F142" i="3"/>
  <c r="G142" i="3"/>
  <c r="F193" i="3"/>
  <c r="G193" i="3"/>
  <c r="F67" i="3"/>
  <c r="G67" i="3"/>
  <c r="F62" i="3"/>
  <c r="G62" i="3"/>
  <c r="F106" i="3"/>
  <c r="G106" i="3"/>
  <c r="F194" i="3"/>
  <c r="G194" i="3"/>
  <c r="F138" i="3"/>
  <c r="G138" i="3"/>
  <c r="F76" i="3"/>
  <c r="G76" i="3"/>
  <c r="E9" i="3"/>
  <c r="F129" i="3"/>
  <c r="G129" i="3"/>
  <c r="F82" i="3"/>
  <c r="G82" i="3"/>
  <c r="F50" i="3"/>
  <c r="G50" i="3"/>
  <c r="F110" i="3"/>
  <c r="G110" i="3"/>
  <c r="F70" i="3"/>
  <c r="G70" i="3"/>
  <c r="F159" i="3"/>
  <c r="G159" i="3"/>
  <c r="F93" i="3"/>
  <c r="G93" i="3"/>
  <c r="F95" i="3"/>
  <c r="G95" i="3"/>
  <c r="F105" i="3"/>
  <c r="G105" i="3"/>
  <c r="F84" i="3"/>
  <c r="G84" i="3"/>
  <c r="F80" i="3"/>
  <c r="G80" i="3"/>
  <c r="F87" i="3"/>
  <c r="G87" i="3"/>
  <c r="F156" i="3"/>
  <c r="G156" i="3"/>
  <c r="F139" i="3"/>
  <c r="G139" i="3"/>
  <c r="E12" i="3"/>
  <c r="F98" i="3"/>
  <c r="G98" i="3"/>
  <c r="F119" i="3"/>
  <c r="G119" i="3"/>
  <c r="E16" i="3"/>
  <c r="F195" i="3"/>
  <c r="G195" i="3"/>
  <c r="F65" i="3"/>
  <c r="G65" i="3"/>
  <c r="F108" i="3"/>
  <c r="G108" i="3"/>
  <c r="F141" i="3"/>
  <c r="G141" i="3"/>
  <c r="F117" i="3"/>
  <c r="G117" i="3"/>
  <c r="F69" i="3"/>
  <c r="G69" i="3"/>
  <c r="F68" i="3"/>
  <c r="G68" i="3"/>
  <c r="F196" i="3"/>
  <c r="G196" i="3"/>
  <c r="E5" i="3"/>
  <c r="F101" i="3"/>
  <c r="G101" i="3"/>
  <c r="F112" i="3"/>
  <c r="G112" i="3"/>
  <c r="F148" i="3"/>
  <c r="G148" i="3"/>
  <c r="E22" i="3"/>
  <c r="G22" i="3" s="1"/>
  <c r="F56" i="3"/>
  <c r="G56" i="3"/>
  <c r="F100" i="3"/>
  <c r="G100" i="3"/>
  <c r="F49" i="3"/>
  <c r="G49" i="3"/>
  <c r="F176" i="3"/>
  <c r="G176" i="3"/>
  <c r="F186" i="3"/>
  <c r="G186" i="3"/>
  <c r="F160" i="3"/>
  <c r="G160" i="3"/>
  <c r="F73" i="3"/>
  <c r="G73" i="3"/>
  <c r="F88" i="3"/>
  <c r="G88" i="3"/>
  <c r="F189" i="3"/>
  <c r="G189" i="3"/>
  <c r="F149" i="3"/>
  <c r="G149" i="3"/>
  <c r="F109" i="3"/>
  <c r="G109" i="3"/>
  <c r="F102" i="3"/>
  <c r="G102" i="3"/>
  <c r="F118" i="3"/>
  <c r="G118" i="3"/>
  <c r="F114" i="3"/>
  <c r="G114" i="3"/>
  <c r="F57" i="3"/>
  <c r="G57" i="3"/>
  <c r="E25" i="3"/>
  <c r="G25" i="3" s="1"/>
  <c r="E18" i="3"/>
  <c r="F51" i="3"/>
  <c r="G51" i="3"/>
  <c r="E23" i="3"/>
  <c r="G23" i="3" s="1"/>
  <c r="F66" i="3"/>
  <c r="G66" i="3"/>
  <c r="F121" i="3"/>
  <c r="G121" i="3"/>
  <c r="F136" i="3"/>
  <c r="G136" i="3"/>
  <c r="F190" i="3"/>
  <c r="G190" i="3"/>
  <c r="F163" i="3"/>
  <c r="G163" i="3"/>
  <c r="F134" i="3"/>
  <c r="G134" i="3"/>
  <c r="F111" i="3"/>
  <c r="G111" i="3"/>
  <c r="E14" i="3"/>
  <c r="F137" i="3"/>
  <c r="G137" i="3"/>
  <c r="F63" i="3"/>
  <c r="G63" i="3"/>
  <c r="F158" i="3"/>
  <c r="G158" i="3"/>
  <c r="F97" i="3"/>
  <c r="G97" i="3"/>
  <c r="F85" i="3"/>
  <c r="G85" i="3"/>
  <c r="F187" i="3"/>
  <c r="G187" i="3"/>
  <c r="E20" i="3"/>
  <c r="F86" i="3"/>
  <c r="G86" i="3"/>
  <c r="F125" i="3"/>
  <c r="G125" i="3"/>
  <c r="F53" i="3"/>
  <c r="G53" i="3"/>
  <c r="F94" i="3"/>
  <c r="G94" i="3"/>
  <c r="E15" i="3"/>
  <c r="F152" i="3"/>
  <c r="G152" i="3"/>
  <c r="F151" i="3"/>
  <c r="G151" i="3"/>
  <c r="F61" i="3"/>
  <c r="G61" i="3"/>
  <c r="F184" i="3"/>
  <c r="G184" i="3"/>
  <c r="F157" i="3"/>
  <c r="G157" i="3"/>
  <c r="F59" i="3"/>
  <c r="G59" i="3"/>
  <c r="F146" i="3"/>
  <c r="G146" i="3"/>
  <c r="F165" i="3"/>
  <c r="G165" i="3"/>
  <c r="F192" i="3"/>
  <c r="G192" i="3"/>
  <c r="F92" i="3"/>
  <c r="G92" i="3"/>
  <c r="E13" i="3"/>
  <c r="F46" i="3"/>
  <c r="G46" i="3"/>
  <c r="F79" i="3"/>
  <c r="G79" i="3"/>
  <c r="F52" i="3"/>
  <c r="G52" i="3"/>
  <c r="F75" i="3"/>
  <c r="G75" i="3"/>
  <c r="F168" i="3"/>
  <c r="G168" i="3"/>
  <c r="F147" i="3"/>
  <c r="G147" i="3"/>
  <c r="F169" i="3"/>
  <c r="G169" i="3"/>
  <c r="F132" i="3"/>
  <c r="G132" i="3"/>
  <c r="F47" i="3"/>
  <c r="G47" i="3"/>
  <c r="F200" i="3"/>
  <c r="G200" i="3"/>
  <c r="F123" i="3"/>
  <c r="G123" i="3"/>
  <c r="F167" i="3"/>
  <c r="G167" i="3"/>
  <c r="F144" i="3"/>
  <c r="G144" i="3"/>
  <c r="E21" i="3"/>
  <c r="F115" i="3"/>
  <c r="G115" i="3"/>
  <c r="E26" i="3"/>
  <c r="G26" i="3" s="1"/>
  <c r="F107" i="3"/>
  <c r="G107" i="3"/>
  <c r="E8" i="3"/>
  <c r="E11" i="3"/>
  <c r="F191" i="3"/>
  <c r="G191" i="3"/>
  <c r="F173" i="3"/>
  <c r="G173" i="3"/>
  <c r="F48" i="3"/>
  <c r="G48" i="3"/>
  <c r="F154" i="3"/>
  <c r="G154" i="3"/>
  <c r="F197" i="3"/>
  <c r="G197" i="3"/>
  <c r="F71" i="3"/>
  <c r="G71" i="3"/>
  <c r="F99" i="3"/>
  <c r="G99" i="3"/>
  <c r="F178" i="3"/>
  <c r="G178" i="3"/>
  <c r="C35" i="5" a="1"/>
  <c r="C35" i="5" l="1"/>
  <c r="F5" i="3"/>
  <c r="F6" i="3"/>
  <c r="F10" i="3"/>
  <c r="F7" i="3"/>
  <c r="F26" i="3"/>
  <c r="F14" i="3"/>
  <c r="F9" i="3"/>
  <c r="F4" i="3"/>
  <c r="F21" i="3"/>
  <c r="F15" i="3"/>
  <c r="F22" i="3"/>
  <c r="F19" i="3"/>
  <c r="F17" i="3"/>
  <c r="F23" i="3"/>
  <c r="F20" i="3"/>
  <c r="F13" i="3"/>
  <c r="F24" i="3"/>
  <c r="F16" i="3"/>
  <c r="F18" i="3"/>
  <c r="F11" i="3"/>
  <c r="F12" i="3"/>
  <c r="F25" i="3"/>
  <c r="F8" i="3"/>
  <c r="C36" i="5" a="1"/>
  <c r="C21" i="4" a="1"/>
  <c r="C29" i="4" a="1"/>
  <c r="C16" i="4" a="1"/>
  <c r="C14" i="4" a="1"/>
  <c r="C31" i="4" a="1"/>
  <c r="C23" i="4" a="1"/>
  <c r="C20" i="4" a="1"/>
  <c r="C22" i="4" a="1"/>
  <c r="C30" i="4" a="1"/>
  <c r="C25" i="4" a="1"/>
  <c r="C17" i="4" a="1"/>
  <c r="C18" i="4" a="1"/>
  <c r="C24" i="4" a="1"/>
  <c r="C26" i="4" a="1"/>
  <c r="C15" i="4" a="1"/>
  <c r="C19" i="4" a="1"/>
  <c r="C27" i="4" a="1"/>
  <c r="C28" i="4" a="1"/>
  <c r="C36" i="5" l="1"/>
  <c r="C23" i="4"/>
  <c r="C16" i="4"/>
  <c r="C27" i="4"/>
  <c r="C15" i="4"/>
  <c r="C29" i="4"/>
  <c r="C18" i="4"/>
  <c r="C25" i="4"/>
  <c r="C22" i="4"/>
  <c r="C31" i="4"/>
  <c r="C21" i="4"/>
  <c r="C14" i="4"/>
  <c r="C28" i="4"/>
  <c r="C19" i="4"/>
  <c r="C26" i="4"/>
  <c r="C24" i="4"/>
  <c r="C17" i="4"/>
  <c r="C30" i="4"/>
  <c r="C20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41" i="5" l="1"/>
  <c r="C36" i="4"/>
  <c r="C42" i="5" a="1"/>
  <c r="C37" i="4" a="1"/>
  <c r="C37" i="4" l="1"/>
  <c r="C42" i="5"/>
  <c r="C38" i="4" a="1"/>
  <c r="C43" i="5" a="1"/>
  <c r="C43" i="5" l="1"/>
  <c r="C38" i="4"/>
  <c r="C44" i="5" a="1"/>
  <c r="C39" i="4" a="1"/>
  <c r="C39" i="4" l="1"/>
  <c r="C44" i="5"/>
  <c r="C40" i="4" a="1"/>
  <c r="C45" i="5" a="1"/>
  <c r="C45" i="5" l="1"/>
  <c r="C40" i="4"/>
  <c r="C46" i="5" a="1"/>
  <c r="C41" i="4" a="1"/>
  <c r="C41" i="4" l="1"/>
  <c r="C46" i="5"/>
  <c r="C47" i="5" a="1"/>
  <c r="C42" i="4" a="1"/>
  <c r="C42" i="4" l="1"/>
  <c r="C47" i="5"/>
  <c r="C48" i="5" a="1"/>
  <c r="C43" i="4" a="1"/>
  <c r="C43" i="4" l="1"/>
  <c r="C48" i="5"/>
  <c r="C44" i="4" a="1"/>
  <c r="C49" i="5" a="1"/>
  <c r="C49" i="5" l="1"/>
  <c r="C44" i="4"/>
  <c r="C50" i="5" a="1"/>
  <c r="C45" i="4" a="1"/>
  <c r="C45" i="4" l="1"/>
  <c r="C50" i="5"/>
  <c r="C46" i="4" a="1"/>
  <c r="C51" i="5" a="1"/>
  <c r="C51" i="5" l="1"/>
  <c r="C46" i="4"/>
  <c r="C52" i="5" a="1"/>
  <c r="C47" i="4" a="1"/>
  <c r="C47" i="4" l="1"/>
  <c r="C52" i="5"/>
  <c r="C48" i="4" a="1"/>
  <c r="C53" i="5" a="1"/>
  <c r="C53" i="5" l="1"/>
  <c r="C48" i="4"/>
  <c r="C54" i="5" a="1"/>
  <c r="C49" i="4" a="1"/>
  <c r="C49" i="4" l="1"/>
  <c r="C54" i="5"/>
  <c r="C50" i="4" a="1"/>
  <c r="C55" i="5" a="1"/>
  <c r="C55" i="5" l="1"/>
  <c r="C50" i="4"/>
  <c r="C56" i="5" a="1"/>
  <c r="C51" i="4" a="1"/>
  <c r="C51" i="4" l="1"/>
  <c r="C56" i="5"/>
  <c r="C52" i="4" a="1"/>
  <c r="C57" i="5" a="1"/>
  <c r="C57" i="5" l="1"/>
  <c r="C52" i="4"/>
  <c r="C58" i="5" a="1"/>
  <c r="C53" i="4" a="1"/>
  <c r="C53" i="4" l="1"/>
  <c r="C58" i="5"/>
  <c r="C54" i="4" a="1"/>
  <c r="C59" i="5" a="1"/>
  <c r="C59" i="5" l="1"/>
  <c r="C54" i="4"/>
  <c r="C60" i="5" a="1"/>
  <c r="C55" i="4" a="1"/>
  <c r="C55" i="4" l="1"/>
  <c r="C60" i="5"/>
  <c r="C56" i="4" a="1"/>
  <c r="C61" i="5" a="1"/>
  <c r="C61" i="5" l="1"/>
  <c r="C56" i="4"/>
  <c r="C62" i="5" a="1"/>
  <c r="C57" i="4" a="1"/>
  <c r="C57" i="4" l="1"/>
  <c r="C62" i="5"/>
  <c r="C58" i="4" a="1"/>
  <c r="C63" i="5" a="1"/>
  <c r="C63" i="5" l="1"/>
  <c r="C58" i="4"/>
  <c r="C64" i="5" a="1"/>
  <c r="C59" i="4" a="1"/>
  <c r="C59" i="4" l="1"/>
  <c r="C64" i="5"/>
  <c r="C60" i="4" a="1"/>
  <c r="C65" i="5" a="1"/>
  <c r="C65" i="5" l="1"/>
  <c r="C60" i="4"/>
  <c r="C66" i="5" a="1"/>
  <c r="C61" i="4" a="1"/>
  <c r="C61" i="4" l="1"/>
  <c r="C66" i="5"/>
  <c r="C62" i="4" a="1"/>
  <c r="C67" i="5" a="1"/>
  <c r="C67" i="5" l="1"/>
  <c r="C62" i="4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0" i="4" a="1"/>
  <c r="C75" i="5" a="1"/>
  <c r="C75" i="5" l="1"/>
  <c r="C70" i="4"/>
  <c r="C76" i="5" a="1"/>
  <c r="C71" i="4" a="1"/>
  <c r="C71" i="4" l="1"/>
  <c r="C76" i="5"/>
  <c r="C72" i="4" a="1"/>
  <c r="C77" i="5" a="1"/>
  <c r="C77" i="5" l="1"/>
  <c r="C72" i="4"/>
  <c r="C78" i="5" a="1"/>
  <c r="C73" i="4" a="1"/>
  <c r="C73" i="4" l="1"/>
  <c r="C78" i="5"/>
  <c r="C74" i="4" a="1"/>
  <c r="C79" i="5" a="1"/>
  <c r="C79" i="5" l="1"/>
  <c r="C74" i="4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6" i="5" a="1"/>
  <c r="C81" i="4" a="1"/>
  <c r="C81" i="4" l="1"/>
  <c r="C86" i="5"/>
  <c r="C82" i="4" a="1"/>
  <c r="C87" i="5" a="1"/>
  <c r="C87" i="5" l="1"/>
  <c r="C82" i="4"/>
  <c r="C88" i="5" a="1"/>
  <c r="C83" i="4" a="1"/>
  <c r="C83" i="4" l="1"/>
  <c r="C88" i="5"/>
  <c r="C84" i="4" a="1"/>
  <c r="C89" i="5" a="1"/>
  <c r="C89" i="5" l="1"/>
  <c r="C84" i="4"/>
  <c r="C90" i="5" a="1"/>
  <c r="C85" i="4" a="1"/>
  <c r="C85" i="4" l="1"/>
  <c r="C90" i="5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5" i="5" a="1"/>
  <c r="C100" i="4" a="1"/>
  <c r="C100" i="4" l="1"/>
  <c r="C105" i="5"/>
  <c r="C101" i="4" a="1"/>
  <c r="C106" i="5" a="1"/>
  <c r="C106" i="5" l="1"/>
  <c r="C101" i="4"/>
  <c r="C107" i="5" a="1"/>
  <c r="C102" i="4" a="1"/>
  <c r="C102" i="4" l="1"/>
  <c r="C107" i="5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5" i="5" l="1"/>
  <c r="C110" i="4"/>
  <c r="C116" i="5" a="1"/>
  <c r="C111" i="4" a="1"/>
  <c r="C111" i="4" l="1"/>
  <c r="C116" i="5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9" i="5" l="1"/>
  <c r="C114" i="4"/>
  <c r="C120" i="5" a="1"/>
  <c r="C115" i="4" a="1"/>
  <c r="C115" i="4" l="1"/>
  <c r="C120" i="5"/>
  <c r="C116" i="4" a="1"/>
  <c r="C121" i="5" a="1"/>
  <c r="C121" i="5" l="1"/>
  <c r="C116" i="4"/>
  <c r="C122" i="5" a="1"/>
  <c r="C117" i="4" a="1"/>
  <c r="C117" i="4" l="1"/>
  <c r="C122" i="5"/>
  <c r="C118" i="4" a="1"/>
  <c r="C123" i="5" a="1"/>
  <c r="C123" i="5" l="1"/>
  <c r="C118" i="4"/>
  <c r="C124" i="5" a="1"/>
  <c r="C119" i="4" a="1"/>
  <c r="C119" i="4" l="1"/>
  <c r="C124" i="5"/>
  <c r="C120" i="4" a="1"/>
  <c r="C125" i="5" a="1"/>
  <c r="C125" i="5" l="1"/>
  <c r="C120" i="4"/>
  <c r="C126" i="5" a="1"/>
  <c r="C121" i="4" a="1"/>
  <c r="C121" i="4" l="1"/>
  <c r="C126" i="5"/>
  <c r="C127" i="5" a="1"/>
  <c r="C122" i="4" a="1"/>
  <c r="C122" i="4" l="1"/>
  <c r="C127" i="5"/>
  <c r="C128" i="5" a="1"/>
  <c r="C123" i="4" a="1"/>
  <c r="C123" i="4" l="1"/>
  <c r="C128" i="5"/>
  <c r="C129" i="5" a="1"/>
  <c r="C124" i="4" a="1"/>
  <c r="C124" i="4" l="1"/>
  <c r="C129" i="5"/>
  <c r="C130" i="5" a="1"/>
  <c r="C125" i="4" a="1"/>
  <c r="C125" i="4" l="1"/>
  <c r="C130" i="5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0" i="4" a="1"/>
  <c r="C135" i="5" a="1"/>
  <c r="C135" i="5" l="1"/>
  <c r="C130" i="4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9" i="5" l="1"/>
  <c r="C134" i="4"/>
  <c r="C140" i="5" a="1"/>
  <c r="C135" i="4" a="1"/>
  <c r="C135" i="4" l="1"/>
  <c r="C140" i="5"/>
  <c r="C141" i="5" a="1"/>
  <c r="C136" i="4" a="1"/>
  <c r="C136" i="4" l="1"/>
  <c r="C141" i="5"/>
  <c r="C142" i="5" a="1"/>
  <c r="C137" i="4" a="1"/>
  <c r="C137" i="4" l="1"/>
  <c r="C142" i="5"/>
  <c r="C138" i="4" a="1"/>
  <c r="C143" i="5" a="1"/>
  <c r="C143" i="5" l="1"/>
  <c r="C138" i="4"/>
  <c r="C144" i="5" a="1"/>
  <c r="C139" i="4" a="1"/>
  <c r="C139" i="4" l="1"/>
  <c r="C144" i="5"/>
  <c r="C140" i="4" a="1"/>
  <c r="C145" i="5" a="1"/>
  <c r="C145" i="5" l="1"/>
  <c r="C140" i="4"/>
  <c r="C146" i="5" a="1"/>
  <c r="C141" i="4" a="1"/>
  <c r="C141" i="4" l="1"/>
  <c r="C146" i="5"/>
  <c r="C142" i="4" a="1"/>
  <c r="C147" i="5" a="1"/>
  <c r="C147" i="5" l="1"/>
  <c r="C142" i="4"/>
  <c r="C148" i="5" a="1"/>
  <c r="C143" i="4" a="1"/>
  <c r="C143" i="4" l="1"/>
  <c r="C148" i="5"/>
  <c r="C144" i="4" a="1"/>
  <c r="C149" i="5" a="1"/>
  <c r="C149" i="5" l="1"/>
  <c r="C144" i="4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69" i="4" l="1"/>
  <c r="C174" i="5"/>
  <c r="C170" i="4" a="1"/>
  <c r="C175" i="5" a="1"/>
  <c r="C175" i="5" l="1"/>
  <c r="C170" i="4"/>
  <c r="C176" i="5" a="1"/>
  <c r="C171" i="4" a="1"/>
  <c r="C171" i="4" l="1"/>
  <c r="C176" i="5"/>
  <c r="C172" i="4" a="1"/>
  <c r="C177" i="5" a="1"/>
  <c r="C177" i="5" l="1"/>
  <c r="C172" i="4"/>
  <c r="C178" i="5" a="1"/>
  <c r="C173" i="4" a="1"/>
  <c r="C173" i="4" l="1"/>
  <c r="C178" i="5"/>
  <c r="C174" i="4" a="1"/>
  <c r="C179" i="5" a="1"/>
  <c r="C179" i="5" l="1"/>
  <c r="C174" i="4"/>
  <c r="C180" i="5" a="1"/>
  <c r="C175" i="4" a="1"/>
  <c r="C175" i="4" l="1"/>
  <c r="C180" i="5"/>
  <c r="C176" i="4" a="1"/>
  <c r="C181" i="5" a="1"/>
  <c r="C181" i="5" l="1"/>
  <c r="C176" i="4"/>
  <c r="C182" i="5" a="1"/>
  <c r="C177" i="4" a="1"/>
  <c r="C177" i="4" l="1"/>
  <c r="C182" i="5"/>
  <c r="C178" i="4" a="1"/>
  <c r="C183" i="5" a="1"/>
  <c r="C183" i="5" l="1"/>
  <c r="C178" i="4"/>
  <c r="C184" i="5" a="1"/>
  <c r="C179" i="4" a="1"/>
  <c r="C179" i="4" l="1"/>
  <c r="C184" i="5"/>
  <c r="C180" i="4" a="1"/>
  <c r="C185" i="5" a="1"/>
  <c r="C185" i="5" l="1"/>
  <c r="C180" i="4"/>
  <c r="C186" i="5" a="1"/>
  <c r="C181" i="4" a="1"/>
  <c r="C181" i="4" l="1"/>
  <c r="C186" i="5"/>
  <c r="C182" i="4" a="1"/>
  <c r="C187" i="5" a="1"/>
  <c r="C187" i="5" l="1"/>
  <c r="C182" i="4"/>
  <c r="C188" i="5" a="1"/>
  <c r="C183" i="4" a="1"/>
  <c r="C183" i="4" l="1"/>
  <c r="C188" i="5"/>
  <c r="C184" i="4" a="1"/>
  <c r="C189" i="5" a="1"/>
  <c r="C189" i="5" l="1"/>
  <c r="C184" i="4"/>
  <c r="C190" i="5" a="1"/>
  <c r="C185" i="4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88" i="4" a="1"/>
  <c r="C193" i="5" a="1"/>
  <c r="C193" i="5" l="1"/>
  <c r="C188" i="4"/>
  <c r="C194" i="5" a="1"/>
  <c r="C189" i="4" a="1"/>
  <c r="C189" i="4" l="1"/>
  <c r="C194" i="5"/>
  <c r="C190" i="4" a="1"/>
  <c r="C195" i="5" a="1"/>
  <c r="C195" i="5" l="1"/>
  <c r="C190" i="4"/>
  <c r="C196" i="5" a="1"/>
  <c r="C191" i="4" a="1"/>
  <c r="C191" i="4" l="1"/>
  <c r="C196" i="5"/>
  <c r="C192" i="4" a="1"/>
  <c r="C197" i="5" a="1"/>
  <c r="C197" i="5" l="1"/>
  <c r="C192" i="4"/>
  <c r="C198" i="5" a="1"/>
  <c r="C193" i="4" a="1"/>
  <c r="C193" i="4" l="1"/>
  <c r="C198" i="5"/>
  <c r="C194" i="4" a="1"/>
  <c r="C199" i="5" a="1"/>
  <c r="C199" i="5" l="1"/>
  <c r="C194" i="4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<sst xmlns="http://schemas.openxmlformats.org/spreadsheetml/2006/main" count="1303" uniqueCount="447">
  <si>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</si>
  <si>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</si>
  <si>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</si>
  <si>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</si>
  <si>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</si>
  <si>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</si>
  <si>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</si>
  <si>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</si>
  <si>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</si>
  <si>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</si>
  <si>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</si>
  <si>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</si>
  <si>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</si>
  <si>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</si>
  <si>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</si>
  <si>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</si>
  <si>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</si>
  <si>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</si>
  <si>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</si>
  <si>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</si>
  <si>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</si>
  <si>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</si>
  <si>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</si>
  <si>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</si>
  <si>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</si>
  <si>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</si>
  <si>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</si>
  <si>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</si>
  <si>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</si>
  <si>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</si>
  <si>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</si>
  <si>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</si>
  <si>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</si>
  <si>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</si>
  <si>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</si>
  <si>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</si>
  <si>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</si>
  <si>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</si>
  <si>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</si>
  <si>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</si>
  <si>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</si>
  <si>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</si>
  <si>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</si>
  <si>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</si>
  <si>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</si>
  <si>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</si>
  <si>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</si>
  <si>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</si>
  <si>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</si>
  <si>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</si>
  <si>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</si>
  <si>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</si>
  <si>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</si>
  <si>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</si>
  <si>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</si>
  <si>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</si>
  <si>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</si>
  <si>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</si>
  <si>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</si>
  <si>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</si>
  <si>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</si>
  <si>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</si>
  <si>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</si>
  <si>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</si>
  <si>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</si>
  <si>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</si>
  <si>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</si>
  <si>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</si>
  <si>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</si>
  <si>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</si>
  <si>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</si>
  <si>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</si>
  <si>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</si>
  <si>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</si>
  <si>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</si>
  <si>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</si>
  <si>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</si>
  <si>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</si>
  <si>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</si>
  <si>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</si>
  <si>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</si>
  <si>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</si>
  <si>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</si>
  <si>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</si>
  <si>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</si>
  <si>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</si>
  <si>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</si>
  <si>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</si>
  <si>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</si>
  <si>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</si>
  <si>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</si>
  <si>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</si>
  <si>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</si>
  <si>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</si>
  <si>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</si>
  <si>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</si>
  <si>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</si>
  <si>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</si>
  <si>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</si>
  <si>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</si>
  <si>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</si>
  <si>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</si>
  <si>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</si>
  <si>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</si>
  <si>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</si>
  <si>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</si>
  <si>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</si>
  <si>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</si>
  <si>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</si>
  <si>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</si>
  <si>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</si>
  <si>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</si>
  <si>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</si>
  <si>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</si>
  <si>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</si>
  <si>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</si>
  <si>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</si>
  <si>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</si>
  <si>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</si>
  <si>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</si>
  <si>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</si>
  <si>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</si>
  <si>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</si>
  <si>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</si>
  <si>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</si>
  <si>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</si>
  <si>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</si>
  <si>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</si>
  <si>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</si>
  <si>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</si>
  <si>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</si>
  <si>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</si>
  <si>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</si>
  <si>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</si>
  <si>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</si>
  <si>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</si>
  <si>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</si>
  <si>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</si>
  <si>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</si>
  <si>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</si>
  <si>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</si>
  <si>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</si>
  <si>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</si>
  <si>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</si>
  <si>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</si>
  <si>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</si>
  <si>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</si>
  <si>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</si>
  <si>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</si>
  <si>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</si>
  <si>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</si>
  <si>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</si>
  <si>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</si>
  <si>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</si>
  <si>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</si>
  <si>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</si>
  <si>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</si>
  <si>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</si>
  <si>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</si>
  <si>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</si>
  <si>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</si>
  <si>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</si>
  <si>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</si>
  <si>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</si>
  <si>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</si>
  <si>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</si>
  <si>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</si>
  <si>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</si>
  <si>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</si>
  <si>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</si>
  <si>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</si>
  <si>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</si>
  <si>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</si>
  <si>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</si>
  <si>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</si>
  <si>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</si>
  <si>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</si>
  <si>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</si>
  <si>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</si>
  <si>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</si>
  <si>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</si>
  <si>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</si>
  <si>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</si>
  <si>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</si>
  <si>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</si>
  <si>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</si>
  <si>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</si>
  <si>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</si>
  <si>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</si>
  <si>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</si>
  <si>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</si>
  <si>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</si>
  <si>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</si>
  <si>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</si>
  <si>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</si>
  <si>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</si>
  <si>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</si>
  <si>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</si>
  <si>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</si>
  <si>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</si>
  <si>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</si>
  <si>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</si>
  <si>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</si>
  <si>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</si>
  <si>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</si>
  <si>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</si>
  <si>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</si>
  <si>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</si>
  <si>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</si>
  <si>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</si>
  <si>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</si>
  <si>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</si>
  <si>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</si>
  <si>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</si>
  <si>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</si>
  <si>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</si>
  <si>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</si>
  <si>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</si>
  <si>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</si>
  <si>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</si>
  <si>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</si>
  <si>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</si>
  <si>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</si>
  <si>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</si>
  <si>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</si>
  <si>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</si>
  <si>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</si>
  <si>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</si>
  <si>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</si>
  <si>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</si>
  <si>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</si>
  <si>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</si>
  <si>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</si>
  <si>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</si>
  <si>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</si>
  <si>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</si>
  <si>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</si>
  <si>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</si>
  <si>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</si>
  <si>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</si>
  <si>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</si>
  <si>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</si>
  <si>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</si>
  <si>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</si>
  <si>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</si>
  <si>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</si>
  <si>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</si>
  <si>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</si>
  <si>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</si>
  <si>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</si>
  <si>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</si>
  <si>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</si>
  <si>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</si>
  <si>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</si>
  <si>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</si>
  <si>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</si>
  <si>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</si>
  <si>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</si>
  <si>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</si>
  <si>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</si>
  <si>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</si>
  <si>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</si>
  <si>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</si>
  <si>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</si>
  <si>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</si>
  <si>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</si>
  <si>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</si>
  <si>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</si>
  <si>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</si>
  <si>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</si>
  <si>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</si>
  <si>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</si>
  <si>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</si>
  <si>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</si>
  <si>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</si>
  <si>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</si>
  <si>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</si>
  <si>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</si>
  <si>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</si>
  <si>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</si>
  <si>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</si>
  <si>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</si>
  <si>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</si>
  <si>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</si>
  <si>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</si>
  <si>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</si>
  <si>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</si>
  <si>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</si>
  <si>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</si>
  <si>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</si>
  <si>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</si>
  <si>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</si>
  <si>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</si>
  <si>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</si>
  <si>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</si>
  <si>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</si>
  <si>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</si>
  <si>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</si>
  <si>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</si>
  <si>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</si>
  <si>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</si>
  <si>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</si>
  <si>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</si>
  <si>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</si>
  <si>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</si>
  <si>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</si>
  <si>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</si>
  <si>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</si>
  <si>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</si>
  <si>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</si>
  <si>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</si>
  <si>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</si>
  <si>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</si>
  <si>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</si>
  <si>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</si>
  <si>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</si>
  <si>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</si>
  <si>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</si>
  <si>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</si>
  <si>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</si>
  <si>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</si>
  <si>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</si>
  <si>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</si>
  <si>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</si>
  <si>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</si>
  <si>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</si>
  <si>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</si>
  <si>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</si>
  <si>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</si>
  <si>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</si>
  <si>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</si>
  <si>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</si>
  <si>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</si>
  <si>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</si>
  <si>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</si>
  <si>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</si>
  <si>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</si>
  <si>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</si>
  <si>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</si>
  <si>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</si>
  <si>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</si>
  <si>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</si>
  <si>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</si>
  <si>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</si>
  <si>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</si>
  <si>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</si>
  <si>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</si>
  <si>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</si>
  <si>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</si>
  <si>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</si>
  <si>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</si>
  <si>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</si>
  <si>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</si>
  <si>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</si>
  <si>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</si>
  <si>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</si>
  <si>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</si>
  <si>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</si>
  <si>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</si>
  <si>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</si>
  <si>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</si>
  <si>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</si>
  <si>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</si>
  <si>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</si>
  <si>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</si>
  <si>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</si>
  <si>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</si>
  <si>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</si>
  <si>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</si>
  <si>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</si>
  <si>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</si>
  <si>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</si>
  <si>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</si>
  <si>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</si>
  <si>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</si>
  <si>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</si>
  <si>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</si>
  <si>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</si>
  <si>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</si>
  <si>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</si>
  <si>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</si>
  <si>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</si>
  <si>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</si>
  <si>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</si>
  <si>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</si>
  <si>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</si>
  <si>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</si>
  <si>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</si>
  <si>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</si>
  <si>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</si>
  <si>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</si>
  <si>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</si>
  <si>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</si>
  <si>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</si>
  <si>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</si>
  <si>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</si>
  <si>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</si>
  <si>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</si>
  <si>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</si>
  <si>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</si>
  <si>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</si>
  <si>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</si>
  <si>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</si>
  <si>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</si>
  <si>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</si>
  <si>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</si>
  <si>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</si>
  <si>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</si>
  <si>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</si>
  <si>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</si>
  <si>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</si>
  <si>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</si>
  <si>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</si>
  <si>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</si>
  <si>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</si>
  <si>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</si>
  <si>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</si>
  <si>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</si>
  <si>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</si>
  <si>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</si>
  <si>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</si>
  <si>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</si>
  <si>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</si>
  <si>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</si>
  <si>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</si>
  <si>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</si>
  <si>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</si>
  <si>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</si>
  <si>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</si>
  <si>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</si>
  <si>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</si>
  <si>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</si>
  <si>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</si>
  <si>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</si>
  <si>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</si>
  <si>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</si>
  <si>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</si>
  <si>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</si>
  <si>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</si>
  <si>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</si>
  <si>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</si>
  <si>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</si>
  <si>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</si>
  <si>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</si>
  <si>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</si>
  <si>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</si>
  <si>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南陽市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</si>
</sst>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13" activePane="bottomLeft" state="frozen"/>
      <selection activeCell="E20" sqref="E20"/>
      <selection pane="bottomLeft" activeCell="S31" sqref="S3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99999854001</v>
      </c>
      <c r="G10" s="29">
        <f t="shared" si="2"/>
        <v>99999854001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南陽市</v>
      </c>
      <c r="K10" s="31" t="str">
        <f t="shared" si="6"/>
        <v>99999854001介護施設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99999854001</v>
      </c>
      <c r="N10">
        <f>IF(L10&lt;&gt;"○",M10,INDEX(G$4:G9,MATCH(L10&amp;M10,F$4:F9,0)))</f>
        <v>99999854001</v>
      </c>
      <c r="O10" t="str">
        <f t="shared" si="8"/>
        <v>介護施設</v>
      </c>
      <c r="Q10" s="4">
        <v>44909</v>
      </c>
      <c r="S10" t="str">
        <f>$O$1&amp;
854&amp;
REPT("0",3-LEN(ROW($S1)))&amp;ROW($S1)</f>
        <v>99999854001</v>
      </c>
      <c r="T10" t="s">
        <v>50</v>
      </c>
      <c r="U10" t="s">
        <v>50</v>
      </c>
      <c r="V10" t="s">
        <v>446</v>
      </c>
      <c r="AB10" t="str">
        <f>$S$10&amp;"介護施設"</f>
        <v>99999854001介護施設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99999854002</v>
      </c>
      <c r="G11" s="29">
        <f t="shared" si="2"/>
        <v>99999854002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南陽市</v>
      </c>
      <c r="K11" s="31" t="str">
        <f t="shared" si="6"/>
        <v>99999854001関連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99999854001</v>
      </c>
      <c r="N11">
        <f>IF(L11&lt;&gt;"○",M11,INDEX(G$4:G10,MATCH(L11&amp;M11,F$4:F10,0)))</f>
        <v>99999854001</v>
      </c>
      <c r="O11" t="str">
        <f t="shared" si="8"/>
        <v>関連</v>
      </c>
      <c r="Q11" s="4">
        <v>44909</v>
      </c>
      <c r="S11" t="str">
        <f t="shared" ref="S11:S18" si="9">$O$1&amp;
854&amp;
REPT("0",3-LEN(ROW($S2)))&amp;ROW($S2)</f>
        <v>99999854002</v>
      </c>
      <c r="T11" t="s">
        <v>50</v>
      </c>
      <c r="U11" t="s">
        <v>50</v>
      </c>
      <c r="V11" t="s">
        <v>446</v>
      </c>
      <c r="AB11" t="str">
        <f>$S$10&amp;"関連"</f>
        <v>99999854001関連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99999854003</v>
      </c>
      <c r="G12" s="29">
        <f t="shared" si="2"/>
        <v>99999854003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南陽市</v>
      </c>
      <c r="K12" s="31" t="str">
        <f t="shared" si="6"/>
        <v>99999854001関連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99999854001</v>
      </c>
      <c r="N12">
        <f>IF(L12&lt;&gt;"○",M12,INDEX(G$4:G11,MATCH(L12&amp;M12,F$4:F11,0)))</f>
        <v>99999854001</v>
      </c>
      <c r="O12" t="str">
        <f t="shared" si="8"/>
        <v>関連</v>
      </c>
      <c r="Q12" s="4">
        <v>44909</v>
      </c>
      <c r="S12" t="str">
        <f t="shared" si="9"/>
        <v>99999854003</v>
      </c>
      <c r="T12" t="s">
        <v>50</v>
      </c>
      <c r="U12" t="s">
        <v>50</v>
      </c>
      <c r="V12" t="s">
        <v>446</v>
      </c>
      <c r="AB12" t="str">
        <f t="shared" ref="AB12:AB18" si="10">$S$10&amp;"関連"</f>
        <v>99999854001関連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99999854004</v>
      </c>
      <c r="G13" s="29">
        <f t="shared" si="2"/>
        <v>99999854004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南陽市</v>
      </c>
      <c r="K13" s="31" t="str">
        <f t="shared" si="6"/>
        <v>99999854001関連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99999854001</v>
      </c>
      <c r="N13">
        <f>IF(L13&lt;&gt;"○",M13,INDEX(G$4:G12,MATCH(L13&amp;M13,F$4:F12,0)))</f>
        <v>99999854001</v>
      </c>
      <c r="O13" t="str">
        <f t="shared" si="8"/>
        <v>関連</v>
      </c>
      <c r="Q13" s="4">
        <v>44909</v>
      </c>
      <c r="S13" t="str">
        <f t="shared" si="9"/>
        <v>99999854004</v>
      </c>
      <c r="T13" t="s">
        <v>50</v>
      </c>
      <c r="U13" t="s">
        <v>50</v>
      </c>
      <c r="V13" t="s">
        <v>446</v>
      </c>
      <c r="AB13" t="str">
        <f t="shared" si="10"/>
        <v>99999854001関連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99999854005</v>
      </c>
      <c r="G14" s="29">
        <f t="shared" si="2"/>
        <v>99999854005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南陽市</v>
      </c>
      <c r="K14" s="31" t="str">
        <f t="shared" si="6"/>
        <v>99999854001関連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99999854001</v>
      </c>
      <c r="N14">
        <f>IF(L14&lt;&gt;"○",M14,INDEX(G$4:G13,MATCH(L14&amp;M14,F$4:F13,0)))</f>
        <v>99999854001</v>
      </c>
      <c r="O14" t="str">
        <f t="shared" si="8"/>
        <v>関連</v>
      </c>
      <c r="Q14" s="4">
        <v>44909</v>
      </c>
      <c r="S14" t="str">
        <f t="shared" si="9"/>
        <v>99999854005</v>
      </c>
      <c r="T14" t="s">
        <v>50</v>
      </c>
      <c r="U14" t="s">
        <v>50</v>
      </c>
      <c r="V14" t="s">
        <v>446</v>
      </c>
      <c r="AB14" t="str">
        <f t="shared" si="10"/>
        <v>99999854001関連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99999854006</v>
      </c>
      <c r="G15" s="29">
        <f t="shared" si="2"/>
        <v>99999854006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南陽市</v>
      </c>
      <c r="K15" s="31" t="str">
        <f t="shared" si="6"/>
        <v>99999854001関連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99999854001</v>
      </c>
      <c r="N15">
        <f>IF(L15&lt;&gt;"○",M15,INDEX(G$4:G14,MATCH(L15&amp;M15,F$4:F14,0)))</f>
        <v>99999854001</v>
      </c>
      <c r="O15" t="str">
        <f t="shared" si="8"/>
        <v>関連</v>
      </c>
      <c r="Q15" s="4">
        <v>44909</v>
      </c>
      <c r="S15" t="str">
        <f t="shared" si="9"/>
        <v>99999854006</v>
      </c>
      <c r="T15" t="s">
        <v>50</v>
      </c>
      <c r="U15" t="s">
        <v>50</v>
      </c>
      <c r="V15" t="s">
        <v>446</v>
      </c>
      <c r="AB15" t="str">
        <f t="shared" si="10"/>
        <v>99999854001関連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99999854007</v>
      </c>
      <c r="G16" s="29">
        <f t="shared" si="2"/>
        <v>99999854007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南陽市</v>
      </c>
      <c r="K16" s="31" t="str">
        <f t="shared" si="6"/>
        <v>99999854001関連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99999854001</v>
      </c>
      <c r="N16">
        <f>IF(L16&lt;&gt;"○",M16,INDEX(G$4:G15,MATCH(L16&amp;M16,F$4:F15,0)))</f>
        <v>99999854001</v>
      </c>
      <c r="O16" t="str">
        <f t="shared" si="8"/>
        <v>関連</v>
      </c>
      <c r="Q16" s="4">
        <v>44909</v>
      </c>
      <c r="S16" t="str">
        <f t="shared" si="9"/>
        <v>99999854007</v>
      </c>
      <c r="T16" t="s">
        <v>50</v>
      </c>
      <c r="U16" t="s">
        <v>50</v>
      </c>
      <c r="V16" t="s">
        <v>446</v>
      </c>
      <c r="AB16" t="str">
        <f t="shared" si="10"/>
        <v>99999854001関連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99999854008</v>
      </c>
      <c r="G17" s="29">
        <f t="shared" si="2"/>
        <v>99999854008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南陽市</v>
      </c>
      <c r="K17" s="31" t="str">
        <f t="shared" si="6"/>
        <v>99999854001関連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99999854001</v>
      </c>
      <c r="N17">
        <f>IF(L17&lt;&gt;"○",M17,INDEX(G$4:G16,MATCH(L17&amp;M17,F$4:F16,0)))</f>
        <v>99999854001</v>
      </c>
      <c r="O17" t="str">
        <f t="shared" si="8"/>
        <v>関連</v>
      </c>
      <c r="Q17" s="4">
        <v>44909</v>
      </c>
      <c r="S17" t="str">
        <f t="shared" si="9"/>
        <v>99999854008</v>
      </c>
      <c r="T17" t="s">
        <v>50</v>
      </c>
      <c r="U17" t="s">
        <v>50</v>
      </c>
      <c r="V17" t="s">
        <v>446</v>
      </c>
      <c r="AB17" t="str">
        <f t="shared" si="10"/>
        <v>99999854001関連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99999854009</v>
      </c>
      <c r="G18" s="29">
        <f t="shared" si="2"/>
        <v>99999854009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南陽市</v>
      </c>
      <c r="K18" s="31" t="str">
        <f t="shared" si="6"/>
        <v>99999854001関連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99999854001</v>
      </c>
      <c r="N18">
        <f>IF(L18&lt;&gt;"○",M18,INDEX(G$4:G17,MATCH(L18&amp;M18,F$4:F17,0)))</f>
        <v>99999854001</v>
      </c>
      <c r="O18" t="str">
        <f t="shared" si="8"/>
        <v>関連</v>
      </c>
      <c r="Q18" s="4">
        <v>44909</v>
      </c>
      <c r="S18" t="str">
        <f t="shared" si="9"/>
        <v>99999854009</v>
      </c>
      <c r="T18" t="s">
        <v>50</v>
      </c>
      <c r="U18" t="s">
        <v>50</v>
      </c>
      <c r="V18" t="s">
        <v>446</v>
      </c>
      <c r="AB18" t="str">
        <f t="shared" si="10"/>
        <v>99999854001関連</v>
      </c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99999855001</v>
      </c>
      <c r="G20" s="29">
        <f t="shared" si="2"/>
        <v>99999855001</v>
      </c>
      <c r="H20" s="20" t="str">
        <f t="shared" si="3"/>
        <v>-</v>
      </c>
      <c r="I20" s="20" t="str">
        <f t="shared" si="4"/>
        <v>ー</v>
      </c>
      <c r="J20" s="20" t="str">
        <f t="shared" si="5"/>
        <v>南陽市</v>
      </c>
      <c r="K20" s="31" t="str">
        <f t="shared" si="6"/>
        <v>99999855001介護施設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99999855001</v>
      </c>
      <c r="N20">
        <f>IF(L20&lt;&gt;"○",M20,INDEX(G$4:G19,MATCH(L20&amp;M20,F$4:F19,0)))</f>
        <v>99999855001</v>
      </c>
      <c r="O20" t="str">
        <f t="shared" si="8"/>
        <v>介護施設</v>
      </c>
      <c r="Q20" s="4">
        <v>44909</v>
      </c>
      <c r="S20" t="str">
        <f>$O$1&amp;
855&amp;
REPT("0",3-LEN(ROW($S1)))&amp;ROW($S1)</f>
        <v>99999855001</v>
      </c>
      <c r="T20" t="s">
        <v>50</v>
      </c>
      <c r="U20" t="s">
        <v>50</v>
      </c>
      <c r="V20" t="s">
        <v>446</v>
      </c>
      <c r="AB20" t="str">
        <f>$S$20&amp;"介護施設"</f>
        <v>99999855001介護施設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99999855002</v>
      </c>
      <c r="G21" s="29">
        <f t="shared" si="2"/>
        <v>99999855002</v>
      </c>
      <c r="H21" s="20" t="str">
        <f t="shared" si="3"/>
        <v>-</v>
      </c>
      <c r="I21" s="20" t="str">
        <f t="shared" si="4"/>
        <v>ー</v>
      </c>
      <c r="J21" s="20" t="str">
        <f t="shared" si="5"/>
        <v>南陽市</v>
      </c>
      <c r="K21" s="31" t="str">
        <f t="shared" si="6"/>
        <v>99999855001関連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99999855001</v>
      </c>
      <c r="N21">
        <f>IF(L21&lt;&gt;"○",M21,INDEX(G$4:G20,MATCH(L21&amp;M21,F$4:F20,0)))</f>
        <v>99999855001</v>
      </c>
      <c r="O21" t="str">
        <f t="shared" si="8"/>
        <v>関連</v>
      </c>
      <c r="Q21" s="4">
        <v>44909</v>
      </c>
      <c r="S21" t="str">
        <f t="shared" ref="S21:S29" si="11">$O$1&amp;
855&amp;
REPT("0",3-LEN(ROW($S2)))&amp;ROW($S2)</f>
        <v>99999855002</v>
      </c>
      <c r="T21" t="s">
        <v>50</v>
      </c>
      <c r="U21" t="s">
        <v>50</v>
      </c>
      <c r="V21" t="s">
        <v>446</v>
      </c>
      <c r="AB21" t="str">
        <f>$S$20&amp;"関連"</f>
        <v>99999855001関連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99999855003</v>
      </c>
      <c r="G22" s="29">
        <f t="shared" si="2"/>
        <v>99999855003</v>
      </c>
      <c r="H22" s="20" t="str">
        <f t="shared" si="3"/>
        <v>-</v>
      </c>
      <c r="I22" s="20" t="str">
        <f t="shared" si="4"/>
        <v>ー</v>
      </c>
      <c r="J22" s="20" t="str">
        <f t="shared" si="5"/>
        <v>南陽市</v>
      </c>
      <c r="K22" s="31" t="str">
        <f t="shared" si="6"/>
        <v>99999855001関連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99999855001</v>
      </c>
      <c r="N22">
        <f>IF(L22&lt;&gt;"○",M22,INDEX(G$4:G21,MATCH(L22&amp;M22,F$4:F21,0)))</f>
        <v>99999855001</v>
      </c>
      <c r="O22" t="str">
        <f t="shared" si="8"/>
        <v>関連</v>
      </c>
      <c r="Q22" s="4">
        <v>44909</v>
      </c>
      <c r="S22" t="str">
        <f t="shared" si="11"/>
        <v>99999855003</v>
      </c>
      <c r="T22" t="s">
        <v>50</v>
      </c>
      <c r="U22" t="s">
        <v>50</v>
      </c>
      <c r="V22" t="s">
        <v>446</v>
      </c>
      <c r="AB22" t="str">
        <f t="shared" ref="AB22:AB29" si="12">$S$20&amp;"関連"</f>
        <v>99999855001関連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99999855004</v>
      </c>
      <c r="G23" s="29">
        <f t="shared" si="2"/>
        <v>99999855004</v>
      </c>
      <c r="H23" s="20" t="str">
        <f t="shared" si="3"/>
        <v>-</v>
      </c>
      <c r="I23" s="20" t="str">
        <f t="shared" si="4"/>
        <v>ー</v>
      </c>
      <c r="J23" s="20" t="str">
        <f t="shared" si="5"/>
        <v>南陽市</v>
      </c>
      <c r="K23" s="31" t="str">
        <f t="shared" si="6"/>
        <v>99999855001関連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99999855001</v>
      </c>
      <c r="N23">
        <f>IF(L23&lt;&gt;"○",M23,INDEX(G$4:G22,MATCH(L23&amp;M23,F$4:F22,0)))</f>
        <v>99999855001</v>
      </c>
      <c r="O23" t="str">
        <f t="shared" si="8"/>
        <v>関連</v>
      </c>
      <c r="Q23" s="4">
        <v>44909</v>
      </c>
      <c r="S23" t="str">
        <f t="shared" si="11"/>
        <v>99999855004</v>
      </c>
      <c r="T23" t="s">
        <v>50</v>
      </c>
      <c r="U23" t="s">
        <v>50</v>
      </c>
      <c r="V23" t="s">
        <v>446</v>
      </c>
      <c r="AB23" t="str">
        <f t="shared" si="12"/>
        <v>99999855001関連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99999855005</v>
      </c>
      <c r="G24" s="29">
        <f t="shared" si="2"/>
        <v>99999855005</v>
      </c>
      <c r="H24" s="20" t="str">
        <f t="shared" si="3"/>
        <v>-</v>
      </c>
      <c r="I24" s="20" t="str">
        <f t="shared" si="4"/>
        <v>ー</v>
      </c>
      <c r="J24" s="20" t="str">
        <f t="shared" si="5"/>
        <v>南陽市</v>
      </c>
      <c r="K24" s="31" t="str">
        <f t="shared" si="6"/>
        <v>99999855001関連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99999855001</v>
      </c>
      <c r="N24">
        <f>IF(L24&lt;&gt;"○",M24,INDEX(G$4:G23,MATCH(L24&amp;M24,F$4:F23,0)))</f>
        <v>99999855001</v>
      </c>
      <c r="O24" t="str">
        <f t="shared" si="8"/>
        <v>関連</v>
      </c>
      <c r="Q24" s="4">
        <v>44909</v>
      </c>
      <c r="S24" t="str">
        <f t="shared" si="11"/>
        <v>99999855005</v>
      </c>
      <c r="T24" t="s">
        <v>50</v>
      </c>
      <c r="U24" t="s">
        <v>50</v>
      </c>
      <c r="V24" t="s">
        <v>446</v>
      </c>
      <c r="AB24" t="str">
        <f t="shared" si="12"/>
        <v>99999855001関連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99999855006</v>
      </c>
      <c r="G25" s="29">
        <f t="shared" si="2"/>
        <v>99999855006</v>
      </c>
      <c r="H25" s="20" t="str">
        <f t="shared" si="3"/>
        <v>-</v>
      </c>
      <c r="I25" s="20" t="str">
        <f t="shared" si="4"/>
        <v>ー</v>
      </c>
      <c r="J25" s="20" t="str">
        <f t="shared" si="5"/>
        <v>南陽市</v>
      </c>
      <c r="K25" s="31" t="str">
        <f t="shared" si="6"/>
        <v>99999855001関連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99999855001</v>
      </c>
      <c r="N25">
        <f>IF(L25&lt;&gt;"○",M25,INDEX(G$4:G24,MATCH(L25&amp;M25,F$4:F24,0)))</f>
        <v>99999855001</v>
      </c>
      <c r="O25" t="str">
        <f t="shared" si="8"/>
        <v>関連</v>
      </c>
      <c r="Q25" s="4">
        <v>44909</v>
      </c>
      <c r="S25" t="str">
        <f t="shared" si="11"/>
        <v>99999855006</v>
      </c>
      <c r="T25" t="s">
        <v>50</v>
      </c>
      <c r="U25" t="s">
        <v>50</v>
      </c>
      <c r="V25" t="s">
        <v>446</v>
      </c>
      <c r="AB25" t="str">
        <f t="shared" si="12"/>
        <v>99999855001関連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99999855007</v>
      </c>
      <c r="G26" s="29">
        <f t="shared" si="2"/>
        <v>99999855007</v>
      </c>
      <c r="H26" s="20" t="str">
        <f t="shared" si="3"/>
        <v>-</v>
      </c>
      <c r="I26" s="20" t="str">
        <f t="shared" si="4"/>
        <v>ー</v>
      </c>
      <c r="J26" s="20" t="str">
        <f t="shared" si="5"/>
        <v>南陽市</v>
      </c>
      <c r="K26" s="31" t="str">
        <f t="shared" si="6"/>
        <v>99999855001関連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99999855001</v>
      </c>
      <c r="N26">
        <f>IF(L26&lt;&gt;"○",M26,INDEX(G$4:G25,MATCH(L26&amp;M26,F$4:F25,0)))</f>
        <v>99999855001</v>
      </c>
      <c r="O26" t="str">
        <f t="shared" si="8"/>
        <v>関連</v>
      </c>
      <c r="Q26" s="4">
        <v>44909</v>
      </c>
      <c r="S26" t="str">
        <f t="shared" si="11"/>
        <v>99999855007</v>
      </c>
      <c r="T26" t="s">
        <v>50</v>
      </c>
      <c r="U26" t="s">
        <v>50</v>
      </c>
      <c r="V26" t="s">
        <v>446</v>
      </c>
      <c r="AB26" t="str">
        <f t="shared" si="12"/>
        <v>99999855001関連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99999855008</v>
      </c>
      <c r="G27" s="29">
        <f t="shared" si="2"/>
        <v>99999855008</v>
      </c>
      <c r="H27" s="20" t="str">
        <f t="shared" si="3"/>
        <v>-</v>
      </c>
      <c r="I27" s="20" t="str">
        <f t="shared" si="4"/>
        <v>ー</v>
      </c>
      <c r="J27" s="20" t="str">
        <f t="shared" si="5"/>
        <v>南陽市</v>
      </c>
      <c r="K27" s="31" t="str">
        <f t="shared" si="6"/>
        <v>99999855001関連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99999855001</v>
      </c>
      <c r="N27">
        <f>IF(L27&lt;&gt;"○",M27,INDEX(G$4:G26,MATCH(L27&amp;M27,F$4:F26,0)))</f>
        <v>99999855001</v>
      </c>
      <c r="O27" t="str">
        <f t="shared" si="8"/>
        <v>関連</v>
      </c>
      <c r="Q27" s="4">
        <v>44909</v>
      </c>
      <c r="S27" t="str">
        <f t="shared" si="11"/>
        <v>99999855008</v>
      </c>
      <c r="T27" t="s">
        <v>50</v>
      </c>
      <c r="U27" t="s">
        <v>50</v>
      </c>
      <c r="V27" t="s">
        <v>446</v>
      </c>
      <c r="AB27" t="str">
        <f t="shared" si="12"/>
        <v>99999855001関連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99999855009</v>
      </c>
      <c r="G28" s="29">
        <f t="shared" si="2"/>
        <v>99999855009</v>
      </c>
      <c r="H28" s="20" t="str">
        <f t="shared" si="3"/>
        <v>-</v>
      </c>
      <c r="I28" s="20" t="str">
        <f t="shared" si="4"/>
        <v>ー</v>
      </c>
      <c r="J28" s="20" t="str">
        <f t="shared" si="5"/>
        <v>南陽市</v>
      </c>
      <c r="K28" s="31" t="str">
        <f t="shared" si="6"/>
        <v>99999855001関連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99999855001</v>
      </c>
      <c r="N28">
        <f>IF(L28&lt;&gt;"○",M28,INDEX(G$4:G27,MATCH(L28&amp;M28,F$4:F27,0)))</f>
        <v>99999855001</v>
      </c>
      <c r="O28" t="str">
        <f t="shared" si="8"/>
        <v>関連</v>
      </c>
      <c r="Q28" s="4">
        <v>44909</v>
      </c>
      <c r="S28" t="str">
        <f t="shared" si="11"/>
        <v>99999855009</v>
      </c>
      <c r="T28" t="s">
        <v>50</v>
      </c>
      <c r="U28" t="s">
        <v>50</v>
      </c>
      <c r="V28" t="s">
        <v>446</v>
      </c>
      <c r="AB28" t="str">
        <f t="shared" si="12"/>
        <v>99999855001関連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99999855010</v>
      </c>
      <c r="G29" s="29">
        <f t="shared" si="2"/>
        <v>99999855010</v>
      </c>
      <c r="H29" s="20" t="str">
        <f t="shared" si="3"/>
        <v>-</v>
      </c>
      <c r="I29" s="20" t="str">
        <f t="shared" si="4"/>
        <v>ー</v>
      </c>
      <c r="J29" s="20" t="str">
        <f t="shared" si="5"/>
        <v>南陽市</v>
      </c>
      <c r="K29" s="31" t="str">
        <f t="shared" si="6"/>
        <v>99999855001関連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99999855001</v>
      </c>
      <c r="N29">
        <f>IF(L29&lt;&gt;"○",M29,INDEX(G$4:G28,MATCH(L29&amp;M29,F$4:F28,0)))</f>
        <v>99999855001</v>
      </c>
      <c r="O29" t="str">
        <f t="shared" si="8"/>
        <v>関連</v>
      </c>
      <c r="Q29" s="4">
        <v>44909</v>
      </c>
      <c r="S29" t="str">
        <f t="shared" si="11"/>
        <v>99999855010</v>
      </c>
      <c r="T29" t="s">
        <v>50</v>
      </c>
      <c r="U29" t="s">
        <v>50</v>
      </c>
      <c r="V29" t="s">
        <v>446</v>
      </c>
      <c r="AB29" t="str">
        <f t="shared" si="12"/>
        <v>99999855001関連</v>
      </c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2022/12/14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99999854001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南陽市</v>
      </c>
      <c r="H3" s="10" t="str">
        <f>IF(ROW(G1)&gt;MAX(Main!$C$4:$C$1048576),"",INDEX(Main!K$4:K$1048576,MATCH(ROW(G1),Main!$C$4:$C$1048576,0)))</f>
        <v>99999854001介護施設</v>
      </c>
      <c r="I3" s="1">
        <f>IF(H3&lt;&gt;"",IF(ROW(G1)&gt;MAX(Main!$C$4:$C$1048576),"",INDEX(Main!N$4:N$1048576,MATCH(ROW(G1),Main!$C$4:$C$1048576,0))),"")</f>
        <v>99999854001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クラスターNo.854</v>
      </c>
      <c r="M3" s="4" t="str">
        <f>TEXT(IF(ROW(A1)&gt;MAX(Main!$D$4:$D$1048576),"",INDEX(Main!Q$4:Q$1048576,MATCH(ROW(A1),Main!$D$4:$D$1048576,0))), "yyyy/m/d")</f>
        <v>2022/12/14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99999854001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南陽市</v>
      </c>
      <c r="S3" s="9" t="str">
        <f>IF(ROW(G1)&gt;MAX(Main!$D$4:$D$1048576),"",INDEX(Main!K$4:K$1048576,MATCH(ROW(G1),Main!$D$4:$D$1048576,0)))</f>
        <v>99999854001介護施設</v>
      </c>
      <c r="T3" s="1">
        <f>IF(S3&lt;&gt;"",IF(ROW(G1)&gt;MAX(Main!$D$4:$D$1048576),"",INDEX(Main!N$4:N$1048576,MATCH(ROW(G1),Main!$D$4:$D$1048576,0))),"")</f>
        <v>99999854001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2022/12/14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99999854002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南陽市</v>
      </c>
      <c r="H4" s="10" t="str">
        <f>IF(ROW(G2)&gt;MAX(Main!$C$4:$C$1048576),"",INDEX(Main!K$4:K$1048576,MATCH(ROW(G2),Main!$C$4:$C$1048576,0)))</f>
        <v>99999854001関連</v>
      </c>
      <c r="I4" s="1">
        <f>IF(H4&lt;&gt;"",IF(ROW(G2)&gt;MAX(Main!$C$4:$C$1048576),"",INDEX(Main!N$4:N$1048576,MATCH(ROW(G2),Main!$C$4:$C$1048576,0))),"")</f>
        <v>99999854001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クラスターNo.854</v>
      </c>
      <c r="M4" s="4" t="str">
        <f>TEXT(IF(ROW(A2)&gt;MAX(Main!$D$4:$D$1048576),"",INDEX(Main!Q$4:Q$1048576,MATCH(ROW(A2),Main!$D$4:$D$1048576,0))), "yyyy/m/d")</f>
        <v>2022/12/14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99999854002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南陽市</v>
      </c>
      <c r="S4" s="9" t="str">
        <f>IF(ROW(G2)&gt;MAX(Main!$D$4:$D$1048576),"",INDEX(Main!K$4:K$1048576,MATCH(ROW(G2),Main!$D$4:$D$1048576,0)))</f>
        <v>99999854001関連</v>
      </c>
      <c r="T4" s="1">
        <f>IF(S4&lt;&gt;"",IF(ROW(G2)&gt;MAX(Main!$D$4:$D$1048576),"",INDEX(Main!N$4:N$1048576,MATCH(ROW(G2),Main!$D$4:$D$1048576,0))),"")</f>
        <v>99999854001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2022/12/14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99999854003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南陽市</v>
      </c>
      <c r="H5" s="10" t="str">
        <f>IF(ROW(G3)&gt;MAX(Main!$C$4:$C$1048576),"",INDEX(Main!K$4:K$1048576,MATCH(ROW(G3),Main!$C$4:$C$1048576,0)))</f>
        <v>99999854001関連</v>
      </c>
      <c r="I5" s="1">
        <f>IF(H5&lt;&gt;"",IF(ROW(G3)&gt;MAX(Main!$C$4:$C$1048576),"",INDEX(Main!N$4:N$1048576,MATCH(ROW(G3),Main!$C$4:$C$1048576,0))),"")</f>
        <v>99999854001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クラスターNo.854</v>
      </c>
      <c r="M5" s="4" t="str">
        <f>TEXT(IF(ROW(A3)&gt;MAX(Main!$D$4:$D$1048576),"",INDEX(Main!Q$4:Q$1048576,MATCH(ROW(A3),Main!$D$4:$D$1048576,0))), "yyyy/m/d")</f>
        <v>2022/12/14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99999854003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南陽市</v>
      </c>
      <c r="S5" s="9" t="str">
        <f>IF(ROW(G3)&gt;MAX(Main!$D$4:$D$1048576),"",INDEX(Main!K$4:K$1048576,MATCH(ROW(G3),Main!$D$4:$D$1048576,0)))</f>
        <v>99999854001関連</v>
      </c>
      <c r="T5" s="1">
        <f>IF(S5&lt;&gt;"",IF(ROW(G3)&gt;MAX(Main!$D$4:$D$1048576),"",INDEX(Main!N$4:N$1048576,MATCH(ROW(G3),Main!$D$4:$D$1048576,0))),"")</f>
        <v>99999854001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2022/12/14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99999854004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南陽市</v>
      </c>
      <c r="H6" s="10" t="str">
        <f>IF(ROW(G4)&gt;MAX(Main!$C$4:$C$1048576),"",INDEX(Main!K$4:K$1048576,MATCH(ROW(G4),Main!$C$4:$C$1048576,0)))</f>
        <v>99999854001関連</v>
      </c>
      <c r="I6" s="1">
        <f>IF(H6&lt;&gt;"",IF(ROW(G4)&gt;MAX(Main!$C$4:$C$1048576),"",INDEX(Main!N$4:N$1048576,MATCH(ROW(G4),Main!$C$4:$C$1048576,0))),"")</f>
        <v>99999854001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クラスターNo.854</v>
      </c>
      <c r="M6" s="4" t="str">
        <f>TEXT(IF(ROW(A4)&gt;MAX(Main!$D$4:$D$1048576),"",INDEX(Main!Q$4:Q$1048576,MATCH(ROW(A4),Main!$D$4:$D$1048576,0))), "yyyy/m/d")</f>
        <v>2022/12/14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99999854004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南陽市</v>
      </c>
      <c r="S6" s="9" t="str">
        <f>IF(ROW(G4)&gt;MAX(Main!$D$4:$D$1048576),"",INDEX(Main!K$4:K$1048576,MATCH(ROW(G4),Main!$D$4:$D$1048576,0)))</f>
        <v>99999854001関連</v>
      </c>
      <c r="T6" s="1">
        <f>IF(S6&lt;&gt;"",IF(ROW(G4)&gt;MAX(Main!$D$4:$D$1048576),"",INDEX(Main!N$4:N$1048576,MATCH(ROW(G4),Main!$D$4:$D$1048576,0))),"")</f>
        <v>99999854001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2022/12/14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99999854005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南陽市</v>
      </c>
      <c r="H7" s="10" t="str">
        <f>IF(ROW(G5)&gt;MAX(Main!$C$4:$C$1048576),"",INDEX(Main!K$4:K$1048576,MATCH(ROW(G5),Main!$C$4:$C$1048576,0)))</f>
        <v>99999854001関連</v>
      </c>
      <c r="I7" s="1">
        <f>IF(H7&lt;&gt;"",IF(ROW(G5)&gt;MAX(Main!$C$4:$C$1048576),"",INDEX(Main!N$4:N$1048576,MATCH(ROW(G5),Main!$C$4:$C$1048576,0))),"")</f>
        <v>99999854001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クラスターNo.854</v>
      </c>
      <c r="M7" s="4" t="str">
        <f>TEXT(IF(ROW(A5)&gt;MAX(Main!$D$4:$D$1048576),"",INDEX(Main!Q$4:Q$1048576,MATCH(ROW(A5),Main!$D$4:$D$1048576,0))), "yyyy/m/d")</f>
        <v>2022/12/14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99999854005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南陽市</v>
      </c>
      <c r="S7" s="9" t="str">
        <f>IF(ROW(G5)&gt;MAX(Main!$D$4:$D$1048576),"",INDEX(Main!K$4:K$1048576,MATCH(ROW(G5),Main!$D$4:$D$1048576,0)))</f>
        <v>99999854001関連</v>
      </c>
      <c r="T7" s="1">
        <f>IF(S7&lt;&gt;"",IF(ROW(G5)&gt;MAX(Main!$D$4:$D$1048576),"",INDEX(Main!N$4:N$1048576,MATCH(ROW(G5),Main!$D$4:$D$1048576,0))),"")</f>
        <v>99999854001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2022/12/14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99999854006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南陽市</v>
      </c>
      <c r="H8" s="10" t="str">
        <f>IF(ROW(G6)&gt;MAX(Main!$C$4:$C$1048576),"",INDEX(Main!K$4:K$1048576,MATCH(ROW(G6),Main!$C$4:$C$1048576,0)))</f>
        <v>99999854001関連</v>
      </c>
      <c r="I8" s="1">
        <f>IF(H8&lt;&gt;"",IF(ROW(G6)&gt;MAX(Main!$C$4:$C$1048576),"",INDEX(Main!N$4:N$1048576,MATCH(ROW(G6),Main!$C$4:$C$1048576,0))),"")</f>
        <v>99999854001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クラスターNo.854</v>
      </c>
      <c r="M8" s="4" t="str">
        <f>TEXT(IF(ROW(A6)&gt;MAX(Main!$D$4:$D$1048576),"",INDEX(Main!Q$4:Q$1048576,MATCH(ROW(A6),Main!$D$4:$D$1048576,0))), "yyyy/m/d")</f>
        <v>2022/12/14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99999854006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南陽市</v>
      </c>
      <c r="S8" s="9" t="str">
        <f>IF(ROW(G6)&gt;MAX(Main!$D$4:$D$1048576),"",INDEX(Main!K$4:K$1048576,MATCH(ROW(G6),Main!$D$4:$D$1048576,0)))</f>
        <v>99999854001関連</v>
      </c>
      <c r="T8" s="1">
        <f>IF(S8&lt;&gt;"",IF(ROW(G6)&gt;MAX(Main!$D$4:$D$1048576),"",INDEX(Main!N$4:N$1048576,MATCH(ROW(G6),Main!$D$4:$D$1048576,0))),"")</f>
        <v>99999854001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2022/12/14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99999854007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南陽市</v>
      </c>
      <c r="H9" s="10" t="str">
        <f>IF(ROW(G7)&gt;MAX(Main!$C$4:$C$1048576),"",INDEX(Main!K$4:K$1048576,MATCH(ROW(G7),Main!$C$4:$C$1048576,0)))</f>
        <v>99999854001関連</v>
      </c>
      <c r="I9" s="1">
        <f>IF(H9&lt;&gt;"",IF(ROW(G7)&gt;MAX(Main!$C$4:$C$1048576),"",INDEX(Main!N$4:N$1048576,MATCH(ROW(G7),Main!$C$4:$C$1048576,0))),"")</f>
        <v>99999854001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クラスターNo.854</v>
      </c>
      <c r="M9" s="4" t="str">
        <f>TEXT(IF(ROW(A7)&gt;MAX(Main!$D$4:$D$1048576),"",INDEX(Main!Q$4:Q$1048576,MATCH(ROW(A7),Main!$D$4:$D$1048576,0))), "yyyy/m/d")</f>
        <v>2022/12/14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99999854007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南陽市</v>
      </c>
      <c r="S9" s="9" t="str">
        <f>IF(ROW(G7)&gt;MAX(Main!$D$4:$D$1048576),"",INDEX(Main!K$4:K$1048576,MATCH(ROW(G7),Main!$D$4:$D$1048576,0)))</f>
        <v>99999854001関連</v>
      </c>
      <c r="T9" s="1">
        <f>IF(S9&lt;&gt;"",IF(ROW(G7)&gt;MAX(Main!$D$4:$D$1048576),"",INDEX(Main!N$4:N$1048576,MATCH(ROW(G7),Main!$D$4:$D$1048576,0))),"")</f>
        <v>99999854001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2022/12/14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99999854008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南陽市</v>
      </c>
      <c r="H10" s="10" t="str">
        <f>IF(ROW(G8)&gt;MAX(Main!$C$4:$C$1048576),"",INDEX(Main!K$4:K$1048576,MATCH(ROW(G8),Main!$C$4:$C$1048576,0)))</f>
        <v>99999854001関連</v>
      </c>
      <c r="I10" s="1">
        <f>IF(H10&lt;&gt;"",IF(ROW(G8)&gt;MAX(Main!$C$4:$C$1048576),"",INDEX(Main!N$4:N$1048576,MATCH(ROW(G8),Main!$C$4:$C$1048576,0))),"")</f>
        <v>99999854001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クラスターNo.854</v>
      </c>
      <c r="M10" s="4" t="str">
        <f>TEXT(IF(ROW(A8)&gt;MAX(Main!$D$4:$D$1048576),"",INDEX(Main!Q$4:Q$1048576,MATCH(ROW(A8),Main!$D$4:$D$1048576,0))), "yyyy/m/d")</f>
        <v>2022/12/14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99999854008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南陽市</v>
      </c>
      <c r="S10" s="9" t="str">
        <f>IF(ROW(G8)&gt;MAX(Main!$D$4:$D$1048576),"",INDEX(Main!K$4:K$1048576,MATCH(ROW(G8),Main!$D$4:$D$1048576,0)))</f>
        <v>99999854001関連</v>
      </c>
      <c r="T10" s="1">
        <f>IF(S10&lt;&gt;"",IF(ROW(G8)&gt;MAX(Main!$D$4:$D$1048576),"",INDEX(Main!N$4:N$1048576,MATCH(ROW(G8),Main!$D$4:$D$1048576,0))),"")</f>
        <v>99999854001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2022/12/14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99999854009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南陽市</v>
      </c>
      <c r="H11" s="10" t="str">
        <f>IF(ROW(G9)&gt;MAX(Main!$C$4:$C$1048576),"",INDEX(Main!K$4:K$1048576,MATCH(ROW(G9),Main!$C$4:$C$1048576,0)))</f>
        <v>99999854001関連</v>
      </c>
      <c r="I11" s="1">
        <f>IF(H11&lt;&gt;"",IF(ROW(G9)&gt;MAX(Main!$C$4:$C$1048576),"",INDEX(Main!N$4:N$1048576,MATCH(ROW(G9),Main!$C$4:$C$1048576,0))),"")</f>
        <v>99999854001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クラスターNo.854</v>
      </c>
      <c r="M11" s="4" t="str">
        <f>TEXT(IF(ROW(A9)&gt;MAX(Main!$D$4:$D$1048576),"",INDEX(Main!Q$4:Q$1048576,MATCH(ROW(A9),Main!$D$4:$D$1048576,0))), "yyyy/m/d")</f>
        <v>2022/12/14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99999854009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南陽市</v>
      </c>
      <c r="S11" s="9" t="str">
        <f>IF(ROW(G9)&gt;MAX(Main!$D$4:$D$1048576),"",INDEX(Main!K$4:K$1048576,MATCH(ROW(G9),Main!$D$4:$D$1048576,0)))</f>
        <v>99999854001関連</v>
      </c>
      <c r="T11" s="1">
        <f>IF(S11&lt;&gt;"",IF(ROW(G9)&gt;MAX(Main!$D$4:$D$1048576),"",INDEX(Main!N$4:N$1048576,MATCH(ROW(G9),Main!$D$4:$D$1048576,0))),"")</f>
        <v>99999854001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2022/12/14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99999855001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南陽市</v>
      </c>
      <c r="H12" s="10" t="str">
        <f>IF(ROW(G10)&gt;MAX(Main!$C$4:$C$1048576),"",INDEX(Main!K$4:K$1048576,MATCH(ROW(G10),Main!$C$4:$C$1048576,0)))</f>
        <v>99999855001介護施設</v>
      </c>
      <c r="I12" s="1">
        <f>IF(H12&lt;&gt;"",IF(ROW(G10)&gt;MAX(Main!$C$4:$C$1048576),"",INDEX(Main!N$4:N$1048576,MATCH(ROW(G10),Main!$C$4:$C$1048576,0))),"")</f>
        <v>99999855001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介護施設</v>
      </c>
      <c r="K12" s="27" t="str">
        <f t="shared" si="1"/>
        <v>クラスターNo.855</v>
      </c>
      <c r="M12" s="4" t="str">
        <f>TEXT(IF(ROW(A10)&gt;MAX(Main!$D$4:$D$1048576),"",INDEX(Main!Q$4:Q$1048576,MATCH(ROW(A10),Main!$D$4:$D$1048576,0))), "yyyy/m/d")</f>
        <v>2022/12/14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99999855001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南陽市</v>
      </c>
      <c r="S12" s="9" t="str">
        <f>IF(ROW(G10)&gt;MAX(Main!$D$4:$D$1048576),"",INDEX(Main!K$4:K$1048576,MATCH(ROW(G10),Main!$D$4:$D$1048576,0)))</f>
        <v>99999855001介護施設</v>
      </c>
      <c r="T12" s="1">
        <f>IF(S12&lt;&gt;"",IF(ROW(G10)&gt;MAX(Main!$D$4:$D$1048576),"",INDEX(Main!N$4:N$1048576,MATCH(ROW(G10),Main!$D$4:$D$1048576,0))),"")</f>
        <v>99999855001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介護施設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2022/12/14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99999855002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南陽市</v>
      </c>
      <c r="H13" s="10" t="str">
        <f>IF(ROW(G11)&gt;MAX(Main!$C$4:$C$1048576),"",INDEX(Main!K$4:K$1048576,MATCH(ROW(G11),Main!$C$4:$C$1048576,0)))</f>
        <v>99999855001関連</v>
      </c>
      <c r="I13" s="1">
        <f>IF(H13&lt;&gt;"",IF(ROW(G11)&gt;MAX(Main!$C$4:$C$1048576),"",INDEX(Main!N$4:N$1048576,MATCH(ROW(G11),Main!$C$4:$C$1048576,0))),"")</f>
        <v>99999855001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クラスターNo.855</v>
      </c>
      <c r="M13" s="4" t="str">
        <f>TEXT(IF(ROW(A11)&gt;MAX(Main!$D$4:$D$1048576),"",INDEX(Main!Q$4:Q$1048576,MATCH(ROW(A11),Main!$D$4:$D$1048576,0))), "yyyy/m/d")</f>
        <v>2022/12/14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99999855002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南陽市</v>
      </c>
      <c r="S13" s="9" t="str">
        <f>IF(ROW(G11)&gt;MAX(Main!$D$4:$D$1048576),"",INDEX(Main!K$4:K$1048576,MATCH(ROW(G11),Main!$D$4:$D$1048576,0)))</f>
        <v>99999855001関連</v>
      </c>
      <c r="T13" s="1">
        <f>IF(S13&lt;&gt;"",IF(ROW(G11)&gt;MAX(Main!$D$4:$D$1048576),"",INDEX(Main!N$4:N$1048576,MATCH(ROW(G11),Main!$D$4:$D$1048576,0))),"")</f>
        <v>99999855001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2022/12/14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99999855003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南陽市</v>
      </c>
      <c r="H14" s="10" t="str">
        <f>IF(ROW(G12)&gt;MAX(Main!$C$4:$C$1048576),"",INDEX(Main!K$4:K$1048576,MATCH(ROW(G12),Main!$C$4:$C$1048576,0)))</f>
        <v>99999855001関連</v>
      </c>
      <c r="I14" s="1">
        <f>IF(H14&lt;&gt;"",IF(ROW(G12)&gt;MAX(Main!$C$4:$C$1048576),"",INDEX(Main!N$4:N$1048576,MATCH(ROW(G12),Main!$C$4:$C$1048576,0))),"")</f>
        <v>99999855001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クラスターNo.855</v>
      </c>
      <c r="M14" s="4" t="str">
        <f>TEXT(IF(ROW(A12)&gt;MAX(Main!$D$4:$D$1048576),"",INDEX(Main!Q$4:Q$1048576,MATCH(ROW(A12),Main!$D$4:$D$1048576,0))), "yyyy/m/d")</f>
        <v>2022/12/14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99999855003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南陽市</v>
      </c>
      <c r="S14" s="9" t="str">
        <f>IF(ROW(G12)&gt;MAX(Main!$D$4:$D$1048576),"",INDEX(Main!K$4:K$1048576,MATCH(ROW(G12),Main!$D$4:$D$1048576,0)))</f>
        <v>99999855001関連</v>
      </c>
      <c r="T14" s="1">
        <f>IF(S14&lt;&gt;"",IF(ROW(G12)&gt;MAX(Main!$D$4:$D$1048576),"",INDEX(Main!N$4:N$1048576,MATCH(ROW(G12),Main!$D$4:$D$1048576,0))),"")</f>
        <v>99999855001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2022/12/14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99999855004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南陽市</v>
      </c>
      <c r="H15" s="10" t="str">
        <f>IF(ROW(G13)&gt;MAX(Main!$C$4:$C$1048576),"",INDEX(Main!K$4:K$1048576,MATCH(ROW(G13),Main!$C$4:$C$1048576,0)))</f>
        <v>99999855001関連</v>
      </c>
      <c r="I15" s="1">
        <f>IF(H15&lt;&gt;"",IF(ROW(G13)&gt;MAX(Main!$C$4:$C$1048576),"",INDEX(Main!N$4:N$1048576,MATCH(ROW(G13),Main!$C$4:$C$1048576,0))),"")</f>
        <v>99999855001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クラスターNo.855</v>
      </c>
      <c r="M15" s="4" t="str">
        <f>TEXT(IF(ROW(A13)&gt;MAX(Main!$D$4:$D$1048576),"",INDEX(Main!Q$4:Q$1048576,MATCH(ROW(A13),Main!$D$4:$D$1048576,0))), "yyyy/m/d")</f>
        <v>2022/12/14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99999855004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南陽市</v>
      </c>
      <c r="S15" s="9" t="str">
        <f>IF(ROW(G13)&gt;MAX(Main!$D$4:$D$1048576),"",INDEX(Main!K$4:K$1048576,MATCH(ROW(G13),Main!$D$4:$D$1048576,0)))</f>
        <v>99999855001関連</v>
      </c>
      <c r="T15" s="1">
        <f>IF(S15&lt;&gt;"",IF(ROW(G13)&gt;MAX(Main!$D$4:$D$1048576),"",INDEX(Main!N$4:N$1048576,MATCH(ROW(G13),Main!$D$4:$D$1048576,0))),"")</f>
        <v>99999855001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2022/12/14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99999855005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南陽市</v>
      </c>
      <c r="H16" s="10" t="str">
        <f>IF(ROW(G14)&gt;MAX(Main!$C$4:$C$1048576),"",INDEX(Main!K$4:K$1048576,MATCH(ROW(G14),Main!$C$4:$C$1048576,0)))</f>
        <v>99999855001関連</v>
      </c>
      <c r="I16" s="1">
        <f>IF(H16&lt;&gt;"",IF(ROW(G14)&gt;MAX(Main!$C$4:$C$1048576),"",INDEX(Main!N$4:N$1048576,MATCH(ROW(G14),Main!$C$4:$C$1048576,0))),"")</f>
        <v>99999855001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クラスターNo.855</v>
      </c>
      <c r="M16" s="4" t="str">
        <f>TEXT(IF(ROW(A14)&gt;MAX(Main!$D$4:$D$1048576),"",INDEX(Main!Q$4:Q$1048576,MATCH(ROW(A14),Main!$D$4:$D$1048576,0))), "yyyy/m/d")</f>
        <v>2022/12/14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99999855005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南陽市</v>
      </c>
      <c r="S16" s="9" t="str">
        <f>IF(ROW(G14)&gt;MAX(Main!$D$4:$D$1048576),"",INDEX(Main!K$4:K$1048576,MATCH(ROW(G14),Main!$D$4:$D$1048576,0)))</f>
        <v>99999855001関連</v>
      </c>
      <c r="T16" s="1">
        <f>IF(S16&lt;&gt;"",IF(ROW(G14)&gt;MAX(Main!$D$4:$D$1048576),"",INDEX(Main!N$4:N$1048576,MATCH(ROW(G14),Main!$D$4:$D$1048576,0))),"")</f>
        <v>99999855001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2022/12/14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99999855006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南陽市</v>
      </c>
      <c r="H17" s="10" t="str">
        <f>IF(ROW(G15)&gt;MAX(Main!$C$4:$C$1048576),"",INDEX(Main!K$4:K$1048576,MATCH(ROW(G15),Main!$C$4:$C$1048576,0)))</f>
        <v>99999855001関連</v>
      </c>
      <c r="I17" s="1">
        <f>IF(H17&lt;&gt;"",IF(ROW(G15)&gt;MAX(Main!$C$4:$C$1048576),"",INDEX(Main!N$4:N$1048576,MATCH(ROW(G15),Main!$C$4:$C$1048576,0))),"")</f>
        <v>99999855001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クラスターNo.855</v>
      </c>
      <c r="M17" s="4" t="str">
        <f>TEXT(IF(ROW(A15)&gt;MAX(Main!$D$4:$D$1048576),"",INDEX(Main!Q$4:Q$1048576,MATCH(ROW(A15),Main!$D$4:$D$1048576,0))), "yyyy/m/d")</f>
        <v>2022/12/14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99999855006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南陽市</v>
      </c>
      <c r="S17" s="9" t="str">
        <f>IF(ROW(G15)&gt;MAX(Main!$D$4:$D$1048576),"",INDEX(Main!K$4:K$1048576,MATCH(ROW(G15),Main!$D$4:$D$1048576,0)))</f>
        <v>99999855001関連</v>
      </c>
      <c r="T17" s="1">
        <f>IF(S17&lt;&gt;"",IF(ROW(G15)&gt;MAX(Main!$D$4:$D$1048576),"",INDEX(Main!N$4:N$1048576,MATCH(ROW(G15),Main!$D$4:$D$1048576,0))),"")</f>
        <v>99999855001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2022/12/14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99999855007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南陽市</v>
      </c>
      <c r="H18" s="10" t="str">
        <f>IF(ROW(G16)&gt;MAX(Main!$C$4:$C$1048576),"",INDEX(Main!K$4:K$1048576,MATCH(ROW(G16),Main!$C$4:$C$1048576,0)))</f>
        <v>99999855001関連</v>
      </c>
      <c r="I18" s="1">
        <f>IF(H18&lt;&gt;"",IF(ROW(G16)&gt;MAX(Main!$C$4:$C$1048576),"",INDEX(Main!N$4:N$1048576,MATCH(ROW(G16),Main!$C$4:$C$1048576,0))),"")</f>
        <v>99999855001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クラスターNo.855</v>
      </c>
      <c r="M18" s="4" t="str">
        <f>TEXT(IF(ROW(A16)&gt;MAX(Main!$D$4:$D$1048576),"",INDEX(Main!Q$4:Q$1048576,MATCH(ROW(A16),Main!$D$4:$D$1048576,0))), "yyyy/m/d")</f>
        <v>2022/12/14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99999855007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南陽市</v>
      </c>
      <c r="S18" s="9" t="str">
        <f>IF(ROW(G16)&gt;MAX(Main!$D$4:$D$1048576),"",INDEX(Main!K$4:K$1048576,MATCH(ROW(G16),Main!$D$4:$D$1048576,0)))</f>
        <v>99999855001関連</v>
      </c>
      <c r="T18" s="1">
        <f>IF(S18&lt;&gt;"",IF(ROW(G16)&gt;MAX(Main!$D$4:$D$1048576),"",INDEX(Main!N$4:N$1048576,MATCH(ROW(G16),Main!$D$4:$D$1048576,0))),"")</f>
        <v>99999855001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2022/12/14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99999855008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南陽市</v>
      </c>
      <c r="H19" s="10" t="str">
        <f>IF(ROW(G17)&gt;MAX(Main!$C$4:$C$1048576),"",INDEX(Main!K$4:K$1048576,MATCH(ROW(G17),Main!$C$4:$C$1048576,0)))</f>
        <v>99999855001関連</v>
      </c>
      <c r="I19" s="1">
        <f>IF(H19&lt;&gt;"",IF(ROW(G17)&gt;MAX(Main!$C$4:$C$1048576),"",INDEX(Main!N$4:N$1048576,MATCH(ROW(G17),Main!$C$4:$C$1048576,0))),"")</f>
        <v>99999855001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クラスターNo.855</v>
      </c>
      <c r="M19" s="4" t="str">
        <f>TEXT(IF(ROW(A17)&gt;MAX(Main!$D$4:$D$1048576),"",INDEX(Main!Q$4:Q$1048576,MATCH(ROW(A17),Main!$D$4:$D$1048576,0))), "yyyy/m/d")</f>
        <v>2022/12/14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99999855008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南陽市</v>
      </c>
      <c r="S19" s="9" t="str">
        <f>IF(ROW(G17)&gt;MAX(Main!$D$4:$D$1048576),"",INDEX(Main!K$4:K$1048576,MATCH(ROW(G17),Main!$D$4:$D$1048576,0)))</f>
        <v>99999855001関連</v>
      </c>
      <c r="T19" s="1">
        <f>IF(S19&lt;&gt;"",IF(ROW(G17)&gt;MAX(Main!$D$4:$D$1048576),"",INDEX(Main!N$4:N$1048576,MATCH(ROW(G17),Main!$D$4:$D$1048576,0))),"")</f>
        <v>99999855001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2022/12/14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99999855009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南陽市</v>
      </c>
      <c r="H20" s="10" t="str">
        <f>IF(ROW(G18)&gt;MAX(Main!$C$4:$C$1048576),"",INDEX(Main!K$4:K$1048576,MATCH(ROW(G18),Main!$C$4:$C$1048576,0)))</f>
        <v>99999855001関連</v>
      </c>
      <c r="I20" s="1">
        <f>IF(H20&lt;&gt;"",IF(ROW(G18)&gt;MAX(Main!$C$4:$C$1048576),"",INDEX(Main!N$4:N$1048576,MATCH(ROW(G18),Main!$C$4:$C$1048576,0))),"")</f>
        <v>99999855001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クラスターNo.855</v>
      </c>
      <c r="M20" s="4" t="str">
        <f>TEXT(IF(ROW(A18)&gt;MAX(Main!$D$4:$D$1048576),"",INDEX(Main!Q$4:Q$1048576,MATCH(ROW(A18),Main!$D$4:$D$1048576,0))), "yyyy/m/d")</f>
        <v>2022/12/14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99999855009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南陽市</v>
      </c>
      <c r="S20" s="9" t="str">
        <f>IF(ROW(G18)&gt;MAX(Main!$D$4:$D$1048576),"",INDEX(Main!K$4:K$1048576,MATCH(ROW(G18),Main!$D$4:$D$1048576,0)))</f>
        <v>99999855001関連</v>
      </c>
      <c r="T20" s="1">
        <f>IF(S20&lt;&gt;"",IF(ROW(G18)&gt;MAX(Main!$D$4:$D$1048576),"",INDEX(Main!N$4:N$1048576,MATCH(ROW(G18),Main!$D$4:$D$1048576,0))),"")</f>
        <v>99999855001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2022/12/14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99999855010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南陽市</v>
      </c>
      <c r="H21" s="10" t="str">
        <f>IF(ROW(G19)&gt;MAX(Main!$C$4:$C$1048576),"",INDEX(Main!K$4:K$1048576,MATCH(ROW(G19),Main!$C$4:$C$1048576,0)))</f>
        <v>99999855001関連</v>
      </c>
      <c r="I21" s="1">
        <f>IF(H21&lt;&gt;"",IF(ROW(G19)&gt;MAX(Main!$C$4:$C$1048576),"",INDEX(Main!N$4:N$1048576,MATCH(ROW(G19),Main!$C$4:$C$1048576,0))),"")</f>
        <v>99999855001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クラスターNo.855</v>
      </c>
      <c r="M21" s="4" t="str">
        <f>TEXT(IF(ROW(A19)&gt;MAX(Main!$D$4:$D$1048576),"",INDEX(Main!Q$4:Q$1048576,MATCH(ROW(A19),Main!$D$4:$D$1048576,0))), "yyyy/m/d")</f>
        <v>2022/12/14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99999855010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南陽市</v>
      </c>
      <c r="S21" s="9" t="str">
        <f>IF(ROW(G19)&gt;MAX(Main!$D$4:$D$1048576),"",INDEX(Main!K$4:K$1048576,MATCH(ROW(G19),Main!$D$4:$D$1048576,0)))</f>
        <v>99999855001関連</v>
      </c>
      <c r="T21" s="1">
        <f>IF(S21&lt;&gt;"",IF(ROW(G19)&gt;MAX(Main!$D$4:$D$1048576),"",INDEX(Main!N$4:N$1048576,MATCH(ROW(G19),Main!$D$4:$D$1048576,0))),"")</f>
        <v>99999855001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19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99999854001,
            "date": "2022/12/14",
            "label": "クラスターNo.854\n2022/12/14\n南陽市\n-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99999854002,
            "date": "2022/12/14",
            "label": "クラスターNo.854\n2022/12/14\n南陽市\n-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99999854003,
            "date": "2022/12/14",
            "label": "クラスターNo.854\n2022/12/14\n南陽市\n-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99999854004,
            "date": "2022/12/14",
            "label": "クラスターNo.854\n2022/12/14\n南陽市\n-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99999854005,
            "date": "2022/12/14",
            "label": "クラスターNo.854\n2022/12/14\n南陽市\n-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99999854006,
            "date": "2022/12/14",
            "label": "クラスターNo.854\n2022/12/14\n南陽市\n-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99999854007,
            "date": "2022/12/14",
            "label": "クラスターNo.854\n2022/12/14\n南陽市\n-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99999854008,
            "date": "2022/12/14",
            "label": "クラスターNo.854\n2022/12/14\n南陽市\n-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99999854009,
            "date": "2022/12/14",
            "label": "クラスターNo.854\n2022/12/14\n南陽市\n-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99999855001,
            "date": "2022/12/14",
            "label": "クラスターNo.855\n2022/12/14\n南陽市\n-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99999855002,
            "date": "2022/12/14",
            "label": "クラスターNo.855\n2022/12/14\n南陽市\n-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99999855003,
            "date": "2022/12/14",
            "label": "クラスターNo.855\n2022/12/14\n南陽市\n-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99999855004,
            "date": "2022/12/14",
            "label": "クラスターNo.855\n2022/12/14\n南陽市\n-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99999855005,
            "date": "2022/12/14",
            "label": "クラスターNo.855\n2022/12/14\n南陽市\n-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99999855006,
            "date": "2022/12/14",
            "label": "クラスターNo.855\n2022/12/14\n南陽市\n-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99999855007,
            "date": "2022/12/14",
            "label": "クラスターNo.855\n2022/12/14\n南陽市\n- ー"
        },
        "classes": ["multiline-manual", "else"]
    },
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99999855008,
            "date": "2022/12/14",
            "label": "クラスターNo.855\n2022/12/14\n南陽市\n- ー"
        },
        "classes": ["multiline-manual", "else"]
    },
</v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99999855009,
            "date": "2022/12/14",
            "label": "クラスターNo.855\n2022/12/14\n南陽市\n- ー"
        },
        "classes": ["multiline-manual", "else"]
    },
</v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99999855010,
            "date": "2022/12/14",
            "label": "クラスターNo.855\n2022/12/14\n南陽市\n- ー"
        },
        "classes": ["multiline-manual", "else"]
    }</v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68.75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ht="168.75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ht="168.75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ht="168.75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ht="168.75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ht="168.75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ht="150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19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"99999854001",
            "target": "99999854001",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"99999854002",
            "target": "99999854001",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"99999854003",
            "target": "99999854001",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"99999854004",
            "target": "99999854001",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"99999854005",
            "target": "99999854001",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"99999854006",
            "target": "99999854001",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"99999854007",
            "target": "99999854001",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"99999854008",
            "target": "99999854001",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"99999854009",
            "target": "99999854001",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"99999855001",
            "target": "99999855001",
            "label": "介護施設"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"99999855002",
            "target": "99999855001",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"99999855003",
            "target": "99999855001",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"99999855004",
            "target": "99999855001",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"99999855005",
            "target": "99999855001",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"99999855006",
            "target": "99999855001",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"99999855007",
            "target": "99999855001",
            "label": "関連"
        }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"99999855008",
            "target": "99999855001",
            "label": "関連"
        }
    },
</v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"99999855009",
            "target": "99999855001",
            "label": "関連"
        }
    },
</v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"99999855010",
            "target": "99999855001",
            "label": "関連"
        }
    }</v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ht="150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ht="131.25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2" sqref="B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"lastUpdate":"2022/12/14 21:55"}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2022-12-14T12:55:45Z</dcterms:modified>
</cp:coreProperties>
</file>