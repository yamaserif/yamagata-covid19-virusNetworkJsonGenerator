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0704BB1E-69D2-413B-9D0F-DE0DA192FD84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" i="1" l="1"/>
  <c r="S10" i="1"/>
  <c r="G15" i="1"/>
  <c r="J15" i="1" s="1"/>
  <c r="G13" i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K23" i="1" l="1"/>
  <c r="K24" i="1"/>
  <c r="M24" i="1" s="1" a="1"/>
  <c r="M24" i="1" s="1"/>
  <c r="O24" i="1" s="1"/>
  <c r="K13" i="1"/>
  <c r="K25" i="1"/>
  <c r="M25" i="1" s="1" a="1"/>
  <c r="M25" i="1" s="1"/>
  <c r="O25" i="1" s="1"/>
  <c r="K26" i="1"/>
  <c r="M26" i="1" s="1" a="1"/>
  <c r="M26" i="1" s="1"/>
  <c r="O26" i="1" s="1"/>
  <c r="K15" i="1"/>
  <c r="M15" i="1" s="1" a="1"/>
  <c r="M15" i="1" s="1"/>
  <c r="O15" i="1" s="1"/>
  <c r="K17" i="1"/>
  <c r="M17" i="1" s="1" a="1"/>
  <c r="M17" i="1" s="1"/>
  <c r="O17" i="1" s="1"/>
  <c r="K18" i="1"/>
  <c r="K19" i="1"/>
  <c r="M19" i="1" s="1" a="1"/>
  <c r="M19" i="1" s="1"/>
  <c r="O19" i="1" s="1"/>
  <c r="K27" i="1"/>
  <c r="K41" i="1"/>
  <c r="K45" i="1"/>
  <c r="K48" i="1"/>
  <c r="K49" i="1"/>
  <c r="K20" i="1"/>
  <c r="K22" i="1"/>
  <c r="L22" i="1" s="1"/>
  <c r="K21" i="1"/>
  <c r="M21" i="1" s="1" a="1"/>
  <c r="M21" i="1" s="1"/>
  <c r="O21" i="1" s="1"/>
  <c r="K29" i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R175" i="3"/>
  <c r="O12" i="3"/>
  <c r="P12" i="3" s="1"/>
  <c r="Q12" i="3" s="1"/>
  <c r="O10" i="3"/>
  <c r="P10" i="3" s="1"/>
  <c r="Q10" i="3" s="1"/>
  <c r="R112" i="3"/>
  <c r="M13" i="3"/>
  <c r="N13" i="3" s="1"/>
  <c r="O13" i="3" s="1"/>
  <c r="P13" i="3" s="1"/>
  <c r="C50" i="1"/>
  <c r="Q6" i="3" l="1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E7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D8" i="3"/>
  <c r="E8" i="3" s="1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E6" i="3" s="1"/>
  <c r="D54" i="3"/>
  <c r="E54" i="3" s="1"/>
  <c r="F54" i="3" s="1"/>
  <c r="C17" i="5" a="1"/>
  <c r="C17" i="5" l="1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181" i="3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G197" i="3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G162" i="3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C18" i="5" l="1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41" i="5" a="1"/>
  <c r="C36" i="4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<sst xmlns="http://schemas.openxmlformats.org/spreadsheetml/2006/main" count="1249" uniqueCount="447">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</sst>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S11" sqref="S1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99999880001</v>
      </c>
      <c r="G10" s="29">
        <f t="shared" si="2"/>
        <v>99999880001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99999880001介護施設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99999880001</v>
      </c>
      <c r="N10">
        <f>IF(L10&lt;&gt;"○",M10,INDEX(G$4:G9,MATCH(L10&amp;M10,F$4:F9,0)))</f>
        <v>99999880001</v>
      </c>
      <c r="O10" t="str">
        <f t="shared" si="8"/>
        <v>介護施設</v>
      </c>
      <c r="Q10" s="4">
        <v>44920</v>
      </c>
      <c r="S10" t="str">
        <f>$O$1&amp;
880&amp;
REPT("0",3-LEN(ROW($S1)))&amp;ROW($S1)</f>
        <v>99999880001</v>
      </c>
      <c r="T10" t="s">
        <v>50</v>
      </c>
      <c r="U10" t="s">
        <v>50</v>
      </c>
      <c r="V10" t="s">
        <v>446</v>
      </c>
      <c r="AB10" t="str">
        <f>$S$10&amp;"介護施設"</f>
        <v>99999880001介護施設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2022/12/25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99999880001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99999880001介護施設</v>
      </c>
      <c r="I3" s="1">
        <f>IF(H3&lt;&gt;"",IF(ROW(G1)&gt;MAX(Main!$C$4:$C$1048576),"",INDEX(Main!N$4:N$1048576,MATCH(ROW(G1),Main!$C$4:$C$1048576,0))),"")</f>
        <v>99999880001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クラスターNo.880</v>
      </c>
      <c r="M3" s="4" t="str">
        <f>TEXT(IF(ROW(A1)&gt;MAX(Main!$D$4:$D$1048576),"",INDEX(Main!Q$4:Q$1048576,MATCH(ROW(A1),Main!$D$4:$D$1048576,0))), "yyyy/m/d")</f>
        <v>2022/12/25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99999880001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99999880001介護施設</v>
      </c>
      <c r="T3" s="1">
        <f>IF(S3&lt;&gt;"",IF(ROW(G1)&gt;MAX(Main!$D$4:$D$1048576),"",INDEX(Main!N$4:N$1048576,MATCH(ROW(G1),Main!$D$4:$D$1048576,0))),"")</f>
        <v>99999880001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99999880001,
            "date": "2022/12/25",
            "label": "クラスターNo.880\n2022/12/25\n山形市\n- ー"
        },
        "classes": ["multiline-manual", "else"]
    }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"99999880001",
            "target": "99999880001",
            "label": "介護施設"
        }
    }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31.25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"lastUpdate":"2022/12/25 22:51"}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2022-12-25T13:52:07Z</dcterms:modified>
</cp:coreProperties>
</file>