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4FF91745-C477-40C2-8206-7EB9FB2C29CF}" xr6:coauthVersionLast="47" xr6:coauthVersionMax="47" xr10:uidLastSave="{00000000-0000-0000-0000-000000000000}"/>
  <bookViews>
    <workbookView xWindow="630" yWindow="540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21" i="1" l="1"/>
  <c r="S21" i="1"/>
  <c r="AB19" i="1"/>
  <c r="S19" i="1"/>
  <c r="S17" i="1"/>
  <c r="S16" i="1"/>
  <c r="S15" i="1"/>
  <c r="G15" i="1" s="1"/>
  <c r="J15" i="1" s="1"/>
  <c r="S14" i="1"/>
  <c r="S13" i="1"/>
  <c r="S12" i="1"/>
  <c r="S11" i="1"/>
  <c r="AB16" i="1"/>
  <c r="AB14" i="1"/>
  <c r="S10" i="1"/>
  <c r="AB15" i="1" s="1"/>
  <c r="G16" i="1"/>
  <c r="I16" i="1" s="1"/>
  <c r="AB10" i="1"/>
  <c r="G13" i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7" i="1" l="1"/>
  <c r="AB12" i="1"/>
  <c r="AB13" i="1"/>
  <c r="K13" i="1" s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100" i="5" a="1"/>
  <c r="C95" i="4" a="1"/>
  <c r="C95" i="4" l="1"/>
  <c r="C100" i="5"/>
  <c r="C101" i="5" a="1"/>
  <c r="C96" i="4" a="1"/>
  <c r="C101" i="5" l="1"/>
  <c r="C96" i="4"/>
  <c r="C97" i="4" a="1"/>
  <c r="C102" i="5" a="1"/>
  <c r="C97" i="4" l="1"/>
  <c r="C102" i="5"/>
  <c r="C103" i="5" a="1"/>
  <c r="C98" i="4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<sst xmlns="http://schemas.openxmlformats.org/spreadsheetml/2006/main" count="1276" uniqueCount="448">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</sst>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S23" sqref="S2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99999982001</v>
      </c>
      <c r="G10" s="29">
        <f t="shared" si="2"/>
        <v>99999982001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99999982001介護施設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99999982001</v>
      </c>
      <c r="N10">
        <f>IF(L10&lt;&gt;"○",M10,INDEX(G$4:G9,MATCH(L10&amp;M10,F$4:F9,0)))</f>
        <v>99999982001</v>
      </c>
      <c r="O10" t="str">
        <f t="shared" si="8"/>
        <v>介護施設</v>
      </c>
      <c r="Q10" s="4">
        <v>45022</v>
      </c>
      <c r="S10" t="str">
        <f>$O$1&amp;
982&amp;
REPT("0",3-LEN(ROW($S1)))&amp;ROW($S1)</f>
        <v>99999982001</v>
      </c>
      <c r="T10" t="s">
        <v>50</v>
      </c>
      <c r="U10" t="s">
        <v>50</v>
      </c>
      <c r="V10" t="s">
        <v>446</v>
      </c>
      <c r="AB10" t="str">
        <f>$S$10&amp;"介護施設"</f>
        <v>99999982001介護施設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99999982002</v>
      </c>
      <c r="G11" s="29">
        <f t="shared" si="2"/>
        <v>99999982002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99999982001関連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99999982001</v>
      </c>
      <c r="N11">
        <f>IF(L11&lt;&gt;"○",M11,INDEX(G$4:G10,MATCH(L11&amp;M11,F$4:F10,0)))</f>
        <v>99999982001</v>
      </c>
      <c r="O11" t="str">
        <f t="shared" si="8"/>
        <v>関連</v>
      </c>
      <c r="Q11" s="4">
        <v>45022</v>
      </c>
      <c r="S11" t="str">
        <f t="shared" ref="S11:S17" si="9">$O$1&amp;
982&amp;
REPT("0",3-LEN(ROW($S2)))&amp;ROW($S2)</f>
        <v>99999982002</v>
      </c>
      <c r="T11" t="s">
        <v>50</v>
      </c>
      <c r="U11" t="s">
        <v>50</v>
      </c>
      <c r="V11" t="s">
        <v>446</v>
      </c>
      <c r="AB11" t="str">
        <f>$S$10&amp;"関連"</f>
        <v>99999982001関連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99999982003</v>
      </c>
      <c r="G12" s="29">
        <f t="shared" si="2"/>
        <v>99999982003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99999982001関連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99999982001</v>
      </c>
      <c r="N12">
        <f>IF(L12&lt;&gt;"○",M12,INDEX(G$4:G11,MATCH(L12&amp;M12,F$4:F11,0)))</f>
        <v>99999982001</v>
      </c>
      <c r="O12" t="str">
        <f t="shared" si="8"/>
        <v>関連</v>
      </c>
      <c r="Q12" s="4">
        <v>45022</v>
      </c>
      <c r="S12" t="str">
        <f t="shared" si="9"/>
        <v>99999982003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99999982001関連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99999982004</v>
      </c>
      <c r="G13" s="29">
        <f t="shared" si="2"/>
        <v>99999982004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99999982001関連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99999982001</v>
      </c>
      <c r="N13">
        <f>IF(L13&lt;&gt;"○",M13,INDEX(G$4:G12,MATCH(L13&amp;M13,F$4:F12,0)))</f>
        <v>99999982001</v>
      </c>
      <c r="O13" t="str">
        <f t="shared" si="8"/>
        <v>関連</v>
      </c>
      <c r="Q13" s="4">
        <v>45022</v>
      </c>
      <c r="S13" t="str">
        <f t="shared" si="9"/>
        <v>99999982004</v>
      </c>
      <c r="T13" t="s">
        <v>50</v>
      </c>
      <c r="U13" t="s">
        <v>50</v>
      </c>
      <c r="V13" t="s">
        <v>446</v>
      </c>
      <c r="AB13" t="str">
        <f t="shared" si="10"/>
        <v>99999982001関連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99999982005</v>
      </c>
      <c r="G14" s="29">
        <f t="shared" si="2"/>
        <v>99999982005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99999982001関連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99999982001</v>
      </c>
      <c r="N14">
        <f>IF(L14&lt;&gt;"○",M14,INDEX(G$4:G13,MATCH(L14&amp;M14,F$4:F13,0)))</f>
        <v>99999982001</v>
      </c>
      <c r="O14" t="str">
        <f t="shared" si="8"/>
        <v>関連</v>
      </c>
      <c r="Q14" s="4">
        <v>45022</v>
      </c>
      <c r="S14" t="str">
        <f t="shared" si="9"/>
        <v>99999982005</v>
      </c>
      <c r="T14" t="s">
        <v>50</v>
      </c>
      <c r="U14" t="s">
        <v>50</v>
      </c>
      <c r="V14" t="s">
        <v>446</v>
      </c>
      <c r="AB14" t="str">
        <f t="shared" si="10"/>
        <v>99999982001関連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99999982006</v>
      </c>
      <c r="G15" s="29">
        <f t="shared" si="2"/>
        <v>99999982006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99999982001関連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99999982001</v>
      </c>
      <c r="N15">
        <f>IF(L15&lt;&gt;"○",M15,INDEX(G$4:G14,MATCH(L15&amp;M15,F$4:F14,0)))</f>
        <v>99999982001</v>
      </c>
      <c r="O15" t="str">
        <f t="shared" si="8"/>
        <v>関連</v>
      </c>
      <c r="Q15" s="4">
        <v>45022</v>
      </c>
      <c r="S15" t="str">
        <f t="shared" si="9"/>
        <v>99999982006</v>
      </c>
      <c r="T15" t="s">
        <v>50</v>
      </c>
      <c r="U15" t="s">
        <v>50</v>
      </c>
      <c r="V15" t="s">
        <v>446</v>
      </c>
      <c r="AB15" t="str">
        <f t="shared" si="10"/>
        <v>99999982001関連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99999982007</v>
      </c>
      <c r="G16" s="29">
        <f t="shared" si="2"/>
        <v>99999982007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99999982001関連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99999982001</v>
      </c>
      <c r="N16">
        <f>IF(L16&lt;&gt;"○",M16,INDEX(G$4:G15,MATCH(L16&amp;M16,F$4:F15,0)))</f>
        <v>99999982001</v>
      </c>
      <c r="O16" t="str">
        <f t="shared" si="8"/>
        <v>関連</v>
      </c>
      <c r="Q16" s="4">
        <v>45022</v>
      </c>
      <c r="S16" t="str">
        <f t="shared" si="9"/>
        <v>99999982007</v>
      </c>
      <c r="T16" t="s">
        <v>50</v>
      </c>
      <c r="U16" t="s">
        <v>50</v>
      </c>
      <c r="V16" t="s">
        <v>446</v>
      </c>
      <c r="AB16" t="str">
        <f t="shared" si="10"/>
        <v>99999982001関連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99999982008</v>
      </c>
      <c r="G17" s="29">
        <f t="shared" si="2"/>
        <v>99999982008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99999982001関連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99999982001</v>
      </c>
      <c r="N17">
        <f>IF(L17&lt;&gt;"○",M17,INDEX(G$4:G16,MATCH(L17&amp;M17,F$4:F16,0)))</f>
        <v>99999982001</v>
      </c>
      <c r="O17" t="str">
        <f t="shared" si="8"/>
        <v>関連</v>
      </c>
      <c r="Q17" s="4">
        <v>45022</v>
      </c>
      <c r="S17" t="str">
        <f t="shared" si="9"/>
        <v>99999982008</v>
      </c>
      <c r="T17" t="s">
        <v>50</v>
      </c>
      <c r="U17" t="s">
        <v>50</v>
      </c>
      <c r="V17" t="s">
        <v>446</v>
      </c>
      <c r="AB17" t="str">
        <f t="shared" si="10"/>
        <v>99999982001関連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99999983001</v>
      </c>
      <c r="G19" s="29">
        <f t="shared" si="2"/>
        <v>99999983001</v>
      </c>
      <c r="H19" s="20" t="str">
        <f t="shared" si="3"/>
        <v>-</v>
      </c>
      <c r="I19" s="20" t="str">
        <f t="shared" si="4"/>
        <v>ー</v>
      </c>
      <c r="J19" s="20" t="str">
        <f t="shared" si="5"/>
        <v>山形市</v>
      </c>
      <c r="K19" s="31" t="str">
        <f t="shared" si="6"/>
        <v>99999983001介護施設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99999983001</v>
      </c>
      <c r="N19">
        <f>IF(L19&lt;&gt;"○",M19,INDEX(G$4:G18,MATCH(L19&amp;M19,F$4:F18,0)))</f>
        <v>99999983001</v>
      </c>
      <c r="O19" t="str">
        <f t="shared" si="8"/>
        <v>介護施設</v>
      </c>
      <c r="Q19" s="4">
        <v>45022</v>
      </c>
      <c r="S19" t="str">
        <f>$O$1&amp;
983&amp;
REPT("0",3-LEN(ROW($S1)))&amp;ROW($S1)</f>
        <v>99999983001</v>
      </c>
      <c r="T19" t="s">
        <v>50</v>
      </c>
      <c r="U19" t="s">
        <v>50</v>
      </c>
      <c r="V19" t="s">
        <v>447</v>
      </c>
      <c r="AB19" t="str">
        <f>$S$19&amp;"介護施設"</f>
        <v>99999983001介護施設</v>
      </c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>
        <f>IF(G21="","",MAX(C$4:C20)+1)</f>
        <v>10</v>
      </c>
      <c r="D21">
        <f>IF(AND(N21=""),"",MAX(D$4:D20)+1)</f>
        <v>10</v>
      </c>
      <c r="F21" s="26" t="str">
        <f t="shared" si="1"/>
        <v>99999984001</v>
      </c>
      <c r="G21" s="29">
        <f t="shared" si="2"/>
        <v>99999984001</v>
      </c>
      <c r="H21" s="20" t="str">
        <f t="shared" si="3"/>
        <v>-</v>
      </c>
      <c r="I21" s="20" t="str">
        <f t="shared" si="4"/>
        <v>ー</v>
      </c>
      <c r="J21" s="20" t="str">
        <f t="shared" si="5"/>
        <v>山形市</v>
      </c>
      <c r="K21" s="31" t="str">
        <f t="shared" si="6"/>
        <v>99999984001介護施設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99999984001</v>
      </c>
      <c r="N21">
        <f>IF(L21&lt;&gt;"○",M21,INDEX(G$4:G20,MATCH(L21&amp;M21,F$4:F20,0)))</f>
        <v>99999984001</v>
      </c>
      <c r="O21" t="str">
        <f t="shared" si="8"/>
        <v>介護施設</v>
      </c>
      <c r="Q21" s="4">
        <v>45022</v>
      </c>
      <c r="S21" t="str">
        <f>$O$1&amp;
984&amp;
REPT("0",3-LEN(ROW($S1)))&amp;ROW($S1)</f>
        <v>99999984001</v>
      </c>
      <c r="T21" t="s">
        <v>50</v>
      </c>
      <c r="U21" t="s">
        <v>50</v>
      </c>
      <c r="V21" t="s">
        <v>447</v>
      </c>
      <c r="AB21" t="str">
        <f>$S$21&amp;"介護施設"</f>
        <v>99999984001介護施設</v>
      </c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2023/4/6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99999982001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99999982001介護施設</v>
      </c>
      <c r="I3" s="1">
        <f>IF(H3&lt;&gt;"",IF(ROW(G1)&gt;MAX(Main!$C$4:$C$1048576),"",INDEX(Main!N$4:N$1048576,MATCH(ROW(G1),Main!$C$4:$C$1048576,0))),"")</f>
        <v>99999982001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クラスターNo.982</v>
      </c>
      <c r="M3" s="4" t="str">
        <f>TEXT(IF(ROW(A1)&gt;MAX(Main!$D$4:$D$1048576),"",INDEX(Main!Q$4:Q$1048576,MATCH(ROW(A1),Main!$D$4:$D$1048576,0))), "yyyy/m/d")</f>
        <v>2023/4/6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99999982001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99999982001介護施設</v>
      </c>
      <c r="T3" s="1">
        <f>IF(S3&lt;&gt;"",IF(ROW(G1)&gt;MAX(Main!$D$4:$D$1048576),"",INDEX(Main!N$4:N$1048576,MATCH(ROW(G1),Main!$D$4:$D$1048576,0))),"")</f>
        <v>99999982001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2023/4/6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99999982002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99999982001関連</v>
      </c>
      <c r="I4" s="1">
        <f>IF(H4&lt;&gt;"",IF(ROW(G2)&gt;MAX(Main!$C$4:$C$1048576),"",INDEX(Main!N$4:N$1048576,MATCH(ROW(G2),Main!$C$4:$C$1048576,0))),"")</f>
        <v>99999982001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クラスターNo.982</v>
      </c>
      <c r="M4" s="4" t="str">
        <f>TEXT(IF(ROW(A2)&gt;MAX(Main!$D$4:$D$1048576),"",INDEX(Main!Q$4:Q$1048576,MATCH(ROW(A2),Main!$D$4:$D$1048576,0))), "yyyy/m/d")</f>
        <v>2023/4/6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99999982002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99999982001関連</v>
      </c>
      <c r="T4" s="1">
        <f>IF(S4&lt;&gt;"",IF(ROW(G2)&gt;MAX(Main!$D$4:$D$1048576),"",INDEX(Main!N$4:N$1048576,MATCH(ROW(G2),Main!$D$4:$D$1048576,0))),"")</f>
        <v>99999982001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2023/4/6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99999982003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99999982001関連</v>
      </c>
      <c r="I5" s="1">
        <f>IF(H5&lt;&gt;"",IF(ROW(G3)&gt;MAX(Main!$C$4:$C$1048576),"",INDEX(Main!N$4:N$1048576,MATCH(ROW(G3),Main!$C$4:$C$1048576,0))),"")</f>
        <v>99999982001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クラスターNo.982</v>
      </c>
      <c r="M5" s="4" t="str">
        <f>TEXT(IF(ROW(A3)&gt;MAX(Main!$D$4:$D$1048576),"",INDEX(Main!Q$4:Q$1048576,MATCH(ROW(A3),Main!$D$4:$D$1048576,0))), "yyyy/m/d")</f>
        <v>2023/4/6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99999982003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99999982001関連</v>
      </c>
      <c r="T5" s="1">
        <f>IF(S5&lt;&gt;"",IF(ROW(G3)&gt;MAX(Main!$D$4:$D$1048576),"",INDEX(Main!N$4:N$1048576,MATCH(ROW(G3),Main!$D$4:$D$1048576,0))),"")</f>
        <v>99999982001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2023/4/6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99999982004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99999982001関連</v>
      </c>
      <c r="I6" s="1">
        <f>IF(H6&lt;&gt;"",IF(ROW(G4)&gt;MAX(Main!$C$4:$C$1048576),"",INDEX(Main!N$4:N$1048576,MATCH(ROW(G4),Main!$C$4:$C$1048576,0))),"")</f>
        <v>99999982001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クラスターNo.982</v>
      </c>
      <c r="M6" s="4" t="str">
        <f>TEXT(IF(ROW(A4)&gt;MAX(Main!$D$4:$D$1048576),"",INDEX(Main!Q$4:Q$1048576,MATCH(ROW(A4),Main!$D$4:$D$1048576,0))), "yyyy/m/d")</f>
        <v>2023/4/6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99999982004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99999982001関連</v>
      </c>
      <c r="T6" s="1">
        <f>IF(S6&lt;&gt;"",IF(ROW(G4)&gt;MAX(Main!$D$4:$D$1048576),"",INDEX(Main!N$4:N$1048576,MATCH(ROW(G4),Main!$D$4:$D$1048576,0))),"")</f>
        <v>99999982001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2023/4/6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99999982005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99999982001関連</v>
      </c>
      <c r="I7" s="1">
        <f>IF(H7&lt;&gt;"",IF(ROW(G5)&gt;MAX(Main!$C$4:$C$1048576),"",INDEX(Main!N$4:N$1048576,MATCH(ROW(G5),Main!$C$4:$C$1048576,0))),"")</f>
        <v>99999982001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クラスターNo.982</v>
      </c>
      <c r="M7" s="4" t="str">
        <f>TEXT(IF(ROW(A5)&gt;MAX(Main!$D$4:$D$1048576),"",INDEX(Main!Q$4:Q$1048576,MATCH(ROW(A5),Main!$D$4:$D$1048576,0))), "yyyy/m/d")</f>
        <v>2023/4/6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99999982005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99999982001関連</v>
      </c>
      <c r="T7" s="1">
        <f>IF(S7&lt;&gt;"",IF(ROW(G5)&gt;MAX(Main!$D$4:$D$1048576),"",INDEX(Main!N$4:N$1048576,MATCH(ROW(G5),Main!$D$4:$D$1048576,0))),"")</f>
        <v>99999982001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2023/4/6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99999982006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99999982001関連</v>
      </c>
      <c r="I8" s="1">
        <f>IF(H8&lt;&gt;"",IF(ROW(G6)&gt;MAX(Main!$C$4:$C$1048576),"",INDEX(Main!N$4:N$1048576,MATCH(ROW(G6),Main!$C$4:$C$1048576,0))),"")</f>
        <v>99999982001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クラスターNo.982</v>
      </c>
      <c r="M8" s="4" t="str">
        <f>TEXT(IF(ROW(A6)&gt;MAX(Main!$D$4:$D$1048576),"",INDEX(Main!Q$4:Q$1048576,MATCH(ROW(A6),Main!$D$4:$D$1048576,0))), "yyyy/m/d")</f>
        <v>2023/4/6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99999982006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99999982001関連</v>
      </c>
      <c r="T8" s="1">
        <f>IF(S8&lt;&gt;"",IF(ROW(G6)&gt;MAX(Main!$D$4:$D$1048576),"",INDEX(Main!N$4:N$1048576,MATCH(ROW(G6),Main!$D$4:$D$1048576,0))),"")</f>
        <v>99999982001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2023/4/6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99999982007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99999982001関連</v>
      </c>
      <c r="I9" s="1">
        <f>IF(H9&lt;&gt;"",IF(ROW(G7)&gt;MAX(Main!$C$4:$C$1048576),"",INDEX(Main!N$4:N$1048576,MATCH(ROW(G7),Main!$C$4:$C$1048576,0))),"")</f>
        <v>99999982001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クラスターNo.982</v>
      </c>
      <c r="M9" s="4" t="str">
        <f>TEXT(IF(ROW(A7)&gt;MAX(Main!$D$4:$D$1048576),"",INDEX(Main!Q$4:Q$1048576,MATCH(ROW(A7),Main!$D$4:$D$1048576,0))), "yyyy/m/d")</f>
        <v>2023/4/6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99999982007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99999982001関連</v>
      </c>
      <c r="T9" s="1">
        <f>IF(S9&lt;&gt;"",IF(ROW(G7)&gt;MAX(Main!$D$4:$D$1048576),"",INDEX(Main!N$4:N$1048576,MATCH(ROW(G7),Main!$D$4:$D$1048576,0))),"")</f>
        <v>99999982001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2023/4/6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99999982008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99999982001関連</v>
      </c>
      <c r="I10" s="1">
        <f>IF(H10&lt;&gt;"",IF(ROW(G8)&gt;MAX(Main!$C$4:$C$1048576),"",INDEX(Main!N$4:N$1048576,MATCH(ROW(G8),Main!$C$4:$C$1048576,0))),"")</f>
        <v>99999982001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クラスターNo.982</v>
      </c>
      <c r="M10" s="4" t="str">
        <f>TEXT(IF(ROW(A8)&gt;MAX(Main!$D$4:$D$1048576),"",INDEX(Main!Q$4:Q$1048576,MATCH(ROW(A8),Main!$D$4:$D$1048576,0))), "yyyy/m/d")</f>
        <v>2023/4/6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99999982008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99999982001関連</v>
      </c>
      <c r="T10" s="1">
        <f>IF(S10&lt;&gt;"",IF(ROW(G8)&gt;MAX(Main!$D$4:$D$1048576),"",INDEX(Main!N$4:N$1048576,MATCH(ROW(G8),Main!$D$4:$D$1048576,0))),"")</f>
        <v>99999982001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2023/4/6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99999983001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山形市</v>
      </c>
      <c r="H11" s="10" t="str">
        <f>IF(ROW(G9)&gt;MAX(Main!$C$4:$C$1048576),"",INDEX(Main!K$4:K$1048576,MATCH(ROW(G9),Main!$C$4:$C$1048576,0)))</f>
        <v>99999983001介護施設</v>
      </c>
      <c r="I11" s="1">
        <f>IF(H11&lt;&gt;"",IF(ROW(G9)&gt;MAX(Main!$C$4:$C$1048576),"",INDEX(Main!N$4:N$1048576,MATCH(ROW(G9),Main!$C$4:$C$1048576,0))),"")</f>
        <v>99999983001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介護施設</v>
      </c>
      <c r="K11" s="27" t="str">
        <f t="shared" si="1"/>
        <v>クラスターNo.983</v>
      </c>
      <c r="M11" s="4" t="str">
        <f>TEXT(IF(ROW(A9)&gt;MAX(Main!$D$4:$D$1048576),"",INDEX(Main!Q$4:Q$1048576,MATCH(ROW(A9),Main!$D$4:$D$1048576,0))), "yyyy/m/d")</f>
        <v>2023/4/6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99999983001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山形市</v>
      </c>
      <c r="S11" s="9" t="str">
        <f>IF(ROW(G9)&gt;MAX(Main!$D$4:$D$1048576),"",INDEX(Main!K$4:K$1048576,MATCH(ROW(G9),Main!$D$4:$D$1048576,0)))</f>
        <v>99999983001介護施設</v>
      </c>
      <c r="T11" s="1">
        <f>IF(S11&lt;&gt;"",IF(ROW(G9)&gt;MAX(Main!$D$4:$D$1048576),"",INDEX(Main!N$4:N$1048576,MATCH(ROW(G9),Main!$D$4:$D$1048576,0))),"")</f>
        <v>99999983001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介護施設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2023/4/6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99999984001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山形市</v>
      </c>
      <c r="H12" s="10" t="str">
        <f>IF(ROW(G10)&gt;MAX(Main!$C$4:$C$1048576),"",INDEX(Main!K$4:K$1048576,MATCH(ROW(G10),Main!$C$4:$C$1048576,0)))</f>
        <v>99999984001介護施設</v>
      </c>
      <c r="I12" s="1">
        <f>IF(H12&lt;&gt;"",IF(ROW(G10)&gt;MAX(Main!$C$4:$C$1048576),"",INDEX(Main!N$4:N$1048576,MATCH(ROW(G10),Main!$C$4:$C$1048576,0))),"")</f>
        <v>99999984001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介護施設</v>
      </c>
      <c r="K12" s="27" t="str">
        <f t="shared" si="1"/>
        <v>クラスターNo.984</v>
      </c>
      <c r="M12" s="4" t="str">
        <f>TEXT(IF(ROW(A10)&gt;MAX(Main!$D$4:$D$1048576),"",INDEX(Main!Q$4:Q$1048576,MATCH(ROW(A10),Main!$D$4:$D$1048576,0))), "yyyy/m/d")</f>
        <v>2023/4/6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99999984001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山形市</v>
      </c>
      <c r="S12" s="9" t="str">
        <f>IF(ROW(G10)&gt;MAX(Main!$D$4:$D$1048576),"",INDEX(Main!K$4:K$1048576,MATCH(ROW(G10),Main!$D$4:$D$1048576,0)))</f>
        <v>99999984001介護施設</v>
      </c>
      <c r="T12" s="1">
        <f>IF(S12&lt;&gt;"",IF(ROW(G10)&gt;MAX(Main!$D$4:$D$1048576),"",INDEX(Main!N$4:N$1048576,MATCH(ROW(G10),Main!$D$4:$D$1048576,0))),"")</f>
        <v>99999984001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介護施設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10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99999982001,
            "date": "2023/4/6",
            "label": "クラスターNo.982\n2023/4/6\n鶴岡市\n-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99999982002,
            "date": "2023/4/6",
            "label": "クラスターNo.982\n2023/4/6\n鶴岡市\n-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99999982003,
            "date": "2023/4/6",
            "label": "クラスターNo.982\n2023/4/6\n鶴岡市\n-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99999982004,
            "date": "2023/4/6",
            "label": "クラスターNo.982\n2023/4/6\n鶴岡市\n-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99999982005,
            "date": "2023/4/6",
            "label": "クラスターNo.982\n2023/4/6\n鶴岡市\n-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99999982006,
            "date": "2023/4/6",
            "label": "クラスターNo.982\n2023/4/6\n鶴岡市\n-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99999982007,
            "date": "2023/4/6",
            "label": "クラスターNo.982\n2023/4/6\n鶴岡市\n- ー"
        },
        "classes": ["multiline-manual", "else"]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99999982008,
            "date": "2023/4/6",
            "label": "クラスターNo.982\n2023/4/6\n鶴岡市\n-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99999983001,
            "date": "2023/4/6",
            "label": "クラスターNo.983\n2023/4/6\n山形市\n-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99999984001,
            "date": "2023/4/6",
            "label": "クラスターNo.984\n2023/4/6\n山形市\n- ー"
        },
        "classes": ["multiline-manual", "else"]
    }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10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"99999982001",
            "target": "99999982001",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"99999982002",
            "target": "99999982001",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"99999982003",
            "target": "99999982001",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"99999982004",
            "target": "99999982001",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"99999982005",
            "target": "99999982001",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"99999982006",
            "target": "99999982001",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"99999982007",
            "target": "99999982001",
            "label": "関連"
        }
    },
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"99999982008",
            "target": "99999982001",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"99999983001",
            "target": "99999983001",
            "label": "介護施設"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"99999984001",
            "target": "99999984001",
            "label": "介護施設"
        }
    }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"lastUpdate":"2023/4/6 21:36"}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2023-04-06T12:37:35Z</dcterms:modified>
</cp:coreProperties>
</file>