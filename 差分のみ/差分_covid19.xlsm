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89DAC53F-ACFE-4B37-97F5-62AAB2EF9ADE}" xr6:coauthVersionLast="47" xr6:coauthVersionMax="47" xr10:uidLastSave="{00000000-0000-0000-0000-000000000000}"/>
  <bookViews>
    <workbookView xWindow="6975" yWindow="2490" windowWidth="21810" windowHeight="1299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9" i="1" l="1"/>
  <c r="AB19" i="1" s="1"/>
  <c r="S17" i="1"/>
  <c r="AB17" i="1" s="1"/>
  <c r="S15" i="1"/>
  <c r="S14" i="1"/>
  <c r="S13" i="1"/>
  <c r="G13" i="1" s="1"/>
  <c r="S12" i="1"/>
  <c r="S11" i="1"/>
  <c r="G11" i="1" s="1"/>
  <c r="I11" i="1" s="1"/>
  <c r="AB15" i="1"/>
  <c r="S10" i="1"/>
  <c r="AB12" i="1" s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3" i="1" l="1"/>
  <c r="AB14" i="1"/>
  <c r="AB10" i="1"/>
  <c r="AB11" i="1"/>
  <c r="K26" i="1"/>
  <c r="M26" i="1" s="1" a="1"/>
  <c r="M26" i="1" s="1"/>
  <c r="O26" i="1" s="1"/>
  <c r="K27" i="1"/>
  <c r="K29" i="1"/>
  <c r="F59" i="1"/>
  <c r="K23" i="1"/>
  <c r="K24" i="1"/>
  <c r="M24" i="1" s="1" a="1"/>
  <c r="M24" i="1" s="1"/>
  <c r="O24" i="1" s="1"/>
  <c r="K13" i="1"/>
  <c r="K15" i="1"/>
  <c r="M15" i="1" s="1" a="1"/>
  <c r="M15" i="1" s="1"/>
  <c r="O15" i="1" s="1"/>
  <c r="K25" i="1"/>
  <c r="M25" i="1" s="1" a="1"/>
  <c r="M25" i="1" s="1"/>
  <c r="O25" i="1" s="1"/>
  <c r="K17" i="1"/>
  <c r="M17" i="1" s="1" a="1"/>
  <c r="M17" i="1" s="1"/>
  <c r="O17" i="1" s="1"/>
  <c r="K18" i="1"/>
  <c r="K19" i="1"/>
  <c r="M19" i="1" s="1" a="1"/>
  <c r="M19" i="1" s="1"/>
  <c r="O19" i="1" s="1"/>
  <c r="K41" i="1"/>
  <c r="K45" i="1"/>
  <c r="K48" i="1"/>
  <c r="K49" i="1"/>
  <c r="K20" i="1"/>
  <c r="K22" i="1"/>
  <c r="L22" i="1" s="1"/>
  <c r="K21" i="1"/>
  <c r="M21" i="1" s="1" a="1"/>
  <c r="M21" i="1" s="1"/>
  <c r="O21" i="1" s="1"/>
  <c r="K32" i="1"/>
  <c r="K16" i="1"/>
  <c r="L16" i="1" s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I20" i="1"/>
  <c r="J20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M49" i="1" l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49" i="1" l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R183" i="3"/>
  <c r="S186" i="3"/>
  <c r="T186" i="3" s="1"/>
  <c r="U186" i="3" s="1"/>
  <c r="R49" i="3"/>
  <c r="S75" i="3"/>
  <c r="T75" i="3" s="1"/>
  <c r="U75" i="3" s="1"/>
  <c r="M172" i="3"/>
  <c r="N172" i="3" s="1"/>
  <c r="O172" i="3" s="1"/>
  <c r="P172" i="3" s="1"/>
  <c r="Q172" i="3" s="1"/>
  <c r="O14" i="3"/>
  <c r="P14" i="3" s="1"/>
  <c r="Q14" i="3" s="1"/>
  <c r="S33" i="3"/>
  <c r="T33" i="3" s="1"/>
  <c r="U33" i="3" s="1"/>
  <c r="O15" i="3"/>
  <c r="P15" i="3" s="1"/>
  <c r="Q15" i="3" s="1"/>
  <c r="O12" i="3"/>
  <c r="P12" i="3" s="1"/>
  <c r="Q12" i="3" s="1"/>
  <c r="O10" i="3"/>
  <c r="P10" i="3" s="1"/>
  <c r="Q10" i="3" s="1"/>
  <c r="M13" i="3"/>
  <c r="N13" i="3" s="1"/>
  <c r="O13" i="3" s="1"/>
  <c r="P13" i="3" s="1"/>
  <c r="C50" i="1"/>
  <c r="R112" i="3" l="1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E7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21" i="3"/>
  <c r="E21" i="3" s="1"/>
  <c r="F21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D8" i="3"/>
  <c r="E8" i="3" s="1"/>
  <c r="B70" i="3"/>
  <c r="C70" i="3" s="1"/>
  <c r="K70" i="3" s="1"/>
  <c r="D166" i="3"/>
  <c r="E166" i="3" s="1"/>
  <c r="F166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D6" i="3"/>
  <c r="E6" i="3" s="1"/>
  <c r="D54" i="3"/>
  <c r="E54" i="3" s="1"/>
  <c r="F54" i="3" s="1"/>
  <c r="C17" i="5" a="1"/>
  <c r="C17" i="5" l="1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G5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G167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97" i="3" l="1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6" i="5" a="1"/>
  <c r="C21" i="4" a="1"/>
  <c r="C26" i="5" l="1"/>
  <c r="C21" i="4"/>
  <c r="C22" i="4" a="1"/>
  <c r="C27" i="5" a="1"/>
  <c r="C22" i="4" l="1"/>
  <c r="C27" i="5"/>
  <c r="C23" i="4" a="1"/>
  <c r="C28" i="5" a="1"/>
  <c r="C28" i="5" l="1"/>
  <c r="C23" i="4"/>
  <c r="C29" i="5" a="1"/>
  <c r="C24" i="4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54" i="5" a="1"/>
  <c r="C49" i="4" a="1"/>
  <c r="C54" i="5" l="1"/>
  <c r="C49" i="4"/>
  <c r="C50" i="4" a="1"/>
  <c r="C55" i="5" a="1"/>
  <c r="C50" i="4" l="1"/>
  <c r="C55" i="5"/>
  <c r="C56" i="5" a="1"/>
  <c r="C51" i="4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68" i="4" a="1"/>
  <c r="C73" i="5" a="1"/>
  <c r="C73" i="5" l="1"/>
  <c r="C68" i="4"/>
  <c r="C69" i="4" a="1"/>
  <c r="C74" i="5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83" i="5" a="1"/>
  <c r="C78" i="4" a="1"/>
  <c r="C83" i="5" l="1"/>
  <c r="C78" i="4"/>
  <c r="C79" i="4" a="1"/>
  <c r="C84" i="5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92" i="5" a="1"/>
  <c r="C87" i="4" a="1"/>
  <c r="C87" i="4" l="1"/>
  <c r="C92" i="5"/>
  <c r="C88" i="4" a="1"/>
  <c r="C93" i="5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44" i="5" a="1"/>
  <c r="C139" i="4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5" i="5" a="1"/>
  <c r="C180" i="4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<sst xmlns="http://schemas.openxmlformats.org/spreadsheetml/2006/main" count="1270" uniqueCount="448">
  <si>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</si>
  <si>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</si>
  <si>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</si>
  <si>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</si>
  <si>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</si>
  <si>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</si>
  <si>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</si>
  <si>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</si>
  <si>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</si>
  <si>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</si>
  <si>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</si>
  <si>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</si>
  <si>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</si>
  <si>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</si>
  <si>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</si>
  <si>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</si>
  <si>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</si>
  <si>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</si>
  <si>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</si>
  <si>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</si>
  <si>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</si>
  <si>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</si>
  <si>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</si>
  <si>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</si>
  <si>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</si>
  <si>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</si>
  <si>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</si>
  <si>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</si>
  <si>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</si>
  <si>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</si>
  <si>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</si>
  <si>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</si>
  <si>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</si>
  <si>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</si>
  <si>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</si>
  <si>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</si>
  <si>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</si>
  <si>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</si>
  <si>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</si>
  <si>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</si>
  <si>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</si>
  <si>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</si>
  <si>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</si>
  <si>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</si>
  <si>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</si>
  <si>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</si>
  <si>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</si>
  <si>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</si>
  <si>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</si>
  <si>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</si>
  <si>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</si>
  <si>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</si>
  <si>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</si>
  <si>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</si>
  <si>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</si>
  <si>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</si>
  <si>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</si>
  <si>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</si>
  <si>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</si>
  <si>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</si>
  <si>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</si>
  <si>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</si>
  <si>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</si>
  <si>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</si>
  <si>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</si>
  <si>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</si>
  <si>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</si>
  <si>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</si>
  <si>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</si>
  <si>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</si>
  <si>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</si>
  <si>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</si>
  <si>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</si>
  <si>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</si>
  <si>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</si>
  <si>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</si>
  <si>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</si>
  <si>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</si>
  <si>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</si>
  <si>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</si>
  <si>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</si>
  <si>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</si>
  <si>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</si>
  <si>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</si>
  <si>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</si>
  <si>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</si>
  <si>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</si>
  <si>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</si>
  <si>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</si>
  <si>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</si>
  <si>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</si>
  <si>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</si>
  <si>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</si>
  <si>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</si>
  <si>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</si>
  <si>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</si>
  <si>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</si>
  <si>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</si>
  <si>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</si>
  <si>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</si>
  <si>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</si>
  <si>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</si>
  <si>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</si>
  <si>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</si>
  <si>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</si>
  <si>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</si>
  <si>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</si>
  <si>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</si>
  <si>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</si>
  <si>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</si>
  <si>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</si>
  <si>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</si>
  <si>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</si>
  <si>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</si>
  <si>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</si>
  <si>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</si>
  <si>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</si>
  <si>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</si>
  <si>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</si>
  <si>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</si>
  <si>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</si>
  <si>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</si>
  <si>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</si>
  <si>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</si>
  <si>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</si>
  <si>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</si>
  <si>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</si>
  <si>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</si>
  <si>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</si>
  <si>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</si>
  <si>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</si>
  <si>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</si>
  <si>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</si>
  <si>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</si>
  <si>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</si>
  <si>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</si>
  <si>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</si>
  <si>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</si>
  <si>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</si>
  <si>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</si>
  <si>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</si>
  <si>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</si>
  <si>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</si>
  <si>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</si>
  <si>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</si>
  <si>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</si>
  <si>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</si>
  <si>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</si>
  <si>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</si>
  <si>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</si>
  <si>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</si>
  <si>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</si>
  <si>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</si>
  <si>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</si>
  <si>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</si>
  <si>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</si>
  <si>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</si>
  <si>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</si>
  <si>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</si>
  <si>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</si>
  <si>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</si>
  <si>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</si>
  <si>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</si>
  <si>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</si>
  <si>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</si>
  <si>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</si>
  <si>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</si>
  <si>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</si>
  <si>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</si>
  <si>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</si>
  <si>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</si>
  <si>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</si>
  <si>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</si>
  <si>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</si>
  <si>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</si>
  <si>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</si>
  <si>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</si>
  <si>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</si>
  <si>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</si>
  <si>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</si>
  <si>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</si>
  <si>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</si>
  <si>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</si>
  <si>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</si>
  <si>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</si>
  <si>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</si>
  <si>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</si>
  <si>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</si>
  <si>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</si>
  <si>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</si>
  <si>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</si>
  <si>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</si>
  <si>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</si>
  <si>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</si>
  <si>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</si>
  <si>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</si>
  <si>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</si>
  <si>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</si>
  <si>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</si>
  <si>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</si>
  <si>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</si>
  <si>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</si>
  <si>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</si>
  <si>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</si>
  <si>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</si>
  <si>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</si>
  <si>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</si>
  <si>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</si>
  <si>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</si>
  <si>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</si>
  <si>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</si>
  <si>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</si>
  <si>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</si>
  <si>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</si>
  <si>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</si>
  <si>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</si>
  <si>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</si>
  <si>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</si>
  <si>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</si>
  <si>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</si>
  <si>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</si>
  <si>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</si>
  <si>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</si>
  <si>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</si>
  <si>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</si>
  <si>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</si>
  <si>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</si>
  <si>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</si>
  <si>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</si>
  <si>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</si>
  <si>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</si>
  <si>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</si>
  <si>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</si>
  <si>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</si>
  <si>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</si>
  <si>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</si>
  <si>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</si>
  <si>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</si>
  <si>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</si>
  <si>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</si>
  <si>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</si>
  <si>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</si>
  <si>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</si>
  <si>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</si>
  <si>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</si>
  <si>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</si>
  <si>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</si>
  <si>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</si>
  <si>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</si>
  <si>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</si>
  <si>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</si>
  <si>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</si>
  <si>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</si>
  <si>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</si>
  <si>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</si>
  <si>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</si>
  <si>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</si>
  <si>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</si>
  <si>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</si>
  <si>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</si>
  <si>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</si>
  <si>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</si>
  <si>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</si>
  <si>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</si>
  <si>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</si>
  <si>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</si>
  <si>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</si>
  <si>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</si>
  <si>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</si>
  <si>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</si>
  <si>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</si>
  <si>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</si>
  <si>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</si>
  <si>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</si>
  <si>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</si>
  <si>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</si>
  <si>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</si>
  <si>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</si>
  <si>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</si>
  <si>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</si>
  <si>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</si>
  <si>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</si>
  <si>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</si>
  <si>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</si>
  <si>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</si>
  <si>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</si>
  <si>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</si>
  <si>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</si>
  <si>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</si>
  <si>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</si>
  <si>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</si>
  <si>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</si>
  <si>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</si>
  <si>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</si>
  <si>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</si>
  <si>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</si>
  <si>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</si>
  <si>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</si>
  <si>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</si>
  <si>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</si>
  <si>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</si>
  <si>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</si>
  <si>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</si>
  <si>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</si>
  <si>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</si>
  <si>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</si>
  <si>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</si>
  <si>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</si>
  <si>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</si>
  <si>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</si>
  <si>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</si>
  <si>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</si>
  <si>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</si>
  <si>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</si>
  <si>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</si>
  <si>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</si>
  <si>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</si>
  <si>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</si>
  <si>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</si>
  <si>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</si>
  <si>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</si>
  <si>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</si>
  <si>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</si>
  <si>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</si>
  <si>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</si>
  <si>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</si>
  <si>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</si>
  <si>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</si>
  <si>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</si>
  <si>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</si>
  <si>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</si>
  <si>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</si>
  <si>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</si>
  <si>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</si>
  <si>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</si>
  <si>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</si>
  <si>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</si>
  <si>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</si>
  <si>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</si>
  <si>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</si>
  <si>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</si>
  <si>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</si>
  <si>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</si>
  <si>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</si>
  <si>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</si>
  <si>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</si>
  <si>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</si>
  <si>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</si>
  <si>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</si>
  <si>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</si>
  <si>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</si>
  <si>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</si>
  <si>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</si>
  <si>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</si>
  <si>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</si>
  <si>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</si>
  <si>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</si>
  <si>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</si>
  <si>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</si>
  <si>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</si>
  <si>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</si>
  <si>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</si>
  <si>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</si>
  <si>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</si>
  <si>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</si>
  <si>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</si>
  <si>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</si>
  <si>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</si>
  <si>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</si>
  <si>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</si>
  <si>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</si>
  <si>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</si>
  <si>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</si>
  <si>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</si>
  <si>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</si>
  <si>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</si>
  <si>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</si>
  <si>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</si>
  <si>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</si>
  <si>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</si>
  <si>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</si>
  <si>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</si>
  <si>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</si>
  <si>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</si>
  <si>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</si>
  <si>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</si>
  <si>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</si>
  <si>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</si>
  <si>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</si>
  <si>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</si>
  <si>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</si>
  <si>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</si>
  <si>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</si>
  <si>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</si>
  <si>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</si>
  <si>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</si>
  <si>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</si>
  <si>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</si>
  <si>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</si>
  <si>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</si>
  <si>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</si>
  <si>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</si>
  <si>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</si>
  <si>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</si>
  <si>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</si>
  <si>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</si>
  <si>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</si>
  <si>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</si>
  <si>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</si>
  <si>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</si>
  <si>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</si>
  <si>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</si>
  <si>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</si>
  <si>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</si>
  <si>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</si>
  <si>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</si>
  <si>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</si>
  <si>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</si>
  <si>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</si>
  <si>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</si>
  <si>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</si>
  <si>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</si>
  <si>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</si>
  <si>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</si>
  <si>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</si>
  <si>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</si>
  <si>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</si>
  <si>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</si>
  <si>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</si>
  <si>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</si>
  <si>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</si>
  <si>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</si>
  <si>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</si>
  <si>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</si>
  <si>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</si>
  <si>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</si>
  <si>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</si>
  <si>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</si>
  <si>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</si>
  <si>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</si>
  <si>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</si>
  <si>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</si>
  <si>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</si>
  <si>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</si>
  <si>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</si>
  <si>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</si>
  <si>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</si>
  <si>
    <t>真室川町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</si>
</sst>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K1" zoomScale="70" zoomScaleNormal="70" workbookViewId="0">
      <pane ySplit="3" topLeftCell="A4" activePane="bottomLeft" state="frozen"/>
      <selection activeCell="E20" sqref="E20"/>
      <selection pane="bottomLeft" activeCell="T21" sqref="T21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99999893001</v>
      </c>
      <c r="G10" s="29">
        <f t="shared" si="2"/>
        <v>99999893001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真室川町</v>
      </c>
      <c r="K10" s="31" t="str">
        <f t="shared" si="6"/>
        <v>99999893001介護施設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99999893001</v>
      </c>
      <c r="N10">
        <f>IF(L10&lt;&gt;"○",M10,INDEX(G$4:G9,MATCH(L10&amp;M10,F$4:F9,0)))</f>
        <v>99999893001</v>
      </c>
      <c r="O10" t="str">
        <f t="shared" si="8"/>
        <v>介護施設</v>
      </c>
      <c r="Q10" s="4">
        <v>44924</v>
      </c>
      <c r="S10" t="str">
        <f>$O$1&amp;
893&amp;
REPT("0",3-LEN(ROW($S1)))&amp;ROW($S1)</f>
        <v>99999893001</v>
      </c>
      <c r="T10" t="s">
        <v>50</v>
      </c>
      <c r="U10" t="s">
        <v>50</v>
      </c>
      <c r="V10" t="s">
        <v>447</v>
      </c>
      <c r="AB10" t="str">
        <f>$S$10&amp;"介護施設"</f>
        <v>99999893001介護施設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99999893002</v>
      </c>
      <c r="G11" s="29">
        <f t="shared" si="2"/>
        <v>99999893002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真室川町</v>
      </c>
      <c r="K11" s="31" t="str">
        <f t="shared" si="6"/>
        <v>99999893001関連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99999893001</v>
      </c>
      <c r="N11">
        <f>IF(L11&lt;&gt;"○",M11,INDEX(G$4:G10,MATCH(L11&amp;M11,F$4:F10,0)))</f>
        <v>99999893001</v>
      </c>
      <c r="O11" t="str">
        <f t="shared" si="8"/>
        <v>関連</v>
      </c>
      <c r="Q11" s="4">
        <v>44924</v>
      </c>
      <c r="S11" t="str">
        <f t="shared" ref="S11:S15" si="9">$O$1&amp;
893&amp;
REPT("0",3-LEN(ROW($S2)))&amp;ROW($S2)</f>
        <v>99999893002</v>
      </c>
      <c r="T11" t="s">
        <v>50</v>
      </c>
      <c r="U11" t="s">
        <v>50</v>
      </c>
      <c r="V11" t="s">
        <v>447</v>
      </c>
      <c r="AB11" t="str">
        <f>$S$10&amp;"関連"</f>
        <v>99999893001関連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99999893003</v>
      </c>
      <c r="G12" s="29">
        <f t="shared" si="2"/>
        <v>99999893003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真室川町</v>
      </c>
      <c r="K12" s="31" t="str">
        <f t="shared" si="6"/>
        <v>99999893001関連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99999893001</v>
      </c>
      <c r="N12">
        <f>IF(L12&lt;&gt;"○",M12,INDEX(G$4:G11,MATCH(L12&amp;M12,F$4:F11,0)))</f>
        <v>99999893001</v>
      </c>
      <c r="O12" t="str">
        <f t="shared" si="8"/>
        <v>関連</v>
      </c>
      <c r="Q12" s="4">
        <v>44924</v>
      </c>
      <c r="S12" t="str">
        <f t="shared" si="9"/>
        <v>99999893003</v>
      </c>
      <c r="T12" t="s">
        <v>50</v>
      </c>
      <c r="U12" t="s">
        <v>50</v>
      </c>
      <c r="V12" t="s">
        <v>447</v>
      </c>
      <c r="AB12" t="str">
        <f t="shared" ref="AB12:AB15" si="10">$S$10&amp;"関連"</f>
        <v>99999893001関連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99999893004</v>
      </c>
      <c r="G13" s="29">
        <f t="shared" si="2"/>
        <v>99999893004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真室川町</v>
      </c>
      <c r="K13" s="31" t="str">
        <f t="shared" si="6"/>
        <v>99999893001関連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99999893001</v>
      </c>
      <c r="N13">
        <f>IF(L13&lt;&gt;"○",M13,INDEX(G$4:G12,MATCH(L13&amp;M13,F$4:F12,0)))</f>
        <v>99999893001</v>
      </c>
      <c r="O13" t="str">
        <f t="shared" si="8"/>
        <v>関連</v>
      </c>
      <c r="Q13" s="4">
        <v>44924</v>
      </c>
      <c r="S13" t="str">
        <f t="shared" si="9"/>
        <v>99999893004</v>
      </c>
      <c r="T13" t="s">
        <v>50</v>
      </c>
      <c r="U13" t="s">
        <v>50</v>
      </c>
      <c r="V13" t="s">
        <v>447</v>
      </c>
      <c r="AB13" t="str">
        <f t="shared" si="10"/>
        <v>99999893001関連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99999893005</v>
      </c>
      <c r="G14" s="29">
        <f t="shared" si="2"/>
        <v>99999893005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真室川町</v>
      </c>
      <c r="K14" s="31" t="str">
        <f t="shared" si="6"/>
        <v>99999893001関連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99999893001</v>
      </c>
      <c r="N14">
        <f>IF(L14&lt;&gt;"○",M14,INDEX(G$4:G13,MATCH(L14&amp;M14,F$4:F13,0)))</f>
        <v>99999893001</v>
      </c>
      <c r="O14" t="str">
        <f t="shared" si="8"/>
        <v>関連</v>
      </c>
      <c r="Q14" s="4">
        <v>44924</v>
      </c>
      <c r="S14" t="str">
        <f t="shared" si="9"/>
        <v>99999893005</v>
      </c>
      <c r="T14" t="s">
        <v>50</v>
      </c>
      <c r="U14" t="s">
        <v>50</v>
      </c>
      <c r="V14" t="s">
        <v>447</v>
      </c>
      <c r="AB14" t="str">
        <f t="shared" si="10"/>
        <v>99999893001関連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99999893006</v>
      </c>
      <c r="G15" s="29">
        <f t="shared" si="2"/>
        <v>99999893006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真室川町</v>
      </c>
      <c r="K15" s="31" t="str">
        <f t="shared" si="6"/>
        <v>99999893001関連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99999893001</v>
      </c>
      <c r="N15">
        <f>IF(L15&lt;&gt;"○",M15,INDEX(G$4:G14,MATCH(L15&amp;M15,F$4:F14,0)))</f>
        <v>99999893001</v>
      </c>
      <c r="O15" t="str">
        <f t="shared" si="8"/>
        <v>関連</v>
      </c>
      <c r="Q15" s="4">
        <v>44924</v>
      </c>
      <c r="S15" t="str">
        <f t="shared" si="9"/>
        <v>99999893006</v>
      </c>
      <c r="T15" t="s">
        <v>50</v>
      </c>
      <c r="U15" t="s">
        <v>50</v>
      </c>
      <c r="V15" t="s">
        <v>447</v>
      </c>
      <c r="AB15" t="str">
        <f t="shared" si="10"/>
        <v>99999893001関連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28" x14ac:dyDescent="0.4">
      <c r="B17" t="s">
        <v>21</v>
      </c>
      <c r="C17">
        <f>IF(G17="","",MAX(C$4:C16)+1)</f>
        <v>7</v>
      </c>
      <c r="D17">
        <f>IF(AND(N17=""),"",MAX(D$4:D16)+1)</f>
        <v>7</v>
      </c>
      <c r="F17" s="26" t="str">
        <f t="shared" si="1"/>
        <v>99999894001</v>
      </c>
      <c r="G17" s="29">
        <f t="shared" si="2"/>
        <v>99999894001</v>
      </c>
      <c r="H17" s="20" t="str">
        <f t="shared" si="3"/>
        <v>-</v>
      </c>
      <c r="I17" s="20" t="str">
        <f t="shared" si="4"/>
        <v>ー</v>
      </c>
      <c r="J17" s="20" t="str">
        <f t="shared" si="5"/>
        <v>山形市</v>
      </c>
      <c r="K17" s="31" t="str">
        <f t="shared" si="6"/>
        <v>99999894001介護施設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99999894001</v>
      </c>
      <c r="N17">
        <f>IF(L17&lt;&gt;"○",M17,INDEX(G$4:G16,MATCH(L17&amp;M17,F$4:F16,0)))</f>
        <v>99999894001</v>
      </c>
      <c r="O17" t="str">
        <f t="shared" si="8"/>
        <v>介護施設</v>
      </c>
      <c r="Q17" s="4">
        <v>44924</v>
      </c>
      <c r="S17" t="str">
        <f>$O$1&amp;
894&amp;
REPT("0",3-LEN(ROW($S1)))&amp;ROW($S1)</f>
        <v>99999894001</v>
      </c>
      <c r="T17" t="s">
        <v>50</v>
      </c>
      <c r="U17" t="s">
        <v>50</v>
      </c>
      <c r="V17" t="s">
        <v>446</v>
      </c>
      <c r="AB17" t="str">
        <f>$S$17&amp;"介護施設"</f>
        <v>99999894001介護施設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>
        <f>IF(G19="","",MAX(C$4:C18)+1)</f>
        <v>8</v>
      </c>
      <c r="D19">
        <f>IF(AND(N19=""),"",MAX(D$4:D18)+1)</f>
        <v>8</v>
      </c>
      <c r="F19" s="26" t="str">
        <f t="shared" si="1"/>
        <v>99999895001</v>
      </c>
      <c r="G19" s="29">
        <f t="shared" si="2"/>
        <v>99999895001</v>
      </c>
      <c r="H19" s="20" t="str">
        <f t="shared" si="3"/>
        <v>-</v>
      </c>
      <c r="I19" s="20" t="str">
        <f t="shared" si="4"/>
        <v>ー</v>
      </c>
      <c r="J19" s="20" t="str">
        <f t="shared" si="5"/>
        <v>山形市</v>
      </c>
      <c r="K19" s="31" t="str">
        <f t="shared" si="6"/>
        <v>99999895001介護施設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99999895001</v>
      </c>
      <c r="N19">
        <f>IF(L19&lt;&gt;"○",M19,INDEX(G$4:G18,MATCH(L19&amp;M19,F$4:F18,0)))</f>
        <v>99999895001</v>
      </c>
      <c r="O19" t="str">
        <f t="shared" si="8"/>
        <v>介護施設</v>
      </c>
      <c r="Q19" s="4">
        <v>44924</v>
      </c>
      <c r="S19" t="str">
        <f>$O$1&amp;
895&amp;
REPT("0",3-LEN(ROW($S1)))&amp;ROW($S1)</f>
        <v>99999895001</v>
      </c>
      <c r="T19" t="s">
        <v>50</v>
      </c>
      <c r="U19" t="s">
        <v>50</v>
      </c>
      <c r="V19" t="s">
        <v>446</v>
      </c>
      <c r="AB19" t="str">
        <f>$S$19&amp;"介護施設"</f>
        <v>99999895001介護施設</v>
      </c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2022/12/29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99999893001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真室川町</v>
      </c>
      <c r="H3" s="10" t="str">
        <f>IF(ROW(G1)&gt;MAX(Main!$C$4:$C$1048576),"",INDEX(Main!K$4:K$1048576,MATCH(ROW(G1),Main!$C$4:$C$1048576,0)))</f>
        <v>99999893001介護施設</v>
      </c>
      <c r="I3" s="1">
        <f>IF(H3&lt;&gt;"",IF(ROW(G1)&gt;MAX(Main!$C$4:$C$1048576),"",INDEX(Main!N$4:N$1048576,MATCH(ROW(G1),Main!$C$4:$C$1048576,0))),"")</f>
        <v>99999893001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クラスターNo.893</v>
      </c>
      <c r="M3" s="4" t="str">
        <f>TEXT(IF(ROW(A1)&gt;MAX(Main!$D$4:$D$1048576),"",INDEX(Main!Q$4:Q$1048576,MATCH(ROW(A1),Main!$D$4:$D$1048576,0))), "yyyy/m/d")</f>
        <v>2022/12/29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99999893001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真室川町</v>
      </c>
      <c r="S3" s="9" t="str">
        <f>IF(ROW(G1)&gt;MAX(Main!$D$4:$D$1048576),"",INDEX(Main!K$4:K$1048576,MATCH(ROW(G1),Main!$D$4:$D$1048576,0)))</f>
        <v>99999893001介護施設</v>
      </c>
      <c r="T3" s="1">
        <f>IF(S3&lt;&gt;"",IF(ROW(G1)&gt;MAX(Main!$D$4:$D$1048576),"",INDEX(Main!N$4:N$1048576,MATCH(ROW(G1),Main!$D$4:$D$1048576,0))),"")</f>
        <v>99999893001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2022/12/29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99999893002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真室川町</v>
      </c>
      <c r="H4" s="10" t="str">
        <f>IF(ROW(G2)&gt;MAX(Main!$C$4:$C$1048576),"",INDEX(Main!K$4:K$1048576,MATCH(ROW(G2),Main!$C$4:$C$1048576,0)))</f>
        <v>99999893001関連</v>
      </c>
      <c r="I4" s="1">
        <f>IF(H4&lt;&gt;"",IF(ROW(G2)&gt;MAX(Main!$C$4:$C$1048576),"",INDEX(Main!N$4:N$1048576,MATCH(ROW(G2),Main!$C$4:$C$1048576,0))),"")</f>
        <v>99999893001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クラスターNo.893</v>
      </c>
      <c r="M4" s="4" t="str">
        <f>TEXT(IF(ROW(A2)&gt;MAX(Main!$D$4:$D$1048576),"",INDEX(Main!Q$4:Q$1048576,MATCH(ROW(A2),Main!$D$4:$D$1048576,0))), "yyyy/m/d")</f>
        <v>2022/12/29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99999893002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真室川町</v>
      </c>
      <c r="S4" s="9" t="str">
        <f>IF(ROW(G2)&gt;MAX(Main!$D$4:$D$1048576),"",INDEX(Main!K$4:K$1048576,MATCH(ROW(G2),Main!$D$4:$D$1048576,0)))</f>
        <v>99999893001関連</v>
      </c>
      <c r="T4" s="1">
        <f>IF(S4&lt;&gt;"",IF(ROW(G2)&gt;MAX(Main!$D$4:$D$1048576),"",INDEX(Main!N$4:N$1048576,MATCH(ROW(G2),Main!$D$4:$D$1048576,0))),"")</f>
        <v>99999893001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2022/12/29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99999893003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真室川町</v>
      </c>
      <c r="H5" s="10" t="str">
        <f>IF(ROW(G3)&gt;MAX(Main!$C$4:$C$1048576),"",INDEX(Main!K$4:K$1048576,MATCH(ROW(G3),Main!$C$4:$C$1048576,0)))</f>
        <v>99999893001関連</v>
      </c>
      <c r="I5" s="1">
        <f>IF(H5&lt;&gt;"",IF(ROW(G3)&gt;MAX(Main!$C$4:$C$1048576),"",INDEX(Main!N$4:N$1048576,MATCH(ROW(G3),Main!$C$4:$C$1048576,0))),"")</f>
        <v>99999893001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クラスターNo.893</v>
      </c>
      <c r="M5" s="4" t="str">
        <f>TEXT(IF(ROW(A3)&gt;MAX(Main!$D$4:$D$1048576),"",INDEX(Main!Q$4:Q$1048576,MATCH(ROW(A3),Main!$D$4:$D$1048576,0))), "yyyy/m/d")</f>
        <v>2022/12/29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99999893003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真室川町</v>
      </c>
      <c r="S5" s="9" t="str">
        <f>IF(ROW(G3)&gt;MAX(Main!$D$4:$D$1048576),"",INDEX(Main!K$4:K$1048576,MATCH(ROW(G3),Main!$D$4:$D$1048576,0)))</f>
        <v>99999893001関連</v>
      </c>
      <c r="T5" s="1">
        <f>IF(S5&lt;&gt;"",IF(ROW(G3)&gt;MAX(Main!$D$4:$D$1048576),"",INDEX(Main!N$4:N$1048576,MATCH(ROW(G3),Main!$D$4:$D$1048576,0))),"")</f>
        <v>99999893001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2022/12/29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99999893004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真室川町</v>
      </c>
      <c r="H6" s="10" t="str">
        <f>IF(ROW(G4)&gt;MAX(Main!$C$4:$C$1048576),"",INDEX(Main!K$4:K$1048576,MATCH(ROW(G4),Main!$C$4:$C$1048576,0)))</f>
        <v>99999893001関連</v>
      </c>
      <c r="I6" s="1">
        <f>IF(H6&lt;&gt;"",IF(ROW(G4)&gt;MAX(Main!$C$4:$C$1048576),"",INDEX(Main!N$4:N$1048576,MATCH(ROW(G4),Main!$C$4:$C$1048576,0))),"")</f>
        <v>99999893001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クラスターNo.893</v>
      </c>
      <c r="M6" s="4" t="str">
        <f>TEXT(IF(ROW(A4)&gt;MAX(Main!$D$4:$D$1048576),"",INDEX(Main!Q$4:Q$1048576,MATCH(ROW(A4),Main!$D$4:$D$1048576,0))), "yyyy/m/d")</f>
        <v>2022/12/29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99999893004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真室川町</v>
      </c>
      <c r="S6" s="9" t="str">
        <f>IF(ROW(G4)&gt;MAX(Main!$D$4:$D$1048576),"",INDEX(Main!K$4:K$1048576,MATCH(ROW(G4),Main!$D$4:$D$1048576,0)))</f>
        <v>99999893001関連</v>
      </c>
      <c r="T6" s="1">
        <f>IF(S6&lt;&gt;"",IF(ROW(G4)&gt;MAX(Main!$D$4:$D$1048576),"",INDEX(Main!N$4:N$1048576,MATCH(ROW(G4),Main!$D$4:$D$1048576,0))),"")</f>
        <v>99999893001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2022/12/29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99999893005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真室川町</v>
      </c>
      <c r="H7" s="10" t="str">
        <f>IF(ROW(G5)&gt;MAX(Main!$C$4:$C$1048576),"",INDEX(Main!K$4:K$1048576,MATCH(ROW(G5),Main!$C$4:$C$1048576,0)))</f>
        <v>99999893001関連</v>
      </c>
      <c r="I7" s="1">
        <f>IF(H7&lt;&gt;"",IF(ROW(G5)&gt;MAX(Main!$C$4:$C$1048576),"",INDEX(Main!N$4:N$1048576,MATCH(ROW(G5),Main!$C$4:$C$1048576,0))),"")</f>
        <v>99999893001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クラスターNo.893</v>
      </c>
      <c r="M7" s="4" t="str">
        <f>TEXT(IF(ROW(A5)&gt;MAX(Main!$D$4:$D$1048576),"",INDEX(Main!Q$4:Q$1048576,MATCH(ROW(A5),Main!$D$4:$D$1048576,0))), "yyyy/m/d")</f>
        <v>2022/12/29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99999893005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真室川町</v>
      </c>
      <c r="S7" s="9" t="str">
        <f>IF(ROW(G5)&gt;MAX(Main!$D$4:$D$1048576),"",INDEX(Main!K$4:K$1048576,MATCH(ROW(G5),Main!$D$4:$D$1048576,0)))</f>
        <v>99999893001関連</v>
      </c>
      <c r="T7" s="1">
        <f>IF(S7&lt;&gt;"",IF(ROW(G5)&gt;MAX(Main!$D$4:$D$1048576),"",INDEX(Main!N$4:N$1048576,MATCH(ROW(G5),Main!$D$4:$D$1048576,0))),"")</f>
        <v>99999893001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2022/12/29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99999893006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真室川町</v>
      </c>
      <c r="H8" s="10" t="str">
        <f>IF(ROW(G6)&gt;MAX(Main!$C$4:$C$1048576),"",INDEX(Main!K$4:K$1048576,MATCH(ROW(G6),Main!$C$4:$C$1048576,0)))</f>
        <v>99999893001関連</v>
      </c>
      <c r="I8" s="1">
        <f>IF(H8&lt;&gt;"",IF(ROW(G6)&gt;MAX(Main!$C$4:$C$1048576),"",INDEX(Main!N$4:N$1048576,MATCH(ROW(G6),Main!$C$4:$C$1048576,0))),"")</f>
        <v>99999893001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クラスターNo.893</v>
      </c>
      <c r="M8" s="4" t="str">
        <f>TEXT(IF(ROW(A6)&gt;MAX(Main!$D$4:$D$1048576),"",INDEX(Main!Q$4:Q$1048576,MATCH(ROW(A6),Main!$D$4:$D$1048576,0))), "yyyy/m/d")</f>
        <v>2022/12/29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99999893006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真室川町</v>
      </c>
      <c r="S8" s="9" t="str">
        <f>IF(ROW(G6)&gt;MAX(Main!$D$4:$D$1048576),"",INDEX(Main!K$4:K$1048576,MATCH(ROW(G6),Main!$D$4:$D$1048576,0)))</f>
        <v>99999893001関連</v>
      </c>
      <c r="T8" s="1">
        <f>IF(S8&lt;&gt;"",IF(ROW(G6)&gt;MAX(Main!$D$4:$D$1048576),"",INDEX(Main!N$4:N$1048576,MATCH(ROW(G6),Main!$D$4:$D$1048576,0))),"")</f>
        <v>99999893001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2022/12/29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99999894001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山形市</v>
      </c>
      <c r="H9" s="10" t="str">
        <f>IF(ROW(G7)&gt;MAX(Main!$C$4:$C$1048576),"",INDEX(Main!K$4:K$1048576,MATCH(ROW(G7),Main!$C$4:$C$1048576,0)))</f>
        <v>99999894001介護施設</v>
      </c>
      <c r="I9" s="1">
        <f>IF(H9&lt;&gt;"",IF(ROW(G7)&gt;MAX(Main!$C$4:$C$1048576),"",INDEX(Main!N$4:N$1048576,MATCH(ROW(G7),Main!$C$4:$C$1048576,0))),"")</f>
        <v>99999894001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介護施設</v>
      </c>
      <c r="K9" s="27" t="str">
        <f t="shared" si="1"/>
        <v>クラスターNo.894</v>
      </c>
      <c r="M9" s="4" t="str">
        <f>TEXT(IF(ROW(A7)&gt;MAX(Main!$D$4:$D$1048576),"",INDEX(Main!Q$4:Q$1048576,MATCH(ROW(A7),Main!$D$4:$D$1048576,0))), "yyyy/m/d")</f>
        <v>2022/12/29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99999894001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山形市</v>
      </c>
      <c r="S9" s="9" t="str">
        <f>IF(ROW(G7)&gt;MAX(Main!$D$4:$D$1048576),"",INDEX(Main!K$4:K$1048576,MATCH(ROW(G7),Main!$D$4:$D$1048576,0)))</f>
        <v>99999894001介護施設</v>
      </c>
      <c r="T9" s="1">
        <f>IF(S9&lt;&gt;"",IF(ROW(G7)&gt;MAX(Main!$D$4:$D$1048576),"",INDEX(Main!N$4:N$1048576,MATCH(ROW(G7),Main!$D$4:$D$1048576,0))),"")</f>
        <v>99999894001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介護施設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2022/12/29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99999895001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山形市</v>
      </c>
      <c r="H10" s="10" t="str">
        <f>IF(ROW(G8)&gt;MAX(Main!$C$4:$C$1048576),"",INDEX(Main!K$4:K$1048576,MATCH(ROW(G8),Main!$C$4:$C$1048576,0)))</f>
        <v>99999895001介護施設</v>
      </c>
      <c r="I10" s="1">
        <f>IF(H10&lt;&gt;"",IF(ROW(G8)&gt;MAX(Main!$C$4:$C$1048576),"",INDEX(Main!N$4:N$1048576,MATCH(ROW(G8),Main!$C$4:$C$1048576,0))),"")</f>
        <v>99999895001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介護施設</v>
      </c>
      <c r="K10" s="27" t="str">
        <f t="shared" si="1"/>
        <v>クラスターNo.895</v>
      </c>
      <c r="M10" s="4" t="str">
        <f>TEXT(IF(ROW(A8)&gt;MAX(Main!$D$4:$D$1048576),"",INDEX(Main!Q$4:Q$1048576,MATCH(ROW(A8),Main!$D$4:$D$1048576,0))), "yyyy/m/d")</f>
        <v>2022/12/29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99999895001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山形市</v>
      </c>
      <c r="S10" s="9" t="str">
        <f>IF(ROW(G8)&gt;MAX(Main!$D$4:$D$1048576),"",INDEX(Main!K$4:K$1048576,MATCH(ROW(G8),Main!$D$4:$D$1048576,0)))</f>
        <v>99999895001介護施設</v>
      </c>
      <c r="T10" s="1">
        <f>IF(S10&lt;&gt;"",IF(ROW(G8)&gt;MAX(Main!$D$4:$D$1048576),"",INDEX(Main!N$4:N$1048576,MATCH(ROW(G8),Main!$D$4:$D$1048576,0))),"")</f>
        <v>99999895001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介護施設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8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99999893001,
            "date": "2022/12/29",
            "label": "クラスターNo.893\n2022/12/29\n真室川町\n-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99999893002,
            "date": "2022/12/29",
            "label": "クラスターNo.893\n2022/12/29\n真室川町\n-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99999893003,
            "date": "2022/12/29",
            "label": "クラスターNo.893\n2022/12/29\n真室川町\n-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99999893004,
            "date": "2022/12/29",
            "label": "クラスターNo.893\n2022/12/29\n真室川町\n-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99999893005,
            "date": "2022/12/29",
            "label": "クラスターNo.893\n2022/12/29\n真室川町\n-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99999893006,
            "date": "2022/12/29",
            "label": "クラスターNo.893\n2022/12/29\n真室川町\n-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99999894001,
            "date": "2022/12/29",
            "label": "クラスターNo.894\n2022/12/29\n山形市\n-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99999895001,
            "date": "2022/12/29",
            "label": "クラスターNo.895\n2022/12/29\n山形市\n- ー"
        },
        "classes": ["multiline-manual", "else"]
    }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ht="168.75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ht="168.75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ht="168.75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ht="168.75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ht="168.75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ht="168.75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ht="168.75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ht="168.75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ht="168.75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ht="168.75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ht="168.75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ht="168.75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ht="150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8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"99999893001",
            "target": "99999893001",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"99999893002",
            "target": "99999893001",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"99999893003",
            "target": "99999893001",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"99999893004",
            "target": "99999893001",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"99999893005",
            "target": "99999893001",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"99999893006",
            "target": "99999893001",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"99999894001",
            "target": "99999894001",
            "label": "介護施設"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"99999895001",
            "target": "99999895001",
            "label": "介護施設"
        }
    }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ht="150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ht="150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ht="150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ht="150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ht="150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ht="150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ht="150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ht="150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ht="150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ht="150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ht="150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ht="150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ht="131.25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"lastUpdate":"2022/12/29 23:32"}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2022-12-29T14:33:35Z</dcterms:modified>
</cp:coreProperties>
</file>