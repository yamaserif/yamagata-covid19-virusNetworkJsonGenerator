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9890B6DA-8869-4FE3-9787-CDF78F384ABA}" xr6:coauthVersionLast="47" xr6:coauthVersionMax="47" xr10:uidLastSave="{00000000-0000-0000-0000-000000000000}"/>
  <bookViews>
    <workbookView xWindow="1950" yWindow="19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2" i="1" l="1"/>
  <c r="AB12" i="1" s="1"/>
  <c r="S10" i="1"/>
  <c r="AB10" i="1" s="1"/>
  <c r="G44" i="1"/>
  <c r="J44" i="1" s="1"/>
  <c r="G41" i="1"/>
  <c r="G40" i="1"/>
  <c r="G39" i="1"/>
  <c r="F39" i="1" s="1"/>
  <c r="G38" i="1"/>
  <c r="F38" i="1" s="1"/>
  <c r="G11" i="1"/>
  <c r="I11" i="1" s="1"/>
  <c r="G37" i="1"/>
  <c r="G36" i="1"/>
  <c r="H36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6" i="1"/>
  <c r="I16" i="1" s="1"/>
  <c r="G9" i="1"/>
  <c r="C9" i="1" s="1"/>
  <c r="G200" i="1"/>
  <c r="I200" i="1" s="1"/>
  <c r="K19" i="1" l="1"/>
  <c r="M19" i="1" s="1" a="1"/>
  <c r="M19" i="1" s="1"/>
  <c r="O19" i="1" s="1"/>
  <c r="K21" i="1"/>
  <c r="M21" i="1" s="1" a="1"/>
  <c r="M21" i="1" s="1"/>
  <c r="O21" i="1" s="1"/>
  <c r="K22" i="1"/>
  <c r="L22" i="1" s="1"/>
  <c r="K23" i="1"/>
  <c r="K24" i="1"/>
  <c r="M24" i="1" s="1" a="1"/>
  <c r="M24" i="1" s="1"/>
  <c r="O24" i="1" s="1"/>
  <c r="K13" i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6" i="1"/>
  <c r="L16" i="1" s="1"/>
  <c r="K15" i="1"/>
  <c r="M15" i="1" s="1" a="1"/>
  <c r="M15" i="1" s="1"/>
  <c r="O15" i="1" s="1"/>
  <c r="G20" i="1"/>
  <c r="H20" i="1" s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17" i="1" l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28" i="4" a="1"/>
  <c r="C33" i="5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35" i="4" a="1"/>
  <c r="C40" i="5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60" i="5" a="1"/>
  <c r="C55" i="4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2" i="4" a="1"/>
  <c r="C67" i="5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101" i="5" a="1"/>
  <c r="C96" i="4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<sst xmlns="http://schemas.openxmlformats.org/spreadsheetml/2006/main" count="1252" uniqueCount="447">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</sst>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T14" sqref="T14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99999934001</v>
      </c>
      <c r="G10" s="29">
        <f t="shared" si="2"/>
        <v>99999934001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99999934001医療機関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99999934001</v>
      </c>
      <c r="N10">
        <f>IF(L10&lt;&gt;"○",M10,INDEX(G$4:G9,MATCH(L10&amp;M10,F$4:F9,0)))</f>
        <v>99999934001</v>
      </c>
      <c r="O10" t="str">
        <f t="shared" si="8"/>
        <v>医療機関</v>
      </c>
      <c r="Q10" s="4">
        <v>44950</v>
      </c>
      <c r="S10" t="str">
        <f>$O$1&amp;
934&amp;
REPT("0",3-LEN(ROW($S1)))&amp;ROW($S1)</f>
        <v>99999934001</v>
      </c>
      <c r="T10" t="s">
        <v>50</v>
      </c>
      <c r="U10" t="s">
        <v>50</v>
      </c>
      <c r="V10" t="s">
        <v>446</v>
      </c>
      <c r="AB10" t="str">
        <f>$S$10&amp;"医療機関"</f>
        <v>99999934001医療機関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>
        <f>IF(G12="","",MAX(C$4:C11)+1)</f>
        <v>2</v>
      </c>
      <c r="D12">
        <f>IF(AND(N12=""),"",MAX(D$4:D11)+1)</f>
        <v>2</v>
      </c>
      <c r="F12" s="26" t="str">
        <f t="shared" si="1"/>
        <v>99999935001</v>
      </c>
      <c r="G12" s="29">
        <f t="shared" si="2"/>
        <v>99999935001</v>
      </c>
      <c r="H12" s="20" t="str">
        <f t="shared" si="3"/>
        <v>-</v>
      </c>
      <c r="I12" s="20" t="str">
        <f t="shared" si="4"/>
        <v>ー</v>
      </c>
      <c r="J12" s="20" t="str">
        <f t="shared" si="5"/>
        <v>山形市</v>
      </c>
      <c r="K12" s="31" t="str">
        <f t="shared" si="6"/>
        <v>99999935001介護施設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99999935001</v>
      </c>
      <c r="N12">
        <f>IF(L12&lt;&gt;"○",M12,INDEX(G$4:G11,MATCH(L12&amp;M12,F$4:F11,0)))</f>
        <v>99999935001</v>
      </c>
      <c r="O12" t="str">
        <f t="shared" si="8"/>
        <v>介護施設</v>
      </c>
      <c r="Q12" s="4">
        <v>44950</v>
      </c>
      <c r="S12" t="str">
        <f>$O$1&amp;
935&amp;
REPT("0",3-LEN(ROW($S1)))&amp;ROW($S1)</f>
        <v>99999935001</v>
      </c>
      <c r="T12" t="s">
        <v>50</v>
      </c>
      <c r="U12" t="s">
        <v>50</v>
      </c>
      <c r="V12" t="s">
        <v>446</v>
      </c>
      <c r="AB12" t="str">
        <f>$S$12&amp;"介護施設"</f>
        <v>99999935001介護施設</v>
      </c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99999934001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99999934001医療機関</v>
      </c>
      <c r="I3" s="1">
        <f>IF(H3&lt;&gt;"",IF(ROW(G1)&gt;MAX(Main!$C$4:$C$1048576),"",INDEX(Main!N$4:N$1048576,MATCH(ROW(G1),Main!$C$4:$C$1048576,0))),"")</f>
        <v>99999934001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クラスターNo.934</v>
      </c>
      <c r="M3" s="4" t="str">
        <f>TEXT(IF(ROW(A1)&gt;MAX(Main!$D$4:$D$1048576),"",INDEX(Main!Q$4:Q$1048576,MATCH(ROW(A1),Main!$D$4:$D$1048576,0))), "yyyy/m/d")</f>
        <v>2023/1/24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99999934001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99999934001医療機関</v>
      </c>
      <c r="T3" s="1">
        <f>IF(S3&lt;&gt;"",IF(ROW(G1)&gt;MAX(Main!$D$4:$D$1048576),"",INDEX(Main!N$4:N$1048576,MATCH(ROW(G1),Main!$D$4:$D$1048576,0))),"")</f>
        <v>99999934001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2023/1/24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99999935001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山形市</v>
      </c>
      <c r="H4" s="10" t="str">
        <f>IF(ROW(G2)&gt;MAX(Main!$C$4:$C$1048576),"",INDEX(Main!K$4:K$1048576,MATCH(ROW(G2),Main!$C$4:$C$1048576,0)))</f>
        <v>99999935001介護施設</v>
      </c>
      <c r="I4" s="1">
        <f>IF(H4&lt;&gt;"",IF(ROW(G2)&gt;MAX(Main!$C$4:$C$1048576),"",INDEX(Main!N$4:N$1048576,MATCH(ROW(G2),Main!$C$4:$C$1048576,0))),"")</f>
        <v>99999935001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介護施設</v>
      </c>
      <c r="K4" s="27" t="str">
        <f t="shared" si="1"/>
        <v>クラスターNo.935</v>
      </c>
      <c r="M4" s="4" t="str">
        <f>TEXT(IF(ROW(A2)&gt;MAX(Main!$D$4:$D$1048576),"",INDEX(Main!Q$4:Q$1048576,MATCH(ROW(A2),Main!$D$4:$D$1048576,0))), "yyyy/m/d")</f>
        <v>2023/1/24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99999935001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山形市</v>
      </c>
      <c r="S4" s="9" t="str">
        <f>IF(ROW(G2)&gt;MAX(Main!$D$4:$D$1048576),"",INDEX(Main!K$4:K$1048576,MATCH(ROW(G2),Main!$D$4:$D$1048576,0)))</f>
        <v>99999935001介護施設</v>
      </c>
      <c r="T4" s="1">
        <f>IF(S4&lt;&gt;"",IF(ROW(G2)&gt;MAX(Main!$D$4:$D$1048576),"",INDEX(Main!N$4:N$1048576,MATCH(ROW(G2),Main!$D$4:$D$1048576,0))),"")</f>
        <v>99999935001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介護施設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99999934001,
            "date": "2023/1/24",
            "label": "クラスターNo.934\n2023/1/24\n山形市\n- ー"
        },
        "classes": ["multiline-manual", "else"]
    },
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99999935001,
            "date": "2023/1/24",
            "label": "クラスターNo.935\n2023/1/24\n山形市\n- ー"
        },
        "classes": ["multiline-manual", "else"]
    }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"99999934001",
            "target": "99999934001",
            "label": "医療機関"
        }
    },
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"99999935001",
            "target": "99999935001",
            "label": "介護施設"
        }
    }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2" sqref="B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"lastUpdate":"2023/1/24 21:38"}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2023-01-24T12:39:16Z</dcterms:modified>
</cp:coreProperties>
</file>