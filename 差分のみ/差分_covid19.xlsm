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C2C7F8B0-7E07-4A2B-B77E-3D86525F09CA}" xr6:coauthVersionLast="47" xr6:coauthVersionMax="47" xr10:uidLastSave="{00000000-0000-0000-0000-000000000000}"/>
  <bookViews>
    <workbookView xWindow="360" yWindow="465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5" i="1" l="1"/>
  <c r="AB35" i="1" s="1"/>
  <c r="S33" i="1"/>
  <c r="S32" i="1"/>
  <c r="G32" i="1" s="1"/>
  <c r="J32" i="1" s="1"/>
  <c r="S31" i="1"/>
  <c r="G31" i="1" s="1"/>
  <c r="H31" i="1" s="1"/>
  <c r="S30" i="1"/>
  <c r="S29" i="1"/>
  <c r="G29" i="1" s="1"/>
  <c r="F29" i="1" s="1"/>
  <c r="S28" i="1"/>
  <c r="S27" i="1"/>
  <c r="S26" i="1"/>
  <c r="S25" i="1"/>
  <c r="G25" i="1" s="1"/>
  <c r="I25" i="1" s="1"/>
  <c r="S24" i="1"/>
  <c r="G24" i="1" s="1"/>
  <c r="H24" i="1" s="1"/>
  <c r="S23" i="1"/>
  <c r="G23" i="1" s="1"/>
  <c r="S22" i="1"/>
  <c r="S21" i="1"/>
  <c r="S20" i="1"/>
  <c r="S19" i="1"/>
  <c r="AB27" i="1"/>
  <c r="S18" i="1"/>
  <c r="AB18" i="1" s="1"/>
  <c r="S16" i="1"/>
  <c r="G16" i="1" s="1"/>
  <c r="I16" i="1" s="1"/>
  <c r="S15" i="1"/>
  <c r="S14" i="1"/>
  <c r="S13" i="1"/>
  <c r="G13" i="1" s="1"/>
  <c r="S12" i="1"/>
  <c r="S11" i="1"/>
  <c r="G11" i="1" s="1"/>
  <c r="I11" i="1" s="1"/>
  <c r="S10" i="1"/>
  <c r="AB26" i="1" s="1"/>
  <c r="G15" i="1"/>
  <c r="J15" i="1" s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28" i="1" l="1"/>
  <c r="AB10" i="1"/>
  <c r="AB19" i="1"/>
  <c r="AB29" i="1"/>
  <c r="AB12" i="1"/>
  <c r="AB30" i="1"/>
  <c r="AB13" i="1"/>
  <c r="AB31" i="1"/>
  <c r="K31" i="1" s="1"/>
  <c r="AB15" i="1"/>
  <c r="AB21" i="1"/>
  <c r="AB33" i="1"/>
  <c r="AB16" i="1"/>
  <c r="K16" i="1" s="1"/>
  <c r="L16" i="1" s="1"/>
  <c r="AB22" i="1"/>
  <c r="AB14" i="1"/>
  <c r="AB20" i="1"/>
  <c r="AB32" i="1"/>
  <c r="K32" i="1" s="1"/>
  <c r="AB23" i="1"/>
  <c r="K23" i="1" s="1"/>
  <c r="AB24" i="1"/>
  <c r="K24" i="1" s="1"/>
  <c r="M24" i="1" s="1" a="1"/>
  <c r="M24" i="1" s="1"/>
  <c r="O24" i="1" s="1"/>
  <c r="AB25" i="1"/>
  <c r="K13" i="1"/>
  <c r="K15" i="1"/>
  <c r="M15" i="1" s="1" a="1"/>
  <c r="M15" i="1" s="1"/>
  <c r="O15" i="1" s="1"/>
  <c r="AB11" i="1"/>
  <c r="K11" i="1" s="1"/>
  <c r="L11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2" i="4" a="1"/>
  <c r="C97" i="5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<sst xmlns="http://schemas.openxmlformats.org/spreadsheetml/2006/main" count="1318" uniqueCount="449">
  <si>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</si>
  <si>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</si>
  <si>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</si>
  <si>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</si>
  <si>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</si>
  <si>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</si>
  <si>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</si>
  <si>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</si>
  <si>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</si>
  <si>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</si>
  <si>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</si>
  <si>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</si>
  <si>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</si>
  <si>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</si>
  <si>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</si>
  <si>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</si>
  <si>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</si>
  <si>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</si>
  <si>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</si>
  <si>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</si>
  <si>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</si>
  <si>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</si>
  <si>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</si>
  <si>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</si>
  <si>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</si>
  <si>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</si>
  <si>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</si>
  <si>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</si>
  <si>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</si>
  <si>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</si>
  <si>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</si>
  <si>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</si>
  <si>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</si>
  <si>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</si>
  <si>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</si>
  <si>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</si>
  <si>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</si>
  <si>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</si>
  <si>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</si>
  <si>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</si>
  <si>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</si>
  <si>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</si>
  <si>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</si>
  <si>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</si>
  <si>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</si>
  <si>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</si>
  <si>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</si>
  <si>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</si>
  <si>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</si>
  <si>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</si>
  <si>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</si>
  <si>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</si>
  <si>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</si>
  <si>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</si>
  <si>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</si>
  <si>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</si>
  <si>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</si>
  <si>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</si>
  <si>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</si>
  <si>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</si>
  <si>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</si>
  <si>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</si>
  <si>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</si>
  <si>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</si>
  <si>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</si>
  <si>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</si>
  <si>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</si>
  <si>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</si>
  <si>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</si>
  <si>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</si>
  <si>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</si>
  <si>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</si>
  <si>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</si>
  <si>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</si>
  <si>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</si>
  <si>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</si>
  <si>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</si>
  <si>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</si>
  <si>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</si>
  <si>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</si>
  <si>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</si>
  <si>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</si>
  <si>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</si>
  <si>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</si>
  <si>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</si>
  <si>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</si>
  <si>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</si>
  <si>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</si>
  <si>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</si>
  <si>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</si>
  <si>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</si>
  <si>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</si>
  <si>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</si>
  <si>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</si>
  <si>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</si>
  <si>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</si>
  <si>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</si>
  <si>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</si>
  <si>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</si>
  <si>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</si>
  <si>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</si>
  <si>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</si>
  <si>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</si>
  <si>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</si>
  <si>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</si>
  <si>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</si>
  <si>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</si>
  <si>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</si>
  <si>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</si>
  <si>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</si>
  <si>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</si>
  <si>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</si>
  <si>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</si>
  <si>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</si>
  <si>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</si>
  <si>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</si>
  <si>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</si>
  <si>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</si>
  <si>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</si>
  <si>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</si>
  <si>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</si>
  <si>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</si>
  <si>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</si>
  <si>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</si>
  <si>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</si>
  <si>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</si>
  <si>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</si>
  <si>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</si>
  <si>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</si>
  <si>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</si>
  <si>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</si>
  <si>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</si>
  <si>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</si>
  <si>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</si>
  <si>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</si>
  <si>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</si>
  <si>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</si>
  <si>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</si>
  <si>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</si>
  <si>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</si>
  <si>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</si>
  <si>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</si>
  <si>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</si>
  <si>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</si>
  <si>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</si>
  <si>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</si>
  <si>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</si>
  <si>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</si>
  <si>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</si>
  <si>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</si>
  <si>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</si>
  <si>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</si>
  <si>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</si>
  <si>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</si>
  <si>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</si>
  <si>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</si>
  <si>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</si>
  <si>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</si>
  <si>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</si>
  <si>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</si>
  <si>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</si>
  <si>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</si>
  <si>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</si>
  <si>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</si>
  <si>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</si>
  <si>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</si>
  <si>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</si>
  <si>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</si>
  <si>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</si>
  <si>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</si>
  <si>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</si>
  <si>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</si>
  <si>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</si>
  <si>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</si>
  <si>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</si>
  <si>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</si>
  <si>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</si>
  <si>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</si>
  <si>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</si>
  <si>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</si>
  <si>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</si>
  <si>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</si>
  <si>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</si>
  <si>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</si>
  <si>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</si>
  <si>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</si>
  <si>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</si>
  <si>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</si>
  <si>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</si>
  <si>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</si>
  <si>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</si>
  <si>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</si>
  <si>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</si>
  <si>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</si>
  <si>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</si>
  <si>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</si>
  <si>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</si>
  <si>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</si>
  <si>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</si>
  <si>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</si>
  <si>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</si>
  <si>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</si>
  <si>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</si>
  <si>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</si>
  <si>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</si>
  <si>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</si>
  <si>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</si>
  <si>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</si>
  <si>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</si>
  <si>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</si>
  <si>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</si>
  <si>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</si>
  <si>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</si>
  <si>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</si>
  <si>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</si>
  <si>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</si>
  <si>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</si>
  <si>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</si>
  <si>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</si>
  <si>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</si>
  <si>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</si>
  <si>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</si>
  <si>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</si>
  <si>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</si>
  <si>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</si>
  <si>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</si>
  <si>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</si>
  <si>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</si>
  <si>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</si>
  <si>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</si>
  <si>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</si>
  <si>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</si>
  <si>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</si>
  <si>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</si>
  <si>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</si>
  <si>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</si>
  <si>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</si>
  <si>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</si>
  <si>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</si>
  <si>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</si>
  <si>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</si>
  <si>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</si>
  <si>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</si>
  <si>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</si>
  <si>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</si>
  <si>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</si>
  <si>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</si>
  <si>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</si>
  <si>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</si>
  <si>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</si>
  <si>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</si>
  <si>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</si>
  <si>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</si>
  <si>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</si>
  <si>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</si>
  <si>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</si>
  <si>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</si>
  <si>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</si>
  <si>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</si>
  <si>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</si>
  <si>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</si>
  <si>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</si>
  <si>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</si>
  <si>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</si>
  <si>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</si>
  <si>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</si>
  <si>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</si>
  <si>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</si>
  <si>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</si>
  <si>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</si>
  <si>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</si>
  <si>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</si>
  <si>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</si>
  <si>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</si>
  <si>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</si>
  <si>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</si>
  <si>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</si>
  <si>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</si>
  <si>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</si>
  <si>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</si>
  <si>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</si>
  <si>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</si>
  <si>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</si>
  <si>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</si>
  <si>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</si>
  <si>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</si>
  <si>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</si>
  <si>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</si>
  <si>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</si>
  <si>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</si>
  <si>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</si>
  <si>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</si>
  <si>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</si>
  <si>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</si>
  <si>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</si>
  <si>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</si>
  <si>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</si>
  <si>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</si>
  <si>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</si>
  <si>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</si>
  <si>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</si>
  <si>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</si>
  <si>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</si>
  <si>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</si>
  <si>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</si>
  <si>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</si>
  <si>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</si>
  <si>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</si>
  <si>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</si>
  <si>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</si>
  <si>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</si>
  <si>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</si>
  <si>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</si>
  <si>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</si>
  <si>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</si>
  <si>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</si>
  <si>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</si>
  <si>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</si>
  <si>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</si>
  <si>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</si>
  <si>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</si>
  <si>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</si>
  <si>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</si>
  <si>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</si>
  <si>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</si>
  <si>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</si>
  <si>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</si>
  <si>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</si>
  <si>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</si>
  <si>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</si>
  <si>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</si>
  <si>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</si>
  <si>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</si>
  <si>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</si>
  <si>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</si>
  <si>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</si>
  <si>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</si>
  <si>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</si>
  <si>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</si>
  <si>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</si>
  <si>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</si>
  <si>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</si>
  <si>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</si>
  <si>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</si>
  <si>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</si>
  <si>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</si>
  <si>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</si>
  <si>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</si>
  <si>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</si>
  <si>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</si>
  <si>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</si>
  <si>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</si>
  <si>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</si>
  <si>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</si>
  <si>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</si>
  <si>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</si>
  <si>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</si>
  <si>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</si>
  <si>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</si>
  <si>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</si>
  <si>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</si>
  <si>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</si>
  <si>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</si>
  <si>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</si>
  <si>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</si>
  <si>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</si>
  <si>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</si>
  <si>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</si>
  <si>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</si>
  <si>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</si>
  <si>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</si>
  <si>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</si>
  <si>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</si>
  <si>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</si>
  <si>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</si>
  <si>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</si>
  <si>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</si>
  <si>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</si>
  <si>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</si>
  <si>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</si>
  <si>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</si>
  <si>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</si>
  <si>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</si>
  <si>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</si>
  <si>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</si>
  <si>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</si>
  <si>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</si>
  <si>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</si>
  <si>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</si>
  <si>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</si>
  <si>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</si>
  <si>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</si>
  <si>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</si>
  <si>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</si>
  <si>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</si>
  <si>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</si>
  <si>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</si>
  <si>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</si>
  <si>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</si>
  <si>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</si>
  <si>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</si>
  <si>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</si>
  <si>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</si>
  <si>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</si>
  <si>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</si>
  <si>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</si>
  <si>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</si>
  <si>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</si>
  <si>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</si>
  <si>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</si>
  <si>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</si>
  <si>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</si>
  <si>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</si>
  <si>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</si>
  <si>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</si>
  <si>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</si>
  <si>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</si>
  <si>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</si>
  <si>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</si>
  <si>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</si>
  <si>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</si>
  <si>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</si>
  <si>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</si>
  <si>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</si>
  <si>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</si>
  <si>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</si>
  <si>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</si>
  <si>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</si>
  <si>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</si>
  <si>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</si>
  <si>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</si>
  <si>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</si>
  <si>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</si>
  <si>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</si>
  <si>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</si>
  <si>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</si>
  <si>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</si>
  <si>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</si>
  <si>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</si>
  <si>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</si>
  <si>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</si>
  <si>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</si>
  <si>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</si>
  <si>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</si>
  <si>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</si>
  <si>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</si>
  <si>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</si>
  <si>
    <t>米沢市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</si>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</sst>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19" activePane="bottomLeft" state="frozen"/>
      <selection activeCell="E20" sqref="E20"/>
      <selection pane="bottomLeft" activeCell="S37" sqref="S3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99999990001</v>
      </c>
      <c r="G10" s="29">
        <f t="shared" si="2"/>
        <v>99999990001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99999990001介護施設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99999990001</v>
      </c>
      <c r="N10">
        <f>IF(L10&lt;&gt;"○",M10,INDEX(G$4:G9,MATCH(L10&amp;M10,F$4:F9,0)))</f>
        <v>99999990001</v>
      </c>
      <c r="O10" t="str">
        <f t="shared" si="8"/>
        <v>介護施設</v>
      </c>
      <c r="Q10" s="4">
        <v>45036</v>
      </c>
      <c r="S10" t="str">
        <f>$O$1&amp;
990&amp;
REPT("0",3-LEN(ROW($S1)))&amp;ROW($S1)</f>
        <v>99999990001</v>
      </c>
      <c r="T10" t="s">
        <v>50</v>
      </c>
      <c r="U10" t="s">
        <v>50</v>
      </c>
      <c r="V10" t="s">
        <v>447</v>
      </c>
      <c r="AB10" t="str">
        <f>$S$10&amp;"介護施設"</f>
        <v>99999990001介護施設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99999990002</v>
      </c>
      <c r="G11" s="29">
        <f t="shared" si="2"/>
        <v>99999990002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99999990001関連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99999990001</v>
      </c>
      <c r="N11">
        <f>IF(L11&lt;&gt;"○",M11,INDEX(G$4:G10,MATCH(L11&amp;M11,F$4:F10,0)))</f>
        <v>99999990001</v>
      </c>
      <c r="O11" t="str">
        <f t="shared" si="8"/>
        <v>関連</v>
      </c>
      <c r="Q11" s="4">
        <v>45036</v>
      </c>
      <c r="S11" t="str">
        <f t="shared" ref="S11:S16" si="9">$O$1&amp;
990&amp;
REPT("0",3-LEN(ROW($S2)))&amp;ROW($S2)</f>
        <v>99999990002</v>
      </c>
      <c r="T11" t="s">
        <v>50</v>
      </c>
      <c r="U11" t="s">
        <v>50</v>
      </c>
      <c r="V11" t="s">
        <v>447</v>
      </c>
      <c r="AB11" t="str">
        <f>$S$10&amp;"関連"</f>
        <v>99999990001関連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99999990003</v>
      </c>
      <c r="G12" s="29">
        <f t="shared" si="2"/>
        <v>99999990003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99999990001関連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99999990001</v>
      </c>
      <c r="N12">
        <f>IF(L12&lt;&gt;"○",M12,INDEX(G$4:G11,MATCH(L12&amp;M12,F$4:F11,0)))</f>
        <v>99999990001</v>
      </c>
      <c r="O12" t="str">
        <f t="shared" si="8"/>
        <v>関連</v>
      </c>
      <c r="Q12" s="4">
        <v>45036</v>
      </c>
      <c r="S12" t="str">
        <f t="shared" si="9"/>
        <v>99999990003</v>
      </c>
      <c r="T12" t="s">
        <v>50</v>
      </c>
      <c r="U12" t="s">
        <v>50</v>
      </c>
      <c r="V12" t="s">
        <v>447</v>
      </c>
      <c r="AB12" t="str">
        <f t="shared" ref="AB12:AB16" si="10">$S$10&amp;"関連"</f>
        <v>99999990001関連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99999990004</v>
      </c>
      <c r="G13" s="29">
        <f t="shared" si="2"/>
        <v>99999990004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99999990001関連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99999990001</v>
      </c>
      <c r="N13">
        <f>IF(L13&lt;&gt;"○",M13,INDEX(G$4:G12,MATCH(L13&amp;M13,F$4:F12,0)))</f>
        <v>99999990001</v>
      </c>
      <c r="O13" t="str">
        <f t="shared" si="8"/>
        <v>関連</v>
      </c>
      <c r="Q13" s="4">
        <v>45036</v>
      </c>
      <c r="S13" t="str">
        <f t="shared" si="9"/>
        <v>99999990004</v>
      </c>
      <c r="T13" t="s">
        <v>50</v>
      </c>
      <c r="U13" t="s">
        <v>50</v>
      </c>
      <c r="V13" t="s">
        <v>447</v>
      </c>
      <c r="AB13" t="str">
        <f t="shared" si="10"/>
        <v>99999990001関連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99999990005</v>
      </c>
      <c r="G14" s="29">
        <f t="shared" si="2"/>
        <v>99999990005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99999990001関連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99999990001</v>
      </c>
      <c r="N14">
        <f>IF(L14&lt;&gt;"○",M14,INDEX(G$4:G13,MATCH(L14&amp;M14,F$4:F13,0)))</f>
        <v>99999990001</v>
      </c>
      <c r="O14" t="str">
        <f t="shared" si="8"/>
        <v>関連</v>
      </c>
      <c r="Q14" s="4">
        <v>45036</v>
      </c>
      <c r="S14" t="str">
        <f t="shared" si="9"/>
        <v>99999990005</v>
      </c>
      <c r="T14" t="s">
        <v>50</v>
      </c>
      <c r="U14" t="s">
        <v>50</v>
      </c>
      <c r="V14" t="s">
        <v>447</v>
      </c>
      <c r="AB14" t="str">
        <f t="shared" si="10"/>
        <v>99999990001関連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99999990006</v>
      </c>
      <c r="G15" s="29">
        <f t="shared" si="2"/>
        <v>99999990006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99999990001関連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99999990001</v>
      </c>
      <c r="N15">
        <f>IF(L15&lt;&gt;"○",M15,INDEX(G$4:G14,MATCH(L15&amp;M15,F$4:F14,0)))</f>
        <v>99999990001</v>
      </c>
      <c r="O15" t="str">
        <f t="shared" si="8"/>
        <v>関連</v>
      </c>
      <c r="Q15" s="4">
        <v>45036</v>
      </c>
      <c r="S15" t="str">
        <f t="shared" si="9"/>
        <v>99999990006</v>
      </c>
      <c r="T15" t="s">
        <v>50</v>
      </c>
      <c r="U15" t="s">
        <v>50</v>
      </c>
      <c r="V15" t="s">
        <v>447</v>
      </c>
      <c r="AB15" t="str">
        <f t="shared" si="10"/>
        <v>99999990001関連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99999990007</v>
      </c>
      <c r="G16" s="29">
        <f t="shared" si="2"/>
        <v>99999990007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99999990001関連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99999990001</v>
      </c>
      <c r="N16">
        <f>IF(L16&lt;&gt;"○",M16,INDEX(G$4:G15,MATCH(L16&amp;M16,F$4:F15,0)))</f>
        <v>99999990001</v>
      </c>
      <c r="O16" t="str">
        <f t="shared" si="8"/>
        <v>関連</v>
      </c>
      <c r="Q16" s="4">
        <v>45036</v>
      </c>
      <c r="S16" t="str">
        <f t="shared" si="9"/>
        <v>99999990007</v>
      </c>
      <c r="T16" t="s">
        <v>50</v>
      </c>
      <c r="U16" t="s">
        <v>50</v>
      </c>
      <c r="V16" t="s">
        <v>447</v>
      </c>
      <c r="AB16" t="str">
        <f t="shared" si="10"/>
        <v>99999990001関連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99999991001</v>
      </c>
      <c r="G18" s="29">
        <f t="shared" si="2"/>
        <v>99999991001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99999991001介護施設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99999991001</v>
      </c>
      <c r="N18">
        <f>IF(L18&lt;&gt;"○",M18,INDEX(G$4:G17,MATCH(L18&amp;M18,F$4:F17,0)))</f>
        <v>99999991001</v>
      </c>
      <c r="O18" t="str">
        <f t="shared" si="8"/>
        <v>介護施設</v>
      </c>
      <c r="Q18" s="4">
        <v>45036</v>
      </c>
      <c r="S18" t="str">
        <f>$O$1&amp;
991&amp;
REPT("0",3-LEN(ROW($S1)))&amp;ROW($S1)</f>
        <v>99999991001</v>
      </c>
      <c r="T18" t="s">
        <v>50</v>
      </c>
      <c r="U18" t="s">
        <v>50</v>
      </c>
      <c r="V18" t="s">
        <v>446</v>
      </c>
      <c r="AB18" t="str">
        <f>$S$18&amp;"介護施設"</f>
        <v>99999991001介護施設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99999991002</v>
      </c>
      <c r="G19" s="29">
        <f t="shared" si="2"/>
        <v>99999991002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99999990001関連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99999990001</v>
      </c>
      <c r="N19">
        <f>IF(L19&lt;&gt;"○",M19,INDEX(G$4:G18,MATCH(L19&amp;M19,F$4:F18,0)))</f>
        <v>99999990001</v>
      </c>
      <c r="O19" t="str">
        <f t="shared" si="8"/>
        <v>関連</v>
      </c>
      <c r="Q19" s="4">
        <v>45036</v>
      </c>
      <c r="S19" t="str">
        <f t="shared" ref="S19:S33" si="11">$O$1&amp;
991&amp;
REPT("0",3-LEN(ROW($S2)))&amp;ROW($S2)</f>
        <v>99999991002</v>
      </c>
      <c r="T19" t="s">
        <v>50</v>
      </c>
      <c r="U19" t="s">
        <v>50</v>
      </c>
      <c r="V19" t="s">
        <v>446</v>
      </c>
      <c r="AB19" t="str">
        <f>$S$10&amp;"関連"</f>
        <v>99999990001関連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99999991003</v>
      </c>
      <c r="G20" s="29">
        <f t="shared" si="2"/>
        <v>99999991003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99999990001関連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99999990001</v>
      </c>
      <c r="N20">
        <f>IF(L20&lt;&gt;"○",M20,INDEX(G$4:G19,MATCH(L20&amp;M20,F$4:F19,0)))</f>
        <v>99999990001</v>
      </c>
      <c r="O20" t="str">
        <f t="shared" si="8"/>
        <v>関連</v>
      </c>
      <c r="Q20" s="4">
        <v>45036</v>
      </c>
      <c r="S20" t="str">
        <f t="shared" si="11"/>
        <v>99999991003</v>
      </c>
      <c r="T20" t="s">
        <v>50</v>
      </c>
      <c r="U20" t="s">
        <v>50</v>
      </c>
      <c r="V20" t="s">
        <v>446</v>
      </c>
      <c r="AB20" t="str">
        <f t="shared" ref="AB20:AB33" si="12">$S$10&amp;"関連"</f>
        <v>99999990001関連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99999991004</v>
      </c>
      <c r="G21" s="29">
        <f t="shared" si="2"/>
        <v>99999991004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99999990001関連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99999990001</v>
      </c>
      <c r="N21">
        <f>IF(L21&lt;&gt;"○",M21,INDEX(G$4:G20,MATCH(L21&amp;M21,F$4:F20,0)))</f>
        <v>99999990001</v>
      </c>
      <c r="O21" t="str">
        <f t="shared" si="8"/>
        <v>関連</v>
      </c>
      <c r="Q21" s="4">
        <v>45036</v>
      </c>
      <c r="S21" t="str">
        <f t="shared" si="11"/>
        <v>99999991004</v>
      </c>
      <c r="T21" t="s">
        <v>50</v>
      </c>
      <c r="U21" t="s">
        <v>50</v>
      </c>
      <c r="V21" t="s">
        <v>446</v>
      </c>
      <c r="AB21" t="str">
        <f t="shared" si="12"/>
        <v>99999990001関連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99999991005</v>
      </c>
      <c r="G22" s="29">
        <f t="shared" si="2"/>
        <v>99999991005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99999990001関連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99999990001</v>
      </c>
      <c r="N22">
        <f>IF(L22&lt;&gt;"○",M22,INDEX(G$4:G21,MATCH(L22&amp;M22,F$4:F21,0)))</f>
        <v>99999990001</v>
      </c>
      <c r="O22" t="str">
        <f t="shared" si="8"/>
        <v>関連</v>
      </c>
      <c r="Q22" s="4">
        <v>45036</v>
      </c>
      <c r="S22" t="str">
        <f t="shared" si="11"/>
        <v>99999991005</v>
      </c>
      <c r="T22" t="s">
        <v>50</v>
      </c>
      <c r="U22" t="s">
        <v>50</v>
      </c>
      <c r="V22" t="s">
        <v>446</v>
      </c>
      <c r="AB22" t="str">
        <f t="shared" si="12"/>
        <v>99999990001関連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99999991006</v>
      </c>
      <c r="G23" s="29">
        <f t="shared" si="2"/>
        <v>99999991006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99999990001関連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99999990001</v>
      </c>
      <c r="N23">
        <f>IF(L23&lt;&gt;"○",M23,INDEX(G$4:G22,MATCH(L23&amp;M23,F$4:F22,0)))</f>
        <v>99999990001</v>
      </c>
      <c r="O23" t="str">
        <f t="shared" si="8"/>
        <v>関連</v>
      </c>
      <c r="Q23" s="4">
        <v>45036</v>
      </c>
      <c r="S23" t="str">
        <f t="shared" si="11"/>
        <v>99999991006</v>
      </c>
      <c r="T23" t="s">
        <v>50</v>
      </c>
      <c r="U23" t="s">
        <v>50</v>
      </c>
      <c r="V23" t="s">
        <v>446</v>
      </c>
      <c r="AB23" t="str">
        <f t="shared" si="12"/>
        <v>99999990001関連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99999991007</v>
      </c>
      <c r="G24" s="29">
        <f t="shared" si="2"/>
        <v>99999991007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酒田市</v>
      </c>
      <c r="K24" s="31" t="str">
        <f t="shared" si="6"/>
        <v>99999990001関連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99999990001</v>
      </c>
      <c r="N24">
        <f>IF(L24&lt;&gt;"○",M24,INDEX(G$4:G23,MATCH(L24&amp;M24,F$4:F23,0)))</f>
        <v>99999990001</v>
      </c>
      <c r="O24" t="str">
        <f t="shared" si="8"/>
        <v>関連</v>
      </c>
      <c r="Q24" s="4">
        <v>45036</v>
      </c>
      <c r="S24" t="str">
        <f t="shared" si="11"/>
        <v>99999991007</v>
      </c>
      <c r="T24" t="s">
        <v>50</v>
      </c>
      <c r="U24" t="s">
        <v>50</v>
      </c>
      <c r="V24" t="s">
        <v>446</v>
      </c>
      <c r="AB24" t="str">
        <f t="shared" si="12"/>
        <v>99999990001関連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99999991008</v>
      </c>
      <c r="G25" s="29">
        <f t="shared" si="2"/>
        <v>99999991008</v>
      </c>
      <c r="H25" s="20" t="str">
        <f t="shared" si="3"/>
        <v>-</v>
      </c>
      <c r="I25" s="20" t="str">
        <f t="shared" si="4"/>
        <v>ー</v>
      </c>
      <c r="J25" s="20" t="str">
        <f t="shared" si="5"/>
        <v>酒田市</v>
      </c>
      <c r="K25" s="31" t="str">
        <f t="shared" si="6"/>
        <v>99999990001関連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99999990001</v>
      </c>
      <c r="N25">
        <f>IF(L25&lt;&gt;"○",M25,INDEX(G$4:G24,MATCH(L25&amp;M25,F$4:F24,0)))</f>
        <v>99999990001</v>
      </c>
      <c r="O25" t="str">
        <f t="shared" si="8"/>
        <v>関連</v>
      </c>
      <c r="Q25" s="4">
        <v>45036</v>
      </c>
      <c r="S25" t="str">
        <f t="shared" si="11"/>
        <v>99999991008</v>
      </c>
      <c r="T25" t="s">
        <v>50</v>
      </c>
      <c r="U25" t="s">
        <v>50</v>
      </c>
      <c r="V25" t="s">
        <v>446</v>
      </c>
      <c r="AB25" t="str">
        <f t="shared" si="12"/>
        <v>99999990001関連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99999991009</v>
      </c>
      <c r="G26" s="29">
        <f t="shared" si="2"/>
        <v>99999991009</v>
      </c>
      <c r="H26" s="20" t="str">
        <f t="shared" si="3"/>
        <v>-</v>
      </c>
      <c r="I26" s="20" t="str">
        <f t="shared" si="4"/>
        <v>ー</v>
      </c>
      <c r="J26" s="20" t="str">
        <f t="shared" si="5"/>
        <v>酒田市</v>
      </c>
      <c r="K26" s="31" t="str">
        <f t="shared" si="6"/>
        <v>99999990001関連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99999990001</v>
      </c>
      <c r="N26">
        <f>IF(L26&lt;&gt;"○",M26,INDEX(G$4:G25,MATCH(L26&amp;M26,F$4:F25,0)))</f>
        <v>99999990001</v>
      </c>
      <c r="O26" t="str">
        <f t="shared" si="8"/>
        <v>関連</v>
      </c>
      <c r="Q26" s="4">
        <v>45036</v>
      </c>
      <c r="S26" t="str">
        <f t="shared" si="11"/>
        <v>99999991009</v>
      </c>
      <c r="T26" t="s">
        <v>50</v>
      </c>
      <c r="U26" t="s">
        <v>50</v>
      </c>
      <c r="V26" t="s">
        <v>446</v>
      </c>
      <c r="AB26" t="str">
        <f t="shared" si="12"/>
        <v>99999990001関連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99999991010</v>
      </c>
      <c r="G27" s="29">
        <f t="shared" si="2"/>
        <v>99999991010</v>
      </c>
      <c r="H27" s="20" t="str">
        <f t="shared" si="3"/>
        <v>-</v>
      </c>
      <c r="I27" s="20" t="str">
        <f t="shared" si="4"/>
        <v>ー</v>
      </c>
      <c r="J27" s="20" t="str">
        <f t="shared" si="5"/>
        <v>酒田市</v>
      </c>
      <c r="K27" s="31" t="str">
        <f t="shared" si="6"/>
        <v>99999990001関連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99999990001</v>
      </c>
      <c r="N27">
        <f>IF(L27&lt;&gt;"○",M27,INDEX(G$4:G26,MATCH(L27&amp;M27,F$4:F26,0)))</f>
        <v>99999990001</v>
      </c>
      <c r="O27" t="str">
        <f t="shared" si="8"/>
        <v>関連</v>
      </c>
      <c r="Q27" s="4">
        <v>45036</v>
      </c>
      <c r="S27" t="str">
        <f t="shared" si="11"/>
        <v>99999991010</v>
      </c>
      <c r="T27" t="s">
        <v>50</v>
      </c>
      <c r="U27" t="s">
        <v>50</v>
      </c>
      <c r="V27" t="s">
        <v>446</v>
      </c>
      <c r="AB27" t="str">
        <f t="shared" si="12"/>
        <v>99999990001関連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99999991011</v>
      </c>
      <c r="G28" s="29">
        <f t="shared" si="2"/>
        <v>99999991011</v>
      </c>
      <c r="H28" s="20" t="str">
        <f t="shared" si="3"/>
        <v>-</v>
      </c>
      <c r="I28" s="20" t="str">
        <f t="shared" si="4"/>
        <v>ー</v>
      </c>
      <c r="J28" s="20" t="str">
        <f t="shared" si="5"/>
        <v>酒田市</v>
      </c>
      <c r="K28" s="31" t="str">
        <f t="shared" si="6"/>
        <v>99999990001関連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99999990001</v>
      </c>
      <c r="N28">
        <f>IF(L28&lt;&gt;"○",M28,INDEX(G$4:G27,MATCH(L28&amp;M28,F$4:F27,0)))</f>
        <v>99999990001</v>
      </c>
      <c r="O28" t="str">
        <f t="shared" si="8"/>
        <v>関連</v>
      </c>
      <c r="Q28" s="4">
        <v>45036</v>
      </c>
      <c r="S28" t="str">
        <f t="shared" si="11"/>
        <v>99999991011</v>
      </c>
      <c r="T28" t="s">
        <v>50</v>
      </c>
      <c r="U28" t="s">
        <v>50</v>
      </c>
      <c r="V28" t="s">
        <v>446</v>
      </c>
      <c r="AB28" t="str">
        <f t="shared" si="12"/>
        <v>99999990001関連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99999991012</v>
      </c>
      <c r="G29" s="29">
        <f t="shared" si="2"/>
        <v>99999991012</v>
      </c>
      <c r="H29" s="20" t="str">
        <f t="shared" si="3"/>
        <v>-</v>
      </c>
      <c r="I29" s="20" t="str">
        <f t="shared" si="4"/>
        <v>ー</v>
      </c>
      <c r="J29" s="20" t="str">
        <f t="shared" si="5"/>
        <v>酒田市</v>
      </c>
      <c r="K29" s="31" t="str">
        <f t="shared" si="6"/>
        <v>99999990001関連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99999990001</v>
      </c>
      <c r="N29">
        <f>IF(L29&lt;&gt;"○",M29,INDEX(G$4:G28,MATCH(L29&amp;M29,F$4:F28,0)))</f>
        <v>99999990001</v>
      </c>
      <c r="O29" t="str">
        <f t="shared" si="8"/>
        <v>関連</v>
      </c>
      <c r="Q29" s="4">
        <v>45036</v>
      </c>
      <c r="S29" t="str">
        <f t="shared" si="11"/>
        <v>99999991012</v>
      </c>
      <c r="T29" t="s">
        <v>50</v>
      </c>
      <c r="U29" t="s">
        <v>50</v>
      </c>
      <c r="V29" t="s">
        <v>446</v>
      </c>
      <c r="AB29" t="str">
        <f t="shared" si="12"/>
        <v>99999990001関連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99999991013</v>
      </c>
      <c r="G30" s="29">
        <f t="shared" si="2"/>
        <v>99999991013</v>
      </c>
      <c r="H30" s="20" t="str">
        <f t="shared" si="3"/>
        <v>-</v>
      </c>
      <c r="I30" s="20" t="str">
        <f t="shared" si="4"/>
        <v>ー</v>
      </c>
      <c r="J30" s="20" t="str">
        <f t="shared" si="5"/>
        <v>酒田市</v>
      </c>
      <c r="K30" s="31" t="str">
        <f t="shared" si="6"/>
        <v>99999990001関連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99999990001</v>
      </c>
      <c r="N30">
        <f>IF(L30&lt;&gt;"○",M30,INDEX(G$4:G29,MATCH(L30&amp;M30,F$4:F29,0)))</f>
        <v>99999990001</v>
      </c>
      <c r="O30" t="str">
        <f t="shared" si="8"/>
        <v>関連</v>
      </c>
      <c r="Q30" s="4">
        <v>45036</v>
      </c>
      <c r="S30" t="str">
        <f t="shared" si="11"/>
        <v>99999991013</v>
      </c>
      <c r="T30" t="s">
        <v>50</v>
      </c>
      <c r="U30" t="s">
        <v>50</v>
      </c>
      <c r="V30" t="s">
        <v>446</v>
      </c>
      <c r="AB30" t="str">
        <f t="shared" si="12"/>
        <v>99999990001関連</v>
      </c>
    </row>
    <row r="31" spans="2:28" x14ac:dyDescent="0.4">
      <c r="B31" t="s">
        <v>21</v>
      </c>
      <c r="C31">
        <f>IF(G31="","",MAX(C$4:C30)+1)</f>
        <v>21</v>
      </c>
      <c r="D31">
        <f>IF(AND(N31=""),"",MAX(D$4:D30)+1)</f>
        <v>21</v>
      </c>
      <c r="F31" s="26" t="str">
        <f t="shared" si="1"/>
        <v>99999991014</v>
      </c>
      <c r="G31" s="29">
        <f t="shared" si="2"/>
        <v>99999991014</v>
      </c>
      <c r="H31" s="20" t="str">
        <f t="shared" si="3"/>
        <v>-</v>
      </c>
      <c r="I31" s="20" t="str">
        <f t="shared" si="4"/>
        <v>ー</v>
      </c>
      <c r="J31" s="20" t="str">
        <f t="shared" si="5"/>
        <v>酒田市</v>
      </c>
      <c r="K31" s="31" t="str">
        <f t="shared" si="6"/>
        <v>99999990001関連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99999990001</v>
      </c>
      <c r="N31">
        <f>IF(L31&lt;&gt;"○",M31,INDEX(G$4:G30,MATCH(L31&amp;M31,F$4:F30,0)))</f>
        <v>99999990001</v>
      </c>
      <c r="O31" t="str">
        <f t="shared" si="8"/>
        <v>関連</v>
      </c>
      <c r="Q31" s="4">
        <v>45036</v>
      </c>
      <c r="S31" t="str">
        <f t="shared" si="11"/>
        <v>99999991014</v>
      </c>
      <c r="T31" t="s">
        <v>50</v>
      </c>
      <c r="U31" t="s">
        <v>50</v>
      </c>
      <c r="V31" t="s">
        <v>446</v>
      </c>
      <c r="AB31" t="str">
        <f t="shared" si="12"/>
        <v>99999990001関連</v>
      </c>
    </row>
    <row r="32" spans="2:28" x14ac:dyDescent="0.4">
      <c r="B32" t="s">
        <v>21</v>
      </c>
      <c r="C32">
        <f>IF(G32="","",MAX(C$4:C31)+1)</f>
        <v>22</v>
      </c>
      <c r="D32">
        <f>IF(AND(N32=""),"",MAX(D$4:D31)+1)</f>
        <v>22</v>
      </c>
      <c r="F32" s="26" t="str">
        <f t="shared" si="1"/>
        <v>99999991015</v>
      </c>
      <c r="G32" s="29">
        <f t="shared" si="2"/>
        <v>99999991015</v>
      </c>
      <c r="H32" s="20" t="str">
        <f t="shared" si="3"/>
        <v>-</v>
      </c>
      <c r="I32" s="20" t="str">
        <f t="shared" si="4"/>
        <v>ー</v>
      </c>
      <c r="J32" s="20" t="str">
        <f t="shared" si="5"/>
        <v>酒田市</v>
      </c>
      <c r="K32" s="31" t="str">
        <f t="shared" si="6"/>
        <v>99999990001関連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99999990001</v>
      </c>
      <c r="N32">
        <f>IF(L32&lt;&gt;"○",M32,INDEX(G$4:G31,MATCH(L32&amp;M32,F$4:F31,0)))</f>
        <v>99999990001</v>
      </c>
      <c r="O32" t="str">
        <f t="shared" si="8"/>
        <v>関連</v>
      </c>
      <c r="Q32" s="4">
        <v>45036</v>
      </c>
      <c r="S32" t="str">
        <f t="shared" si="11"/>
        <v>99999991015</v>
      </c>
      <c r="T32" t="s">
        <v>50</v>
      </c>
      <c r="U32" t="s">
        <v>50</v>
      </c>
      <c r="V32" t="s">
        <v>446</v>
      </c>
      <c r="AB32" t="str">
        <f t="shared" si="12"/>
        <v>99999990001関連</v>
      </c>
    </row>
    <row r="33" spans="2:28" x14ac:dyDescent="0.4">
      <c r="B33" t="s">
        <v>21</v>
      </c>
      <c r="C33">
        <f>IF(G33="","",MAX(C$4:C32)+1)</f>
        <v>23</v>
      </c>
      <c r="D33">
        <f>IF(AND(N33=""),"",MAX(D$4:D32)+1)</f>
        <v>23</v>
      </c>
      <c r="F33" s="26" t="str">
        <f t="shared" si="1"/>
        <v>99999991016</v>
      </c>
      <c r="G33" s="29">
        <f t="shared" si="2"/>
        <v>99999991016</v>
      </c>
      <c r="H33" s="20" t="str">
        <f t="shared" si="3"/>
        <v>-</v>
      </c>
      <c r="I33" s="20" t="str">
        <f t="shared" si="4"/>
        <v>ー</v>
      </c>
      <c r="J33" s="20" t="str">
        <f t="shared" si="5"/>
        <v>酒田市</v>
      </c>
      <c r="K33" s="31" t="str">
        <f t="shared" si="6"/>
        <v>99999990001関連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99999990001</v>
      </c>
      <c r="N33">
        <f>IF(L33&lt;&gt;"○",M33,INDEX(G$4:G32,MATCH(L33&amp;M33,F$4:F32,0)))</f>
        <v>99999990001</v>
      </c>
      <c r="O33" t="str">
        <f t="shared" si="8"/>
        <v>関連</v>
      </c>
      <c r="Q33" s="4">
        <v>45036</v>
      </c>
      <c r="S33" t="str">
        <f t="shared" si="11"/>
        <v>99999991016</v>
      </c>
      <c r="T33" t="s">
        <v>50</v>
      </c>
      <c r="U33" t="s">
        <v>50</v>
      </c>
      <c r="V33" t="s">
        <v>446</v>
      </c>
      <c r="AB33" t="str">
        <f t="shared" si="12"/>
        <v>99999990001関連</v>
      </c>
    </row>
    <row r="34" spans="2:28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99999992001</v>
      </c>
      <c r="G35" s="29">
        <f t="shared" si="2"/>
        <v>99999992001</v>
      </c>
      <c r="H35" s="20" t="str">
        <f t="shared" si="3"/>
        <v>-</v>
      </c>
      <c r="I35" s="20" t="str">
        <f t="shared" si="4"/>
        <v>ー</v>
      </c>
      <c r="J35" s="20" t="str">
        <f t="shared" si="5"/>
        <v>山形市</v>
      </c>
      <c r="K35" s="31" t="str">
        <f t="shared" si="6"/>
        <v>99999992001介護施設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99999992001</v>
      </c>
      <c r="N35">
        <f>IF(L35&lt;&gt;"○",M35,INDEX(G$4:G34,MATCH(L35&amp;M35,F$4:F34,0)))</f>
        <v>99999992001</v>
      </c>
      <c r="O35" t="str">
        <f t="shared" si="8"/>
        <v>介護施設</v>
      </c>
      <c r="Q35" s="4">
        <v>45036</v>
      </c>
      <c r="S35" t="str">
        <f>$O$1&amp;
992&amp;
REPT("0",3-LEN(ROW($S1)))&amp;ROW($S1)</f>
        <v>99999992001</v>
      </c>
      <c r="T35" t="s">
        <v>50</v>
      </c>
      <c r="U35" t="s">
        <v>50</v>
      </c>
      <c r="V35" t="s">
        <v>448</v>
      </c>
      <c r="AB35" t="str">
        <f>$S$35&amp;"介護施設"</f>
        <v>99999992001介護施設</v>
      </c>
    </row>
    <row r="36" spans="2:28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28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28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28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28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28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28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28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28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99999990001介護施設</v>
      </c>
      <c r="I3" s="1">
        <f>IF(H3&lt;&gt;"",IF(ROW(G1)&gt;MAX(Main!$C$4:$C$1048576),"",INDEX(Main!N$4:N$1048576,MATCH(ROW(G1),Main!$C$4:$C$1048576,0))),"")</f>
        <v>99999990001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クラスターNo.990</v>
      </c>
      <c r="M3" s="4" t="str">
        <f>TEXT(IF(ROW(A1)&gt;MAX(Main!$D$4:$D$1048576),"",INDEX(Main!Q$4:Q$1048576,MATCH(ROW(A1),Main!$D$4:$D$1048576,0))), "yyyy/m/d")</f>
        <v>2023/4/20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99999990001介護施設</v>
      </c>
      <c r="T3" s="1">
        <f>IF(S3&lt;&gt;"",IF(ROW(G1)&gt;MAX(Main!$D$4:$D$1048576),"",INDEX(Main!N$4:N$1048576,MATCH(ROW(G1),Main!$D$4:$D$1048576,0))),"")</f>
        <v>99999990001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99999990001関連</v>
      </c>
      <c r="I4" s="1">
        <f>IF(H4&lt;&gt;"",IF(ROW(G2)&gt;MAX(Main!$C$4:$C$1048576),"",INDEX(Main!N$4:N$1048576,MATCH(ROW(G2),Main!$C$4:$C$1048576,0))),"")</f>
        <v>99999990001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クラスターNo.990</v>
      </c>
      <c r="M4" s="4" t="str">
        <f>TEXT(IF(ROW(A2)&gt;MAX(Main!$D$4:$D$1048576),"",INDEX(Main!Q$4:Q$1048576,MATCH(ROW(A2),Main!$D$4:$D$1048576,0))), "yyyy/m/d")</f>
        <v>2023/4/20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99999990001関連</v>
      </c>
      <c r="T4" s="1">
        <f>IF(S4&lt;&gt;"",IF(ROW(G2)&gt;MAX(Main!$D$4:$D$1048576),"",INDEX(Main!N$4:N$1048576,MATCH(ROW(G2),Main!$D$4:$D$1048576,0))),"")</f>
        <v>99999990001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99999990001関連</v>
      </c>
      <c r="I5" s="1">
        <f>IF(H5&lt;&gt;"",IF(ROW(G3)&gt;MAX(Main!$C$4:$C$1048576),"",INDEX(Main!N$4:N$1048576,MATCH(ROW(G3),Main!$C$4:$C$1048576,0))),"")</f>
        <v>99999990001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クラスターNo.990</v>
      </c>
      <c r="M5" s="4" t="str">
        <f>TEXT(IF(ROW(A3)&gt;MAX(Main!$D$4:$D$1048576),"",INDEX(Main!Q$4:Q$1048576,MATCH(ROW(A3),Main!$D$4:$D$1048576,0))), "yyyy/m/d")</f>
        <v>2023/4/20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99999990001関連</v>
      </c>
      <c r="T5" s="1">
        <f>IF(S5&lt;&gt;"",IF(ROW(G3)&gt;MAX(Main!$D$4:$D$1048576),"",INDEX(Main!N$4:N$1048576,MATCH(ROW(G3),Main!$D$4:$D$1048576,0))),"")</f>
        <v>99999990001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99999990001関連</v>
      </c>
      <c r="I6" s="1">
        <f>IF(H6&lt;&gt;"",IF(ROW(G4)&gt;MAX(Main!$C$4:$C$1048576),"",INDEX(Main!N$4:N$1048576,MATCH(ROW(G4),Main!$C$4:$C$1048576,0))),"")</f>
        <v>99999990001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クラスターNo.990</v>
      </c>
      <c r="M6" s="4" t="str">
        <f>TEXT(IF(ROW(A4)&gt;MAX(Main!$D$4:$D$1048576),"",INDEX(Main!Q$4:Q$1048576,MATCH(ROW(A4),Main!$D$4:$D$1048576,0))), "yyyy/m/d")</f>
        <v>2023/4/20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99999990001関連</v>
      </c>
      <c r="T6" s="1">
        <f>IF(S6&lt;&gt;"",IF(ROW(G4)&gt;MAX(Main!$D$4:$D$1048576),"",INDEX(Main!N$4:N$1048576,MATCH(ROW(G4),Main!$D$4:$D$1048576,0))),"")</f>
        <v>99999990001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99999990001関連</v>
      </c>
      <c r="I7" s="1">
        <f>IF(H7&lt;&gt;"",IF(ROW(G5)&gt;MAX(Main!$C$4:$C$1048576),"",INDEX(Main!N$4:N$1048576,MATCH(ROW(G5),Main!$C$4:$C$1048576,0))),"")</f>
        <v>99999990001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クラスターNo.990</v>
      </c>
      <c r="M7" s="4" t="str">
        <f>TEXT(IF(ROW(A5)&gt;MAX(Main!$D$4:$D$1048576),"",INDEX(Main!Q$4:Q$1048576,MATCH(ROW(A5),Main!$D$4:$D$1048576,0))), "yyyy/m/d")</f>
        <v>2023/4/20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99999990001関連</v>
      </c>
      <c r="T7" s="1">
        <f>IF(S7&lt;&gt;"",IF(ROW(G5)&gt;MAX(Main!$D$4:$D$1048576),"",INDEX(Main!N$4:N$1048576,MATCH(ROW(G5),Main!$D$4:$D$1048576,0))),"")</f>
        <v>99999990001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99999990001関連</v>
      </c>
      <c r="I8" s="1">
        <f>IF(H8&lt;&gt;"",IF(ROW(G6)&gt;MAX(Main!$C$4:$C$1048576),"",INDEX(Main!N$4:N$1048576,MATCH(ROW(G6),Main!$C$4:$C$1048576,0))),"")</f>
        <v>99999990001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クラスターNo.990</v>
      </c>
      <c r="M8" s="4" t="str">
        <f>TEXT(IF(ROW(A6)&gt;MAX(Main!$D$4:$D$1048576),"",INDEX(Main!Q$4:Q$1048576,MATCH(ROW(A6),Main!$D$4:$D$1048576,0))), "yyyy/m/d")</f>
        <v>2023/4/20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99999990001関連</v>
      </c>
      <c r="T8" s="1">
        <f>IF(S8&lt;&gt;"",IF(ROW(G6)&gt;MAX(Main!$D$4:$D$1048576),"",INDEX(Main!N$4:N$1048576,MATCH(ROW(G6),Main!$D$4:$D$1048576,0))),"")</f>
        <v>99999990001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2023/4/20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99999990007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99999990001関連</v>
      </c>
      <c r="I9" s="1">
        <f>IF(H9&lt;&gt;"",IF(ROW(G7)&gt;MAX(Main!$C$4:$C$1048576),"",INDEX(Main!N$4:N$1048576,MATCH(ROW(G7),Main!$C$4:$C$1048576,0))),"")</f>
        <v>99999990001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クラスターNo.990</v>
      </c>
      <c r="M9" s="4" t="str">
        <f>TEXT(IF(ROW(A7)&gt;MAX(Main!$D$4:$D$1048576),"",INDEX(Main!Q$4:Q$1048576,MATCH(ROW(A7),Main!$D$4:$D$1048576,0))), "yyyy/m/d")</f>
        <v>2023/4/20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99999990007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99999990001関連</v>
      </c>
      <c r="T9" s="1">
        <f>IF(S9&lt;&gt;"",IF(ROW(G7)&gt;MAX(Main!$D$4:$D$1048576),"",INDEX(Main!N$4:N$1048576,MATCH(ROW(G7),Main!$D$4:$D$1048576,0))),"")</f>
        <v>99999990001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2023/4/20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99999991001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99999991001介護施設</v>
      </c>
      <c r="I10" s="1">
        <f>IF(H10&lt;&gt;"",IF(ROW(G8)&gt;MAX(Main!$C$4:$C$1048576),"",INDEX(Main!N$4:N$1048576,MATCH(ROW(G8),Main!$C$4:$C$1048576,0))),"")</f>
        <v>99999991001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クラスターNo.991</v>
      </c>
      <c r="M10" s="4" t="str">
        <f>TEXT(IF(ROW(A8)&gt;MAX(Main!$D$4:$D$1048576),"",INDEX(Main!Q$4:Q$1048576,MATCH(ROW(A8),Main!$D$4:$D$1048576,0))), "yyyy/m/d")</f>
        <v>2023/4/20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99999991001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99999991001介護施設</v>
      </c>
      <c r="T10" s="1">
        <f>IF(S10&lt;&gt;"",IF(ROW(G8)&gt;MAX(Main!$D$4:$D$1048576),"",INDEX(Main!N$4:N$1048576,MATCH(ROW(G8),Main!$D$4:$D$1048576,0))),"")</f>
        <v>99999991001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2023/4/20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99999991002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99999990001関連</v>
      </c>
      <c r="I11" s="1">
        <f>IF(H11&lt;&gt;"",IF(ROW(G9)&gt;MAX(Main!$C$4:$C$1048576),"",INDEX(Main!N$4:N$1048576,MATCH(ROW(G9),Main!$C$4:$C$1048576,0))),"")</f>
        <v>99999990001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クラスターNo.991</v>
      </c>
      <c r="M11" s="4" t="str">
        <f>TEXT(IF(ROW(A9)&gt;MAX(Main!$D$4:$D$1048576),"",INDEX(Main!Q$4:Q$1048576,MATCH(ROW(A9),Main!$D$4:$D$1048576,0))), "yyyy/m/d")</f>
        <v>2023/4/20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99999991002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99999990001関連</v>
      </c>
      <c r="T11" s="1">
        <f>IF(S11&lt;&gt;"",IF(ROW(G9)&gt;MAX(Main!$D$4:$D$1048576),"",INDEX(Main!N$4:N$1048576,MATCH(ROW(G9),Main!$D$4:$D$1048576,0))),"")</f>
        <v>99999990001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2023/4/20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99999991003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99999990001関連</v>
      </c>
      <c r="I12" s="1">
        <f>IF(H12&lt;&gt;"",IF(ROW(G10)&gt;MAX(Main!$C$4:$C$1048576),"",INDEX(Main!N$4:N$1048576,MATCH(ROW(G10),Main!$C$4:$C$1048576,0))),"")</f>
        <v>99999990001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クラスターNo.991</v>
      </c>
      <c r="M12" s="4" t="str">
        <f>TEXT(IF(ROW(A10)&gt;MAX(Main!$D$4:$D$1048576),"",INDEX(Main!Q$4:Q$1048576,MATCH(ROW(A10),Main!$D$4:$D$1048576,0))), "yyyy/m/d")</f>
        <v>2023/4/20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99999991003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99999990001関連</v>
      </c>
      <c r="T12" s="1">
        <f>IF(S12&lt;&gt;"",IF(ROW(G10)&gt;MAX(Main!$D$4:$D$1048576),"",INDEX(Main!N$4:N$1048576,MATCH(ROW(G10),Main!$D$4:$D$1048576,0))),"")</f>
        <v>99999990001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2023/4/20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99999991004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99999990001関連</v>
      </c>
      <c r="I13" s="1">
        <f>IF(H13&lt;&gt;"",IF(ROW(G11)&gt;MAX(Main!$C$4:$C$1048576),"",INDEX(Main!N$4:N$1048576,MATCH(ROW(G11),Main!$C$4:$C$1048576,0))),"")</f>
        <v>99999990001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クラスターNo.991</v>
      </c>
      <c r="M13" s="4" t="str">
        <f>TEXT(IF(ROW(A11)&gt;MAX(Main!$D$4:$D$1048576),"",INDEX(Main!Q$4:Q$1048576,MATCH(ROW(A11),Main!$D$4:$D$1048576,0))), "yyyy/m/d")</f>
        <v>2023/4/20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99999991004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99999990001関連</v>
      </c>
      <c r="T13" s="1">
        <f>IF(S13&lt;&gt;"",IF(ROW(G11)&gt;MAX(Main!$D$4:$D$1048576),"",INDEX(Main!N$4:N$1048576,MATCH(ROW(G11),Main!$D$4:$D$1048576,0))),"")</f>
        <v>99999990001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2023/4/20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99999991005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99999990001関連</v>
      </c>
      <c r="I14" s="1">
        <f>IF(H14&lt;&gt;"",IF(ROW(G12)&gt;MAX(Main!$C$4:$C$1048576),"",INDEX(Main!N$4:N$1048576,MATCH(ROW(G12),Main!$C$4:$C$1048576,0))),"")</f>
        <v>99999990001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クラスターNo.991</v>
      </c>
      <c r="M14" s="4" t="str">
        <f>TEXT(IF(ROW(A12)&gt;MAX(Main!$D$4:$D$1048576),"",INDEX(Main!Q$4:Q$1048576,MATCH(ROW(A12),Main!$D$4:$D$1048576,0))), "yyyy/m/d")</f>
        <v>2023/4/20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99999991005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99999990001関連</v>
      </c>
      <c r="T14" s="1">
        <f>IF(S14&lt;&gt;"",IF(ROW(G12)&gt;MAX(Main!$D$4:$D$1048576),"",INDEX(Main!N$4:N$1048576,MATCH(ROW(G12),Main!$D$4:$D$1048576,0))),"")</f>
        <v>99999990001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2023/4/20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99999991006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99999990001関連</v>
      </c>
      <c r="I15" s="1">
        <f>IF(H15&lt;&gt;"",IF(ROW(G13)&gt;MAX(Main!$C$4:$C$1048576),"",INDEX(Main!N$4:N$1048576,MATCH(ROW(G13),Main!$C$4:$C$1048576,0))),"")</f>
        <v>99999990001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クラスターNo.991</v>
      </c>
      <c r="M15" s="4" t="str">
        <f>TEXT(IF(ROW(A13)&gt;MAX(Main!$D$4:$D$1048576),"",INDEX(Main!Q$4:Q$1048576,MATCH(ROW(A13),Main!$D$4:$D$1048576,0))), "yyyy/m/d")</f>
        <v>2023/4/20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99999991006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99999990001関連</v>
      </c>
      <c r="T15" s="1">
        <f>IF(S15&lt;&gt;"",IF(ROW(G13)&gt;MAX(Main!$D$4:$D$1048576),"",INDEX(Main!N$4:N$1048576,MATCH(ROW(G13),Main!$D$4:$D$1048576,0))),"")</f>
        <v>99999990001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2023/4/20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99999991007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99999990001関連</v>
      </c>
      <c r="I16" s="1">
        <f>IF(H16&lt;&gt;"",IF(ROW(G14)&gt;MAX(Main!$C$4:$C$1048576),"",INDEX(Main!N$4:N$1048576,MATCH(ROW(G14),Main!$C$4:$C$1048576,0))),"")</f>
        <v>99999990001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クラスターNo.991</v>
      </c>
      <c r="M16" s="4" t="str">
        <f>TEXT(IF(ROW(A14)&gt;MAX(Main!$D$4:$D$1048576),"",INDEX(Main!Q$4:Q$1048576,MATCH(ROW(A14),Main!$D$4:$D$1048576,0))), "yyyy/m/d")</f>
        <v>2023/4/20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99999991007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99999990001関連</v>
      </c>
      <c r="T16" s="1">
        <f>IF(S16&lt;&gt;"",IF(ROW(G14)&gt;MAX(Main!$D$4:$D$1048576),"",INDEX(Main!N$4:N$1048576,MATCH(ROW(G14),Main!$D$4:$D$1048576,0))),"")</f>
        <v>99999990001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2023/4/20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99999991008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酒田市</v>
      </c>
      <c r="H17" s="10" t="str">
        <f>IF(ROW(G15)&gt;MAX(Main!$C$4:$C$1048576),"",INDEX(Main!K$4:K$1048576,MATCH(ROW(G15),Main!$C$4:$C$1048576,0)))</f>
        <v>99999990001関連</v>
      </c>
      <c r="I17" s="1">
        <f>IF(H17&lt;&gt;"",IF(ROW(G15)&gt;MAX(Main!$C$4:$C$1048576),"",INDEX(Main!N$4:N$1048576,MATCH(ROW(G15),Main!$C$4:$C$1048576,0))),"")</f>
        <v>99999990001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クラスターNo.991</v>
      </c>
      <c r="M17" s="4" t="str">
        <f>TEXT(IF(ROW(A15)&gt;MAX(Main!$D$4:$D$1048576),"",INDEX(Main!Q$4:Q$1048576,MATCH(ROW(A15),Main!$D$4:$D$1048576,0))), "yyyy/m/d")</f>
        <v>2023/4/20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99999991008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酒田市</v>
      </c>
      <c r="S17" s="9" t="str">
        <f>IF(ROW(G15)&gt;MAX(Main!$D$4:$D$1048576),"",INDEX(Main!K$4:K$1048576,MATCH(ROW(G15),Main!$D$4:$D$1048576,0)))</f>
        <v>99999990001関連</v>
      </c>
      <c r="T17" s="1">
        <f>IF(S17&lt;&gt;"",IF(ROW(G15)&gt;MAX(Main!$D$4:$D$1048576),"",INDEX(Main!N$4:N$1048576,MATCH(ROW(G15),Main!$D$4:$D$1048576,0))),"")</f>
        <v>99999990001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2023/4/20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99999991009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酒田市</v>
      </c>
      <c r="H18" s="10" t="str">
        <f>IF(ROW(G16)&gt;MAX(Main!$C$4:$C$1048576),"",INDEX(Main!K$4:K$1048576,MATCH(ROW(G16),Main!$C$4:$C$1048576,0)))</f>
        <v>99999990001関連</v>
      </c>
      <c r="I18" s="1">
        <f>IF(H18&lt;&gt;"",IF(ROW(G16)&gt;MAX(Main!$C$4:$C$1048576),"",INDEX(Main!N$4:N$1048576,MATCH(ROW(G16),Main!$C$4:$C$1048576,0))),"")</f>
        <v>99999990001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クラスターNo.991</v>
      </c>
      <c r="M18" s="4" t="str">
        <f>TEXT(IF(ROW(A16)&gt;MAX(Main!$D$4:$D$1048576),"",INDEX(Main!Q$4:Q$1048576,MATCH(ROW(A16),Main!$D$4:$D$1048576,0))), "yyyy/m/d")</f>
        <v>2023/4/20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99999991009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酒田市</v>
      </c>
      <c r="S18" s="9" t="str">
        <f>IF(ROW(G16)&gt;MAX(Main!$D$4:$D$1048576),"",INDEX(Main!K$4:K$1048576,MATCH(ROW(G16),Main!$D$4:$D$1048576,0)))</f>
        <v>99999990001関連</v>
      </c>
      <c r="T18" s="1">
        <f>IF(S18&lt;&gt;"",IF(ROW(G16)&gt;MAX(Main!$D$4:$D$1048576),"",INDEX(Main!N$4:N$1048576,MATCH(ROW(G16),Main!$D$4:$D$1048576,0))),"")</f>
        <v>99999990001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2023/4/20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99999991010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酒田市</v>
      </c>
      <c r="H19" s="10" t="str">
        <f>IF(ROW(G17)&gt;MAX(Main!$C$4:$C$1048576),"",INDEX(Main!K$4:K$1048576,MATCH(ROW(G17),Main!$C$4:$C$1048576,0)))</f>
        <v>99999990001関連</v>
      </c>
      <c r="I19" s="1">
        <f>IF(H19&lt;&gt;"",IF(ROW(G17)&gt;MAX(Main!$C$4:$C$1048576),"",INDEX(Main!N$4:N$1048576,MATCH(ROW(G17),Main!$C$4:$C$1048576,0))),"")</f>
        <v>99999990001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クラスターNo.991</v>
      </c>
      <c r="M19" s="4" t="str">
        <f>TEXT(IF(ROW(A17)&gt;MAX(Main!$D$4:$D$1048576),"",INDEX(Main!Q$4:Q$1048576,MATCH(ROW(A17),Main!$D$4:$D$1048576,0))), "yyyy/m/d")</f>
        <v>2023/4/20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99999991010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酒田市</v>
      </c>
      <c r="S19" s="9" t="str">
        <f>IF(ROW(G17)&gt;MAX(Main!$D$4:$D$1048576),"",INDEX(Main!K$4:K$1048576,MATCH(ROW(G17),Main!$D$4:$D$1048576,0)))</f>
        <v>99999990001関連</v>
      </c>
      <c r="T19" s="1">
        <f>IF(S19&lt;&gt;"",IF(ROW(G17)&gt;MAX(Main!$D$4:$D$1048576),"",INDEX(Main!N$4:N$1048576,MATCH(ROW(G17),Main!$D$4:$D$1048576,0))),"")</f>
        <v>99999990001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2023/4/20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99999991011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酒田市</v>
      </c>
      <c r="H20" s="10" t="str">
        <f>IF(ROW(G18)&gt;MAX(Main!$C$4:$C$1048576),"",INDEX(Main!K$4:K$1048576,MATCH(ROW(G18),Main!$C$4:$C$1048576,0)))</f>
        <v>99999990001関連</v>
      </c>
      <c r="I20" s="1">
        <f>IF(H20&lt;&gt;"",IF(ROW(G18)&gt;MAX(Main!$C$4:$C$1048576),"",INDEX(Main!N$4:N$1048576,MATCH(ROW(G18),Main!$C$4:$C$1048576,0))),"")</f>
        <v>99999990001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クラスターNo.991</v>
      </c>
      <c r="M20" s="4" t="str">
        <f>TEXT(IF(ROW(A18)&gt;MAX(Main!$D$4:$D$1048576),"",INDEX(Main!Q$4:Q$1048576,MATCH(ROW(A18),Main!$D$4:$D$1048576,0))), "yyyy/m/d")</f>
        <v>2023/4/20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99999991011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酒田市</v>
      </c>
      <c r="S20" s="9" t="str">
        <f>IF(ROW(G18)&gt;MAX(Main!$D$4:$D$1048576),"",INDEX(Main!K$4:K$1048576,MATCH(ROW(G18),Main!$D$4:$D$1048576,0)))</f>
        <v>99999990001関連</v>
      </c>
      <c r="T20" s="1">
        <f>IF(S20&lt;&gt;"",IF(ROW(G18)&gt;MAX(Main!$D$4:$D$1048576),"",INDEX(Main!N$4:N$1048576,MATCH(ROW(G18),Main!$D$4:$D$1048576,0))),"")</f>
        <v>99999990001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2023/4/20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99999991012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酒田市</v>
      </c>
      <c r="H21" s="10" t="str">
        <f>IF(ROW(G19)&gt;MAX(Main!$C$4:$C$1048576),"",INDEX(Main!K$4:K$1048576,MATCH(ROW(G19),Main!$C$4:$C$1048576,0)))</f>
        <v>99999990001関連</v>
      </c>
      <c r="I21" s="1">
        <f>IF(H21&lt;&gt;"",IF(ROW(G19)&gt;MAX(Main!$C$4:$C$1048576),"",INDEX(Main!N$4:N$1048576,MATCH(ROW(G19),Main!$C$4:$C$1048576,0))),"")</f>
        <v>99999990001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クラスターNo.991</v>
      </c>
      <c r="M21" s="4" t="str">
        <f>TEXT(IF(ROW(A19)&gt;MAX(Main!$D$4:$D$1048576),"",INDEX(Main!Q$4:Q$1048576,MATCH(ROW(A19),Main!$D$4:$D$1048576,0))), "yyyy/m/d")</f>
        <v>2023/4/20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99999991012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酒田市</v>
      </c>
      <c r="S21" s="9" t="str">
        <f>IF(ROW(G19)&gt;MAX(Main!$D$4:$D$1048576),"",INDEX(Main!K$4:K$1048576,MATCH(ROW(G19),Main!$D$4:$D$1048576,0)))</f>
        <v>99999990001関連</v>
      </c>
      <c r="T21" s="1">
        <f>IF(S21&lt;&gt;"",IF(ROW(G19)&gt;MAX(Main!$D$4:$D$1048576),"",INDEX(Main!N$4:N$1048576,MATCH(ROW(G19),Main!$D$4:$D$1048576,0))),"")</f>
        <v>99999990001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2023/4/20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99999991013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酒田市</v>
      </c>
      <c r="H22" s="10" t="str">
        <f>IF(ROW(G20)&gt;MAX(Main!$C$4:$C$1048576),"",INDEX(Main!K$4:K$1048576,MATCH(ROW(G20),Main!$C$4:$C$1048576,0)))</f>
        <v>99999990001関連</v>
      </c>
      <c r="I22" s="1">
        <f>IF(H22&lt;&gt;"",IF(ROW(G20)&gt;MAX(Main!$C$4:$C$1048576),"",INDEX(Main!N$4:N$1048576,MATCH(ROW(G20),Main!$C$4:$C$1048576,0))),"")</f>
        <v>99999990001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クラスターNo.991</v>
      </c>
      <c r="M22" s="4" t="str">
        <f>TEXT(IF(ROW(A20)&gt;MAX(Main!$D$4:$D$1048576),"",INDEX(Main!Q$4:Q$1048576,MATCH(ROW(A20),Main!$D$4:$D$1048576,0))), "yyyy/m/d")</f>
        <v>2023/4/20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99999991013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酒田市</v>
      </c>
      <c r="S22" s="9" t="str">
        <f>IF(ROW(G20)&gt;MAX(Main!$D$4:$D$1048576),"",INDEX(Main!K$4:K$1048576,MATCH(ROW(G20),Main!$D$4:$D$1048576,0)))</f>
        <v>99999990001関連</v>
      </c>
      <c r="T22" s="1">
        <f>IF(S22&lt;&gt;"",IF(ROW(G20)&gt;MAX(Main!$D$4:$D$1048576),"",INDEX(Main!N$4:N$1048576,MATCH(ROW(G20),Main!$D$4:$D$1048576,0))),"")</f>
        <v>99999990001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2023/4/20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99999991014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酒田市</v>
      </c>
      <c r="H23" s="10" t="str">
        <f>IF(ROW(G21)&gt;MAX(Main!$C$4:$C$1048576),"",INDEX(Main!K$4:K$1048576,MATCH(ROW(G21),Main!$C$4:$C$1048576,0)))</f>
        <v>99999990001関連</v>
      </c>
      <c r="I23" s="1">
        <f>IF(H23&lt;&gt;"",IF(ROW(G21)&gt;MAX(Main!$C$4:$C$1048576),"",INDEX(Main!N$4:N$1048576,MATCH(ROW(G21),Main!$C$4:$C$1048576,0))),"")</f>
        <v>99999990001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クラスターNo.991</v>
      </c>
      <c r="M23" s="4" t="str">
        <f>TEXT(IF(ROW(A21)&gt;MAX(Main!$D$4:$D$1048576),"",INDEX(Main!Q$4:Q$1048576,MATCH(ROW(A21),Main!$D$4:$D$1048576,0))), "yyyy/m/d")</f>
        <v>2023/4/20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99999991014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酒田市</v>
      </c>
      <c r="S23" s="9" t="str">
        <f>IF(ROW(G21)&gt;MAX(Main!$D$4:$D$1048576),"",INDEX(Main!K$4:K$1048576,MATCH(ROW(G21),Main!$D$4:$D$1048576,0)))</f>
        <v>99999990001関連</v>
      </c>
      <c r="T23" s="1">
        <f>IF(S23&lt;&gt;"",IF(ROW(G21)&gt;MAX(Main!$D$4:$D$1048576),"",INDEX(Main!N$4:N$1048576,MATCH(ROW(G21),Main!$D$4:$D$1048576,0))),"")</f>
        <v>99999990001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2023/4/20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99999991015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99999990001関連</v>
      </c>
      <c r="I24" s="1">
        <f>IF(H24&lt;&gt;"",IF(ROW(G22)&gt;MAX(Main!$C$4:$C$1048576),"",INDEX(Main!N$4:N$1048576,MATCH(ROW(G22),Main!$C$4:$C$1048576,0))),"")</f>
        <v>99999990001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クラスターNo.991</v>
      </c>
      <c r="M24" s="4" t="str">
        <f>TEXT(IF(ROW(A22)&gt;MAX(Main!$D$4:$D$1048576),"",INDEX(Main!Q$4:Q$1048576,MATCH(ROW(A22),Main!$D$4:$D$1048576,0))), "yyyy/m/d")</f>
        <v>2023/4/20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99999991015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99999990001関連</v>
      </c>
      <c r="T24" s="1">
        <f>IF(S24&lt;&gt;"",IF(ROW(G22)&gt;MAX(Main!$D$4:$D$1048576),"",INDEX(Main!N$4:N$1048576,MATCH(ROW(G22),Main!$D$4:$D$1048576,0))),"")</f>
        <v>99999990001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2023/4/20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99999991016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99999990001関連</v>
      </c>
      <c r="I25" s="1">
        <f>IF(H25&lt;&gt;"",IF(ROW(G23)&gt;MAX(Main!$C$4:$C$1048576),"",INDEX(Main!N$4:N$1048576,MATCH(ROW(G23),Main!$C$4:$C$1048576,0))),"")</f>
        <v>99999990001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クラスターNo.991</v>
      </c>
      <c r="M25" s="4" t="str">
        <f>TEXT(IF(ROW(A23)&gt;MAX(Main!$D$4:$D$1048576),"",INDEX(Main!Q$4:Q$1048576,MATCH(ROW(A23),Main!$D$4:$D$1048576,0))), "yyyy/m/d")</f>
        <v>2023/4/20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99999991016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99999990001関連</v>
      </c>
      <c r="T25" s="1">
        <f>IF(S25&lt;&gt;"",IF(ROW(G23)&gt;MAX(Main!$D$4:$D$1048576),"",INDEX(Main!N$4:N$1048576,MATCH(ROW(G23),Main!$D$4:$D$1048576,0))),"")</f>
        <v>99999990001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2023/4/20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99999992001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山形市</v>
      </c>
      <c r="H26" s="10" t="str">
        <f>IF(ROW(G24)&gt;MAX(Main!$C$4:$C$1048576),"",INDEX(Main!K$4:K$1048576,MATCH(ROW(G24),Main!$C$4:$C$1048576,0)))</f>
        <v>99999992001介護施設</v>
      </c>
      <c r="I26" s="1">
        <f>IF(H26&lt;&gt;"",IF(ROW(G24)&gt;MAX(Main!$C$4:$C$1048576),"",INDEX(Main!N$4:N$1048576,MATCH(ROW(G24),Main!$C$4:$C$1048576,0))),"")</f>
        <v>99999992001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介護施設</v>
      </c>
      <c r="K26" s="27" t="str">
        <f t="shared" si="1"/>
        <v>クラスターNo.992</v>
      </c>
      <c r="M26" s="4" t="str">
        <f>TEXT(IF(ROW(A24)&gt;MAX(Main!$D$4:$D$1048576),"",INDEX(Main!Q$4:Q$1048576,MATCH(ROW(A24),Main!$D$4:$D$1048576,0))), "yyyy/m/d")</f>
        <v>2023/4/20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99999992001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山形市</v>
      </c>
      <c r="S26" s="9" t="str">
        <f>IF(ROW(G24)&gt;MAX(Main!$D$4:$D$1048576),"",INDEX(Main!K$4:K$1048576,MATCH(ROW(G24),Main!$D$4:$D$1048576,0)))</f>
        <v>99999992001介護施設</v>
      </c>
      <c r="T26" s="1">
        <f>IF(S26&lt;&gt;"",IF(ROW(G24)&gt;MAX(Main!$D$4:$D$1048576),"",INDEX(Main!N$4:N$1048576,MATCH(ROW(G24),Main!$D$4:$D$1048576,0))),"")</f>
        <v>99999992001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介護施設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99999990001,
            "date": "2023/4/20",
            "label": "クラスターNo.990\n2023/4/20\n米沢市\n-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99999990002,
            "date": "2023/4/20",
            "label": "クラスターNo.990\n2023/4/20\n米沢市\n-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99999990003,
            "date": "2023/4/20",
            "label": "クラスターNo.990\n2023/4/20\n米沢市\n-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99999990004,
            "date": "2023/4/20",
            "label": "クラスターNo.990\n2023/4/20\n米沢市\n-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99999990005,
            "date": "2023/4/20",
            "label": "クラスターNo.990\n2023/4/20\n米沢市\n-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99999990006,
            "date": "2023/4/20",
            "label": "クラスターNo.990\n2023/4/20\n米沢市\n-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99999990007,
            "date": "2023/4/20",
            "label": "クラスターNo.990\n2023/4/20\n米沢市\n-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99999991001,
            "date": "2023/4/20",
            "label": "クラスターNo.991\n2023/4/20\n酒田市\n-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99999991002,
            "date": "2023/4/20",
            "label": "クラスターNo.991\n2023/4/20\n酒田市\n- ー"
        },
        "classes": ["multiline-manual", "else"]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99999991003,
            "date": "2023/4/20",
            "label": "クラスターNo.991\n2023/4/20\n酒田市\n-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99999991004,
            "date": "2023/4/20",
            "label": "クラスターNo.991\n2023/4/20\n酒田市\n-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99999991005,
            "date": "2023/4/20",
            "label": "クラスターNo.991\n2023/4/20\n酒田市\n-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99999991006,
            "date": "2023/4/20",
            "label": "クラスターNo.991\n2023/4/20\n酒田市\n-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99999991007,
            "date": "2023/4/20",
            "label": "クラスターNo.991\n2023/4/20\n酒田市\n-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99999991008,
            "date": "2023/4/20",
            "label": "クラスターNo.991\n2023/4/20\n酒田市\n-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99999991009,
            "date": "2023/4/20",
            "label": "クラスターNo.991\n2023/4/20\n酒田市\n-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99999991010,
            "date": "2023/4/20",
            "label": "クラスターNo.991\n2023/4/20\n酒田市\n-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99999991011,
            "date": "2023/4/20",
            "label": "クラスターNo.991\n2023/4/20\n酒田市\n-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99999991012,
            "date": "2023/4/20",
            "label": "クラスターNo.991\n2023/4/20\n酒田市\n-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99999991013,
            "date": "2023/4/20",
            "label": "クラスターNo.991\n2023/4/20\n酒田市\n-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99999991014,
            "date": "2023/4/20",
            "label": "クラスターNo.991\n2023/4/20\n酒田市\n-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99999991015,
            "date": "2023/4/20",
            "label": "クラスターNo.991\n2023/4/20\n酒田市\n-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99999991016,
            "date": "2023/4/20",
            "label": "クラスターNo.991\n2023/4/20\n酒田市\n-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99999992001,
            "date": "2023/4/20",
            "label": "クラスターNo.992\n2023/4/20\n山形市\n- ー"
        },
        "classes": ["multiline-manual", "else"]
    }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"99999990001",
            "target": "99999990001",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"99999990002",
            "target": "99999990001",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"99999990003",
            "target": "99999990001",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"99999990004",
            "target": "99999990001",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"99999990005",
            "target": "99999990001",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"99999990006",
            "target": "99999990001",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"99999990007",
            "target": "99999990001",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"99999991001",
            "target": "99999991001",
            "label": "介護施設"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"99999991002",
            "target": "99999990001",
            "label": "関連"
        }
    },
</v>
      </c>
    </row>
    <row r="21" spans="2:3" ht="131.25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"99999991003",
            "target": "99999990001",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"99999991004",
            "target": "99999990001",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"99999991005",
            "target": "99999990001",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"99999991006",
            "target": "99999990001",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"99999991007",
            "target": "99999990001",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"99999991008",
            "target": "99999990001",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"99999991009",
            "target": "99999990001",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"99999991010",
            "target": "99999990001",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"99999991011",
            "target": "99999990001",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"99999991012",
            "target": "99999990001",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"99999991013",
            "target": "99999990001",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"99999991014",
            "target": "99999990001",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"99999991015",
            "target": "99999990001",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"99999991016",
            "target": "99999990001",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"99999992001",
            "target": "99999992001",
            "label": "介護施設"
        }
    }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I14" sqref="I14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"lastUpdate":"2023/4/20 21:47"}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2023-04-20T12:50:16Z</dcterms:modified>
</cp:coreProperties>
</file>