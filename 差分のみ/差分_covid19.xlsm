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FCADE51A-B1D0-400A-BBDC-5F82714CF32C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G13" i="1" s="1"/>
  <c r="S12" i="1"/>
  <c r="S11" i="1"/>
  <c r="AB14" i="1"/>
  <c r="AB13" i="1"/>
  <c r="AB12" i="1"/>
  <c r="S10" i="1"/>
  <c r="AB15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0" i="1" l="1"/>
  <c r="AB11" i="1"/>
  <c r="K21" i="1"/>
  <c r="M21" i="1" s="1" a="1"/>
  <c r="M21" i="1" s="1"/>
  <c r="O21" i="1" s="1"/>
  <c r="K29" i="1"/>
  <c r="K19" i="1"/>
  <c r="M19" i="1" s="1" a="1"/>
  <c r="M19" i="1" s="1"/>
  <c r="O19" i="1" s="1"/>
  <c r="K32" i="1"/>
  <c r="K15" i="1"/>
  <c r="M15" i="1" s="1" a="1"/>
  <c r="M15" i="1" s="1"/>
  <c r="O15" i="1" s="1"/>
  <c r="K16" i="1"/>
  <c r="L16" i="1" s="1"/>
  <c r="K26" i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76" i="1"/>
  <c r="K22" i="1"/>
  <c r="L22" i="1" s="1"/>
  <c r="K35" i="1"/>
  <c r="L35" i="1" s="1"/>
  <c r="K66" i="1"/>
  <c r="K101" i="1"/>
  <c r="K113" i="1"/>
  <c r="F80" i="1"/>
  <c r="K102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K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N100" i="1" l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68" i="1" l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R71" i="3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R40" i="3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O17" i="3"/>
  <c r="P17" i="3" s="1"/>
  <c r="Q17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N16" i="3"/>
  <c r="O16" i="3" s="1"/>
  <c r="P16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11" i="3"/>
  <c r="P11" i="3" s="1"/>
  <c r="Q11" i="3" s="1"/>
  <c r="R114" i="3"/>
  <c r="O8" i="3"/>
  <c r="P8" i="3" s="1"/>
  <c r="Q8" i="3" s="1"/>
  <c r="O5" i="3"/>
  <c r="P5" i="3" s="1"/>
  <c r="Q5" i="3" s="1"/>
  <c r="S85" i="3"/>
  <c r="T85" i="3" s="1"/>
  <c r="U85" i="3" s="1"/>
  <c r="R60" i="3"/>
  <c r="S36" i="3"/>
  <c r="T36" i="3" s="1"/>
  <c r="U36" i="3" s="1"/>
  <c r="R151" i="3"/>
  <c r="R193" i="3"/>
  <c r="R184" i="3"/>
  <c r="R50" i="3"/>
  <c r="R72" i="3"/>
  <c r="M193" i="3"/>
  <c r="N193" i="3" s="1"/>
  <c r="O193" i="3" s="1"/>
  <c r="P193" i="3" s="1"/>
  <c r="Q193" i="3" s="1"/>
  <c r="R103" i="3"/>
  <c r="R183" i="3"/>
  <c r="R137" i="3"/>
  <c r="S186" i="3"/>
  <c r="T186" i="3" s="1"/>
  <c r="U186" i="3" s="1"/>
  <c r="R89" i="3"/>
  <c r="O18" i="3"/>
  <c r="P18" i="3" s="1"/>
  <c r="Q18" i="3" s="1"/>
  <c r="O4" i="3"/>
  <c r="P4" i="3" s="1"/>
  <c r="Q4" i="3" s="1"/>
  <c r="R49" i="3"/>
  <c r="S75" i="3"/>
  <c r="T75" i="3" s="1"/>
  <c r="U75" i="3" s="1"/>
  <c r="R84" i="3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R70" i="3"/>
  <c r="R92" i="3"/>
  <c r="R157" i="3"/>
  <c r="O15" i="3"/>
  <c r="P15" i="3" s="1"/>
  <c r="Q15" i="3" s="1"/>
  <c r="R175" i="3"/>
  <c r="R129" i="3"/>
  <c r="O12" i="3"/>
  <c r="P12" i="3" s="1"/>
  <c r="Q12" i="3" s="1"/>
  <c r="O10" i="3"/>
  <c r="P10" i="3" s="1"/>
  <c r="Q10" i="3" s="1"/>
  <c r="R112" i="3"/>
  <c r="O6" i="3"/>
  <c r="P6" i="3" s="1"/>
  <c r="Q6" i="3" s="1"/>
  <c r="R78" i="3"/>
  <c r="M13" i="3"/>
  <c r="N13" i="3" s="1"/>
  <c r="O13" i="3" s="1"/>
  <c r="P13" i="3" s="1"/>
  <c r="R199" i="3"/>
  <c r="R8" i="3"/>
  <c r="R158" i="3"/>
  <c r="R192" i="3"/>
  <c r="O7" i="3"/>
  <c r="P7" i="3" s="1"/>
  <c r="Q7" i="3" s="1"/>
  <c r="R48" i="3"/>
  <c r="C50" i="1"/>
  <c r="Q9" i="3" l="1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6" i="5" a="1"/>
  <c r="C17" i="5" a="1"/>
  <c r="C13" i="5" a="1"/>
  <c r="C15" i="5" a="1"/>
  <c r="C14" i="5" a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12" i="5"/>
  <c r="C16" i="5"/>
  <c r="C14" i="5"/>
  <c r="C15" i="5"/>
  <c r="C52" i="1"/>
  <c r="C18" i="5" a="1"/>
  <c r="C18" i="5" l="1"/>
  <c r="C53" i="1"/>
  <c r="C54" i="1" s="1"/>
  <c r="C19" i="5" a="1"/>
  <c r="C19" i="5" l="1"/>
  <c r="C55" i="1"/>
  <c r="C56" i="1" s="1"/>
  <c r="C20" i="5" a="1"/>
  <c r="C20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1" i="5" a="1"/>
  <c r="C21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D17" i="3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D111" i="3"/>
  <c r="E111" i="3" s="1"/>
  <c r="F111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J26" i="3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D83" i="3"/>
  <c r="E83" i="3" s="1"/>
  <c r="F83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B33" i="3"/>
  <c r="C33" i="3" s="1"/>
  <c r="K33" i="3" s="1"/>
  <c r="D31" i="3"/>
  <c r="E31" i="3" s="1"/>
  <c r="F31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D109" i="3"/>
  <c r="E109" i="3" s="1"/>
  <c r="F109" i="3" s="1"/>
  <c r="D134" i="3"/>
  <c r="E134" i="3" s="1"/>
  <c r="F134" i="3" s="1"/>
  <c r="D163" i="3"/>
  <c r="E163" i="3" s="1"/>
  <c r="F163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73" i="3"/>
  <c r="E73" i="3" s="1"/>
  <c r="F73" i="3" s="1"/>
  <c r="D52" i="3"/>
  <c r="E52" i="3" s="1"/>
  <c r="F52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D126" i="3"/>
  <c r="E126" i="3" s="1"/>
  <c r="F126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D42" i="3"/>
  <c r="E42" i="3" s="1"/>
  <c r="F42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D125" i="3"/>
  <c r="E125" i="3" s="1"/>
  <c r="F125" i="3" s="1"/>
  <c r="B68" i="3"/>
  <c r="C68" i="3" s="1"/>
  <c r="K68" i="3" s="1"/>
  <c r="H99" i="3"/>
  <c r="I99" i="3" s="1"/>
  <c r="J99" i="3" s="1"/>
  <c r="H55" i="3"/>
  <c r="I55" i="3" s="1"/>
  <c r="J55" i="3" s="1"/>
  <c r="D5" i="3"/>
  <c r="B91" i="3"/>
  <c r="C91" i="3" s="1"/>
  <c r="K91" i="3" s="1"/>
  <c r="H115" i="3"/>
  <c r="I115" i="3" s="1"/>
  <c r="J115" i="3" s="1"/>
  <c r="B71" i="3"/>
  <c r="C71" i="3" s="1"/>
  <c r="K71" i="3" s="1"/>
  <c r="D8" i="3"/>
  <c r="B70" i="3"/>
  <c r="C70" i="3" s="1"/>
  <c r="K70" i="3" s="1"/>
  <c r="D166" i="3"/>
  <c r="E166" i="3" s="1"/>
  <c r="F166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H73" i="3"/>
  <c r="I73" i="3" s="1"/>
  <c r="J73" i="3" s="1"/>
  <c r="B9" i="3"/>
  <c r="C9" i="3" s="1"/>
  <c r="D9" i="3" s="1"/>
  <c r="E9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E1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B11" i="3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103" i="3"/>
  <c r="E103" i="3" s="1"/>
  <c r="F103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E17" i="3"/>
  <c r="F17" i="3" s="1"/>
  <c r="B78" i="3"/>
  <c r="C78" i="3" s="1"/>
  <c r="K78" i="3" s="1"/>
  <c r="H118" i="3"/>
  <c r="I118" i="3" s="1"/>
  <c r="J118" i="3" s="1"/>
  <c r="B73" i="3"/>
  <c r="C73" i="3" s="1"/>
  <c r="K73" i="3" s="1"/>
  <c r="D72" i="3"/>
  <c r="E72" i="3" s="1"/>
  <c r="F72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D167" i="3"/>
  <c r="E167" i="3" s="1"/>
  <c r="F167" i="3" s="1"/>
  <c r="D108" i="3"/>
  <c r="E108" i="3" s="1"/>
  <c r="F108" i="3" s="1"/>
  <c r="E14" i="3"/>
  <c r="F14" i="3" s="1"/>
  <c r="D54" i="3"/>
  <c r="E54" i="3" s="1"/>
  <c r="F54" i="3" s="1"/>
  <c r="E5" i="3"/>
  <c r="F5" i="3" s="1"/>
  <c r="E8" i="3"/>
  <c r="F8" i="3" s="1"/>
  <c r="E6" i="3"/>
  <c r="F6" i="3" s="1"/>
  <c r="D13" i="3"/>
  <c r="E13" i="3" s="1"/>
  <c r="D4" i="3"/>
  <c r="D79" i="3"/>
  <c r="E79" i="3" s="1"/>
  <c r="F79" i="3" s="1"/>
  <c r="G79" i="3"/>
  <c r="E4" i="3"/>
  <c r="F4" i="3" s="1"/>
  <c r="E11" i="3"/>
  <c r="F11" i="3" s="1"/>
  <c r="D10" i="3"/>
  <c r="E10" i="3" s="1"/>
  <c r="D28" i="3"/>
  <c r="E28" i="3" s="1"/>
  <c r="F28" i="3" s="1"/>
  <c r="D15" i="3"/>
  <c r="E15" i="3" s="1"/>
  <c r="D18" i="3"/>
  <c r="E18" i="3" s="1"/>
  <c r="D51" i="3"/>
  <c r="E51" i="3" s="1"/>
  <c r="F51" i="3" s="1"/>
  <c r="D123" i="3"/>
  <c r="E123" i="3" s="1"/>
  <c r="F123" i="3" s="1"/>
  <c r="D14" i="3"/>
  <c r="D23" i="3"/>
  <c r="E23" i="3" s="1"/>
  <c r="D57" i="3"/>
  <c r="E57" i="3" s="1"/>
  <c r="F57" i="3" s="1"/>
  <c r="C22" i="5" a="1"/>
  <c r="C22" i="5" l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G163" i="3"/>
  <c r="D102" i="3"/>
  <c r="E102" i="3" s="1"/>
  <c r="F102" i="3" s="1"/>
  <c r="G111" i="3"/>
  <c r="D140" i="3"/>
  <c r="E140" i="3" s="1"/>
  <c r="F140" i="3" s="1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G47" i="3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G125" i="3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G123" i="3"/>
  <c r="G126" i="3"/>
  <c r="G124" i="3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G195" i="3"/>
  <c r="D114" i="3"/>
  <c r="E114" i="3" s="1"/>
  <c r="G48" i="3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G38" i="3"/>
  <c r="D184" i="3"/>
  <c r="E184" i="3" s="1"/>
  <c r="F184" i="3" s="1"/>
  <c r="G72" i="3"/>
  <c r="D142" i="3"/>
  <c r="E142" i="3" s="1"/>
  <c r="F142" i="3" s="1"/>
  <c r="D121" i="3"/>
  <c r="E121" i="3" s="1"/>
  <c r="G103" i="3"/>
  <c r="D200" i="3"/>
  <c r="E200" i="3" s="1"/>
  <c r="G109" i="3"/>
  <c r="G181" i="3"/>
  <c r="G31" i="3"/>
  <c r="G60" i="3"/>
  <c r="G51" i="3"/>
  <c r="D64" i="3"/>
  <c r="E64" i="3" s="1"/>
  <c r="D164" i="3"/>
  <c r="E164" i="3" s="1"/>
  <c r="F164" i="3" s="1"/>
  <c r="G83" i="3"/>
  <c r="D95" i="3"/>
  <c r="E95" i="3" s="1"/>
  <c r="D150" i="3"/>
  <c r="E150" i="3" s="1"/>
  <c r="D61" i="3"/>
  <c r="E61" i="3" s="1"/>
  <c r="G84" i="3"/>
  <c r="D193" i="3"/>
  <c r="E193" i="3" s="1"/>
  <c r="D144" i="3"/>
  <c r="E144" i="3" s="1"/>
  <c r="F144" i="3" s="1"/>
  <c r="G186" i="3"/>
  <c r="D173" i="3"/>
  <c r="E173" i="3" s="1"/>
  <c r="G17" i="3"/>
  <c r="G69" i="3"/>
  <c r="D63" i="3"/>
  <c r="E63" i="3" s="1"/>
  <c r="D174" i="3"/>
  <c r="E174" i="3" s="1"/>
  <c r="G74" i="3"/>
  <c r="G87" i="3"/>
  <c r="D70" i="3"/>
  <c r="E70" i="3" s="1"/>
  <c r="G197" i="3"/>
  <c r="D147" i="3"/>
  <c r="E147" i="3" s="1"/>
  <c r="F147" i="3" s="1"/>
  <c r="D53" i="3"/>
  <c r="E53" i="3" s="1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57" i="3"/>
  <c r="G21" i="3"/>
  <c r="D40" i="3"/>
  <c r="E40" i="3" s="1"/>
  <c r="G44" i="3"/>
  <c r="D149" i="3"/>
  <c r="E149" i="3" s="1"/>
  <c r="D176" i="3"/>
  <c r="E176" i="3" s="1"/>
  <c r="F176" i="3" s="1"/>
  <c r="G108" i="3"/>
  <c r="G28" i="3"/>
  <c r="G76" i="3"/>
  <c r="D67" i="3"/>
  <c r="E67" i="3" s="1"/>
  <c r="G52" i="3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129" i="3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G147" i="3"/>
  <c r="D194" i="3"/>
  <c r="E194" i="3" s="1"/>
  <c r="K6" i="3"/>
  <c r="K32" i="3"/>
  <c r="G134" i="3"/>
  <c r="G160" i="3"/>
  <c r="K28" i="3"/>
  <c r="K19" i="3"/>
  <c r="D185" i="3"/>
  <c r="E185" i="3" s="1"/>
  <c r="K12" i="3"/>
  <c r="K23" i="3"/>
  <c r="K7" i="3"/>
  <c r="K21" i="3"/>
  <c r="G138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G130" i="3"/>
  <c r="K29" i="3"/>
  <c r="K20" i="3"/>
  <c r="K8" i="3"/>
  <c r="G135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23" i="5" a="1"/>
  <c r="C18" i="4" a="1"/>
  <c r="C16" i="4" a="1"/>
  <c r="C14" i="4" a="1"/>
  <c r="C17" i="4" a="1"/>
  <c r="C15" i="4" a="1"/>
  <c r="C13" i="4" a="1"/>
  <c r="C23" i="5" l="1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C14" i="4"/>
  <c r="C18" i="4"/>
  <c r="C17" i="4"/>
  <c r="C16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24" i="5" a="1"/>
  <c r="C19" i="4" a="1"/>
  <c r="C19" i="4" l="1"/>
  <c r="C24" i="5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8" i="5" l="1"/>
  <c r="C63" i="4"/>
  <c r="C69" i="5" a="1"/>
  <c r="C64" i="4" a="1"/>
  <c r="C64" i="4" l="1"/>
  <c r="C69" i="5"/>
  <c r="C65" i="4" a="1"/>
  <c r="C70" i="5" a="1"/>
  <c r="C70" i="5" l="1"/>
  <c r="C65" i="4"/>
  <c r="C71" i="5" a="1"/>
  <c r="C66" i="4" a="1"/>
  <c r="C66" i="4" l="1"/>
  <c r="C71" i="5"/>
  <c r="C67" i="4" a="1"/>
  <c r="C72" i="5" a="1"/>
  <c r="C72" i="5" l="1"/>
  <c r="C67" i="4"/>
  <c r="C73" i="5" a="1"/>
  <c r="C68" i="4" a="1"/>
  <c r="C68" i="4" l="1"/>
  <c r="C73" i="5"/>
  <c r="C69" i="4" a="1"/>
  <c r="C74" i="5" a="1"/>
  <c r="C74" i="5" l="1"/>
  <c r="C69" i="4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77" i="4" a="1"/>
  <c r="C82" i="5" a="1"/>
  <c r="C82" i="5" l="1"/>
  <c r="C77" i="4"/>
  <c r="C83" i="5" a="1"/>
  <c r="C78" i="4" a="1"/>
  <c r="C78" i="4" l="1"/>
  <c r="C83" i="5"/>
  <c r="C79" i="4" a="1"/>
  <c r="C84" i="5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87" i="4" a="1"/>
  <c r="C92" i="5" a="1"/>
  <c r="C92" i="5" l="1"/>
  <c r="C87" i="4"/>
  <c r="C93" i="5" a="1"/>
  <c r="C88" i="4" a="1"/>
  <c r="C88" i="4" l="1"/>
  <c r="C93" i="5"/>
  <c r="C89" i="4" a="1"/>
  <c r="C94" i="5" a="1"/>
  <c r="C94" i="5" l="1"/>
  <c r="C89" i="4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3" i="4" a="1"/>
  <c r="C98" i="5" a="1"/>
  <c r="C98" i="5" l="1"/>
  <c r="C93" i="4"/>
  <c r="C99" i="5" a="1"/>
  <c r="C94" i="4" a="1"/>
  <c r="C94" i="4" l="1"/>
  <c r="C99" i="5"/>
  <c r="C95" i="4" a="1"/>
  <c r="C100" i="5" a="1"/>
  <c r="C100" i="5" l="1"/>
  <c r="C95" i="4"/>
  <c r="C101" i="5" a="1"/>
  <c r="C96" i="4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5" i="5" a="1"/>
  <c r="C100" i="4" a="1"/>
  <c r="C100" i="4" l="1"/>
  <c r="C105" i="5"/>
  <c r="C101" i="4" a="1"/>
  <c r="C106" i="5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31" i="5" l="1"/>
  <c r="C126" i="4"/>
  <c r="C132" i="5" a="1"/>
  <c r="C127" i="4" a="1"/>
  <c r="C127" i="4" l="1"/>
  <c r="C132" i="5"/>
  <c r="C128" i="4" a="1"/>
  <c r="C133" i="5" a="1"/>
  <c r="C133" i="5" l="1"/>
  <c r="C128" i="4"/>
  <c r="C134" i="5" a="1"/>
  <c r="C129" i="4" a="1"/>
  <c r="C129" i="4" l="1"/>
  <c r="C134" i="5"/>
  <c r="C130" i="4" a="1"/>
  <c r="C135" i="5" a="1"/>
  <c r="C135" i="5" l="1"/>
  <c r="C130" i="4"/>
  <c r="C136" i="5" a="1"/>
  <c r="C131" i="4" a="1"/>
  <c r="C131" i="4" l="1"/>
  <c r="C136" i="5"/>
  <c r="C132" i="4" a="1"/>
  <c r="C137" i="5" a="1"/>
  <c r="C137" i="5" l="1"/>
  <c r="C132" i="4"/>
  <c r="C138" i="5" a="1"/>
  <c r="C133" i="4" a="1"/>
  <c r="C133" i="4" l="1"/>
  <c r="C138" i="5"/>
  <c r="C134" i="4" a="1"/>
  <c r="C139" i="5" a="1"/>
  <c r="C139" i="5" l="1"/>
  <c r="C134" i="4"/>
  <c r="C140" i="5" a="1"/>
  <c r="C135" i="4" a="1"/>
  <c r="C135" i="4" l="1"/>
  <c r="C140" i="5"/>
  <c r="C136" i="4" a="1"/>
  <c r="C141" i="5" a="1"/>
  <c r="C141" i="5" l="1"/>
  <c r="C136" i="4"/>
  <c r="C142" i="5" a="1"/>
  <c r="C137" i="4" a="1"/>
  <c r="C137" i="4" l="1"/>
  <c r="C142" i="5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6" i="5" a="1"/>
  <c r="C141" i="4" a="1"/>
  <c r="C141" i="4" l="1"/>
  <c r="C146" i="5"/>
  <c r="C142" i="4" a="1"/>
  <c r="C147" i="5" a="1"/>
  <c r="C147" i="5" l="1"/>
  <c r="C142" i="4"/>
  <c r="C148" i="5" a="1"/>
  <c r="C143" i="4" a="1"/>
  <c r="C143" i="4" l="1"/>
  <c r="C148" i="5"/>
  <c r="C144" i="4" a="1"/>
  <c r="C149" i="5" a="1"/>
  <c r="C149" i="5" l="1"/>
  <c r="C144" i="4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80" i="5" a="1"/>
  <c r="C175" i="4" a="1"/>
  <c r="C175" i="4" l="1"/>
  <c r="C180" i="5"/>
  <c r="C176" i="4" a="1"/>
  <c r="C181" i="5" a="1"/>
  <c r="C181" i="5" l="1"/>
  <c r="C176" i="4"/>
  <c r="C182" i="5" a="1"/>
  <c r="C177" i="4" a="1"/>
  <c r="C177" i="4" l="1"/>
  <c r="C182" i="5"/>
  <c r="C178" i="4" a="1"/>
  <c r="C183" i="5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88" i="4" a="1"/>
  <c r="C193" i="5" a="1"/>
  <c r="C193" i="5" l="1"/>
  <c r="C188" i="4"/>
  <c r="C194" i="5" a="1"/>
  <c r="C189" i="4" a="1"/>
  <c r="C189" i="4" l="1"/>
  <c r="C194" i="5"/>
  <c r="C190" i="4" a="1"/>
  <c r="C195" i="5" a="1"/>
  <c r="C195" i="5" l="1"/>
  <c r="C190" i="4"/>
  <c r="C196" i="5" a="1"/>
  <c r="C191" i="4" a="1"/>
  <c r="C191" i="4" l="1"/>
  <c r="C196" i="5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<sst xmlns="http://schemas.openxmlformats.org/spreadsheetml/2006/main" count="1264" uniqueCount="447">
  <si>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</si>
  <si>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</si>
  <si>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</si>
  <si>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</si>
  <si>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</si>
  <si>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</si>
  <si>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</si>
  <si>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</si>
  <si>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</si>
  <si>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</si>
  <si>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</si>
  <si>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</si>
  <si>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</si>
  <si>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</si>
  <si>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</si>
  <si>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</si>
  <si>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</si>
  <si>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</si>
  <si>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</si>
  <si>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</si>
  <si>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</si>
  <si>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</si>
  <si>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</si>
  <si>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</si>
  <si>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</si>
  <si>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</si>
  <si>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</si>
  <si>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</si>
  <si>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</si>
  <si>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</si>
  <si>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</si>
  <si>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</si>
  <si>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</si>
  <si>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</si>
  <si>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</si>
  <si>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</si>
  <si>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</si>
  <si>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</si>
  <si>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</si>
  <si>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</si>
  <si>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</si>
  <si>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</si>
  <si>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</si>
  <si>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</si>
  <si>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</si>
  <si>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</si>
  <si>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</si>
  <si>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</si>
  <si>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</si>
  <si>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</si>
  <si>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</si>
  <si>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</si>
  <si>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</si>
  <si>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</si>
  <si>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</si>
  <si>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</si>
  <si>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</si>
  <si>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</si>
  <si>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</si>
  <si>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</si>
  <si>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</si>
  <si>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</si>
  <si>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</si>
  <si>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</si>
  <si>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</si>
  <si>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</si>
  <si>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</si>
  <si>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</si>
  <si>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</si>
  <si>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</si>
  <si>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</si>
  <si>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</si>
  <si>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</si>
  <si>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</si>
  <si>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</si>
  <si>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</si>
  <si>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</si>
  <si>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</si>
  <si>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</si>
  <si>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</si>
  <si>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</si>
  <si>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</si>
  <si>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</si>
  <si>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</si>
  <si>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</si>
  <si>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</si>
  <si>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</si>
  <si>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</si>
  <si>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</si>
  <si>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</si>
  <si>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</si>
  <si>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</si>
  <si>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</si>
  <si>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</si>
  <si>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</si>
  <si>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</si>
  <si>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</si>
  <si>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</si>
  <si>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</si>
  <si>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</si>
  <si>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</si>
  <si>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</si>
  <si>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</si>
  <si>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</si>
  <si>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</si>
  <si>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</si>
  <si>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</si>
  <si>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</si>
  <si>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</si>
  <si>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</si>
  <si>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</si>
  <si>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</si>
  <si>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</si>
  <si>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</si>
  <si>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</si>
  <si>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</si>
  <si>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</si>
  <si>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</si>
  <si>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</si>
  <si>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</si>
  <si>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</si>
  <si>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</si>
  <si>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</si>
  <si>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</si>
  <si>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</si>
  <si>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</si>
  <si>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</si>
  <si>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</si>
  <si>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</si>
  <si>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</si>
  <si>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</si>
  <si>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</si>
  <si>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</si>
  <si>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</si>
  <si>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</si>
  <si>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</si>
  <si>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</si>
  <si>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</si>
  <si>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</si>
  <si>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</si>
  <si>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</si>
  <si>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</si>
  <si>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</si>
  <si>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</si>
  <si>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</si>
  <si>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</si>
  <si>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</si>
  <si>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</si>
  <si>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</si>
  <si>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</si>
  <si>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</si>
  <si>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</si>
  <si>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</si>
  <si>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</si>
  <si>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</si>
  <si>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</si>
  <si>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</si>
  <si>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</si>
  <si>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</si>
  <si>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</si>
  <si>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</si>
  <si>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</si>
  <si>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</si>
  <si>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</si>
  <si>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</si>
  <si>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</si>
  <si>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</si>
  <si>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</si>
  <si>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</si>
  <si>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</si>
  <si>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</si>
  <si>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</si>
  <si>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</si>
  <si>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</si>
  <si>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</si>
  <si>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</si>
  <si>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</si>
  <si>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</si>
  <si>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</si>
  <si>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</si>
  <si>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</si>
  <si>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</si>
  <si>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</si>
  <si>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</si>
  <si>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</si>
  <si>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</si>
  <si>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</si>
  <si>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</si>
  <si>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</si>
  <si>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</si>
  <si>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</si>
  <si>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</si>
  <si>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</si>
  <si>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</si>
  <si>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</si>
  <si>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</si>
  <si>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</si>
  <si>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</si>
  <si>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</si>
  <si>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</si>
  <si>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</si>
  <si>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</si>
  <si>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</si>
  <si>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</si>
  <si>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</si>
  <si>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</si>
  <si>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</si>
  <si>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</si>
  <si>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</si>
  <si>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</si>
  <si>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</si>
  <si>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</si>
  <si>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</si>
  <si>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</si>
  <si>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</si>
  <si>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</si>
  <si>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</si>
  <si>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</si>
  <si>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</si>
  <si>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</si>
  <si>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</si>
  <si>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</si>
  <si>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</si>
  <si>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</si>
  <si>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</si>
  <si>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</si>
  <si>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</si>
  <si>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</si>
  <si>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</si>
  <si>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</si>
  <si>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</si>
  <si>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</si>
  <si>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</si>
  <si>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</si>
  <si>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</si>
  <si>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</si>
  <si>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</si>
  <si>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</si>
  <si>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</si>
  <si>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</si>
  <si>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</si>
  <si>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</si>
  <si>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</si>
  <si>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</si>
  <si>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</si>
  <si>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</si>
  <si>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</si>
  <si>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</si>
  <si>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</si>
  <si>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</si>
  <si>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</si>
  <si>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</si>
  <si>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</si>
  <si>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</si>
  <si>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</si>
  <si>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</si>
  <si>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</si>
  <si>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</si>
  <si>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</si>
  <si>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</si>
  <si>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</si>
  <si>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</si>
  <si>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</si>
  <si>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</si>
  <si>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</si>
  <si>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</si>
  <si>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</si>
  <si>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</si>
  <si>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</si>
  <si>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</si>
  <si>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</si>
  <si>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</si>
  <si>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</si>
  <si>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</si>
  <si>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</si>
  <si>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</si>
  <si>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</si>
  <si>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</si>
  <si>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</si>
  <si>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</si>
  <si>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</si>
  <si>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</si>
  <si>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</si>
  <si>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</si>
  <si>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</si>
  <si>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</si>
  <si>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</si>
  <si>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</si>
  <si>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</si>
  <si>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</si>
  <si>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</si>
  <si>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</si>
  <si>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</si>
  <si>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</si>
  <si>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</si>
  <si>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</si>
  <si>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</si>
  <si>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</si>
  <si>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</si>
  <si>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</si>
  <si>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</si>
  <si>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</si>
  <si>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</si>
  <si>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</si>
  <si>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</si>
  <si>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</si>
  <si>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</si>
  <si>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</si>
  <si>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</si>
  <si>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</si>
  <si>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</si>
  <si>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</si>
  <si>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</si>
  <si>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</si>
  <si>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</si>
  <si>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</si>
  <si>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</si>
  <si>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</si>
  <si>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</si>
  <si>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</si>
  <si>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</si>
  <si>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</si>
  <si>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</si>
  <si>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</si>
  <si>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</si>
  <si>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</si>
  <si>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</si>
  <si>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</si>
  <si>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</si>
  <si>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</si>
  <si>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</si>
  <si>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</si>
  <si>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</si>
  <si>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</si>
  <si>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</si>
  <si>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</si>
  <si>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</si>
  <si>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</si>
  <si>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</si>
  <si>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</si>
  <si>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</si>
  <si>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</si>
  <si>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</si>
  <si>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</si>
  <si>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</si>
  <si>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</si>
  <si>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</si>
  <si>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</si>
  <si>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</si>
  <si>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</si>
  <si>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</si>
  <si>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</si>
  <si>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</si>
  <si>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</si>
  <si>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</si>
  <si>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</si>
  <si>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</si>
  <si>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</si>
  <si>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</si>
  <si>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</si>
  <si>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</si>
  <si>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</si>
  <si>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</si>
  <si>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</si>
  <si>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</si>
  <si>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</si>
  <si>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</si>
  <si>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</si>
  <si>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</si>
  <si>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</si>
  <si>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</si>
  <si>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</si>
  <si>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</si>
  <si>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</si>
  <si>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</si>
  <si>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</si>
  <si>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</si>
  <si>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</si>
  <si>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</si>
  <si>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</si>
  <si>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</si>
  <si>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</si>
  <si>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</si>
  <si>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</si>
  <si>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</si>
  <si>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</si>
  <si>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</si>
  <si>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</si>
  <si>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</si>
  <si>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</si>
  <si>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</si>
  <si>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</si>
  <si>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</si>
  <si>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</si>
  <si>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</si>
  <si>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</si>
  <si>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</si>
  <si>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</si>
  <si>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</si>
  <si>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</si>
  <si>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</si>
  <si>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</si>
  <si>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</si>
  <si>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</si>
  <si>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</si>
  <si>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</si>
  <si>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</si>
  <si>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</si>
  <si>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</si>
  <si>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</si>
  <si>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</si>
  <si>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</si>
  <si>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</si>
  <si>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</si>
  <si>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</si>
  <si>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</si>
  <si>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</si>
  <si>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</si>
  <si>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</si>
  <si>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</si>
  <si>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</si>
  <si>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</si>
  <si>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</si>
  <si>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</si>
  <si>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</si>
  <si>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</si>
  <si>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</si>
  <si>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</si>
  <si>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</si>
  <si>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</si>
  <si>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</si>
  <si>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</si>
  <si>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</si>
  <si>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</si>
  <si>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</si>
  <si>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</si>
  <si>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</si>
  <si>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</si>
  <si>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</si>
  <si>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</si>
  <si>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</si>
  <si>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</si>
  <si>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</si>
  <si>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</si>
  <si>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</si>
  <si>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</si>
  <si>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長井市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</si>
</sst>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17" sqref="S1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99999869001</v>
      </c>
      <c r="G10" s="29">
        <f t="shared" si="2"/>
        <v>99999869001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長井市</v>
      </c>
      <c r="K10" s="31" t="str">
        <f t="shared" si="6"/>
        <v>99999869001介護施設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99999869001</v>
      </c>
      <c r="N10">
        <f>IF(L10&lt;&gt;"○",M10,INDEX(G$4:G9,MATCH(L10&amp;M10,F$4:F9,0)))</f>
        <v>99999869001</v>
      </c>
      <c r="O10" t="str">
        <f t="shared" si="8"/>
        <v>介護施設</v>
      </c>
      <c r="Q10" s="4">
        <v>44914</v>
      </c>
      <c r="S10" t="str">
        <f>$O$1&amp;
869&amp;
REPT("0",3-LEN(ROW($S1)))&amp;ROW($S1)</f>
        <v>99999869001</v>
      </c>
      <c r="T10" t="s">
        <v>50</v>
      </c>
      <c r="U10" t="s">
        <v>50</v>
      </c>
      <c r="V10" t="s">
        <v>446</v>
      </c>
      <c r="AB10" t="str">
        <f>$S$10&amp;"介護施設"</f>
        <v>99999869001介護施設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99999869002</v>
      </c>
      <c r="G11" s="29">
        <f t="shared" si="2"/>
        <v>99999869002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長井市</v>
      </c>
      <c r="K11" s="31" t="str">
        <f t="shared" si="6"/>
        <v>99999869001関連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99999869001</v>
      </c>
      <c r="N11">
        <f>IF(L11&lt;&gt;"○",M11,INDEX(G$4:G10,MATCH(L11&amp;M11,F$4:F10,0)))</f>
        <v>99999869001</v>
      </c>
      <c r="O11" t="str">
        <f t="shared" si="8"/>
        <v>関連</v>
      </c>
      <c r="Q11" s="4">
        <v>44914</v>
      </c>
      <c r="S11" t="str">
        <f t="shared" ref="S11:S15" si="9">$O$1&amp;
869&amp;
REPT("0",3-LEN(ROW($S2)))&amp;ROW($S2)</f>
        <v>99999869002</v>
      </c>
      <c r="T11" t="s">
        <v>50</v>
      </c>
      <c r="U11" t="s">
        <v>50</v>
      </c>
      <c r="V11" t="s">
        <v>446</v>
      </c>
      <c r="AB11" t="str">
        <f>$S$10&amp;"関連"</f>
        <v>99999869001関連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99999869003</v>
      </c>
      <c r="G12" s="29">
        <f t="shared" si="2"/>
        <v>99999869003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長井市</v>
      </c>
      <c r="K12" s="31" t="str">
        <f t="shared" si="6"/>
        <v>99999869001関連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99999869001</v>
      </c>
      <c r="N12">
        <f>IF(L12&lt;&gt;"○",M12,INDEX(G$4:G11,MATCH(L12&amp;M12,F$4:F11,0)))</f>
        <v>99999869001</v>
      </c>
      <c r="O12" t="str">
        <f t="shared" si="8"/>
        <v>関連</v>
      </c>
      <c r="Q12" s="4">
        <v>44914</v>
      </c>
      <c r="S12" t="str">
        <f t="shared" si="9"/>
        <v>99999869003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99999869001関連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99999869004</v>
      </c>
      <c r="G13" s="29">
        <f t="shared" si="2"/>
        <v>99999869004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長井市</v>
      </c>
      <c r="K13" s="31" t="str">
        <f t="shared" si="6"/>
        <v>99999869001関連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99999869001</v>
      </c>
      <c r="N13">
        <f>IF(L13&lt;&gt;"○",M13,INDEX(G$4:G12,MATCH(L13&amp;M13,F$4:F12,0)))</f>
        <v>99999869001</v>
      </c>
      <c r="O13" t="str">
        <f t="shared" si="8"/>
        <v>関連</v>
      </c>
      <c r="Q13" s="4">
        <v>44914</v>
      </c>
      <c r="S13" t="str">
        <f t="shared" si="9"/>
        <v>99999869004</v>
      </c>
      <c r="T13" t="s">
        <v>50</v>
      </c>
      <c r="U13" t="s">
        <v>50</v>
      </c>
      <c r="V13" t="s">
        <v>446</v>
      </c>
      <c r="AB13" t="str">
        <f t="shared" si="10"/>
        <v>99999869001関連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99999869005</v>
      </c>
      <c r="G14" s="29">
        <f t="shared" si="2"/>
        <v>99999869005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長井市</v>
      </c>
      <c r="K14" s="31" t="str">
        <f t="shared" si="6"/>
        <v>99999869001関連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99999869001</v>
      </c>
      <c r="N14">
        <f>IF(L14&lt;&gt;"○",M14,INDEX(G$4:G13,MATCH(L14&amp;M14,F$4:F13,0)))</f>
        <v>99999869001</v>
      </c>
      <c r="O14" t="str">
        <f t="shared" si="8"/>
        <v>関連</v>
      </c>
      <c r="Q14" s="4">
        <v>44914</v>
      </c>
      <c r="S14" t="str">
        <f t="shared" si="9"/>
        <v>99999869005</v>
      </c>
      <c r="T14" t="s">
        <v>50</v>
      </c>
      <c r="U14" t="s">
        <v>50</v>
      </c>
      <c r="V14" t="s">
        <v>446</v>
      </c>
      <c r="AB14" t="str">
        <f t="shared" si="10"/>
        <v>99999869001関連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99999869006</v>
      </c>
      <c r="G15" s="29">
        <f t="shared" si="2"/>
        <v>99999869006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長井市</v>
      </c>
      <c r="K15" s="31" t="str">
        <f t="shared" si="6"/>
        <v>99999869001関連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99999869001</v>
      </c>
      <c r="N15">
        <f>IF(L15&lt;&gt;"○",M15,INDEX(G$4:G14,MATCH(L15&amp;M15,F$4:F14,0)))</f>
        <v>99999869001</v>
      </c>
      <c r="O15" t="str">
        <f t="shared" si="8"/>
        <v>関連</v>
      </c>
      <c r="Q15" s="4">
        <v>44914</v>
      </c>
      <c r="S15" t="str">
        <f t="shared" si="9"/>
        <v>99999869006</v>
      </c>
      <c r="T15" t="s">
        <v>50</v>
      </c>
      <c r="U15" t="s">
        <v>50</v>
      </c>
      <c r="V15" t="s">
        <v>446</v>
      </c>
      <c r="AB15" t="str">
        <f t="shared" si="10"/>
        <v>99999869001関連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2022/12/19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99999869001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長井市</v>
      </c>
      <c r="H3" s="10" t="str">
        <f>IF(ROW(G1)&gt;MAX(Main!$C$4:$C$1048576),"",INDEX(Main!K$4:K$1048576,MATCH(ROW(G1),Main!$C$4:$C$1048576,0)))</f>
        <v>99999869001介護施設</v>
      </c>
      <c r="I3" s="1">
        <f>IF(H3&lt;&gt;"",IF(ROW(G1)&gt;MAX(Main!$C$4:$C$1048576),"",INDEX(Main!N$4:N$1048576,MATCH(ROW(G1),Main!$C$4:$C$1048576,0))),"")</f>
        <v>99999869001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クラスターNo.869</v>
      </c>
      <c r="M3" s="4" t="str">
        <f>TEXT(IF(ROW(A1)&gt;MAX(Main!$D$4:$D$1048576),"",INDEX(Main!Q$4:Q$1048576,MATCH(ROW(A1),Main!$D$4:$D$1048576,0))), "yyyy/m/d")</f>
        <v>2022/12/19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99999869001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長井市</v>
      </c>
      <c r="S3" s="9" t="str">
        <f>IF(ROW(G1)&gt;MAX(Main!$D$4:$D$1048576),"",INDEX(Main!K$4:K$1048576,MATCH(ROW(G1),Main!$D$4:$D$1048576,0)))</f>
        <v>99999869001介護施設</v>
      </c>
      <c r="T3" s="1">
        <f>IF(S3&lt;&gt;"",IF(ROW(G1)&gt;MAX(Main!$D$4:$D$1048576),"",INDEX(Main!N$4:N$1048576,MATCH(ROW(G1),Main!$D$4:$D$1048576,0))),"")</f>
        <v>99999869001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2022/12/19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99999869002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長井市</v>
      </c>
      <c r="H4" s="10" t="str">
        <f>IF(ROW(G2)&gt;MAX(Main!$C$4:$C$1048576),"",INDEX(Main!K$4:K$1048576,MATCH(ROW(G2),Main!$C$4:$C$1048576,0)))</f>
        <v>99999869001関連</v>
      </c>
      <c r="I4" s="1">
        <f>IF(H4&lt;&gt;"",IF(ROW(G2)&gt;MAX(Main!$C$4:$C$1048576),"",INDEX(Main!N$4:N$1048576,MATCH(ROW(G2),Main!$C$4:$C$1048576,0))),"")</f>
        <v>99999869001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クラスターNo.869</v>
      </c>
      <c r="M4" s="4" t="str">
        <f>TEXT(IF(ROW(A2)&gt;MAX(Main!$D$4:$D$1048576),"",INDEX(Main!Q$4:Q$1048576,MATCH(ROW(A2),Main!$D$4:$D$1048576,0))), "yyyy/m/d")</f>
        <v>2022/12/19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99999869002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長井市</v>
      </c>
      <c r="S4" s="9" t="str">
        <f>IF(ROW(G2)&gt;MAX(Main!$D$4:$D$1048576),"",INDEX(Main!K$4:K$1048576,MATCH(ROW(G2),Main!$D$4:$D$1048576,0)))</f>
        <v>99999869001関連</v>
      </c>
      <c r="T4" s="1">
        <f>IF(S4&lt;&gt;"",IF(ROW(G2)&gt;MAX(Main!$D$4:$D$1048576),"",INDEX(Main!N$4:N$1048576,MATCH(ROW(G2),Main!$D$4:$D$1048576,0))),"")</f>
        <v>99999869001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2022/12/19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99999869003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長井市</v>
      </c>
      <c r="H5" s="10" t="str">
        <f>IF(ROW(G3)&gt;MAX(Main!$C$4:$C$1048576),"",INDEX(Main!K$4:K$1048576,MATCH(ROW(G3),Main!$C$4:$C$1048576,0)))</f>
        <v>99999869001関連</v>
      </c>
      <c r="I5" s="1">
        <f>IF(H5&lt;&gt;"",IF(ROW(G3)&gt;MAX(Main!$C$4:$C$1048576),"",INDEX(Main!N$4:N$1048576,MATCH(ROW(G3),Main!$C$4:$C$1048576,0))),"")</f>
        <v>99999869001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クラスターNo.869</v>
      </c>
      <c r="M5" s="4" t="str">
        <f>TEXT(IF(ROW(A3)&gt;MAX(Main!$D$4:$D$1048576),"",INDEX(Main!Q$4:Q$1048576,MATCH(ROW(A3),Main!$D$4:$D$1048576,0))), "yyyy/m/d")</f>
        <v>2022/12/19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99999869003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長井市</v>
      </c>
      <c r="S5" s="9" t="str">
        <f>IF(ROW(G3)&gt;MAX(Main!$D$4:$D$1048576),"",INDEX(Main!K$4:K$1048576,MATCH(ROW(G3),Main!$D$4:$D$1048576,0)))</f>
        <v>99999869001関連</v>
      </c>
      <c r="T5" s="1">
        <f>IF(S5&lt;&gt;"",IF(ROW(G3)&gt;MAX(Main!$D$4:$D$1048576),"",INDEX(Main!N$4:N$1048576,MATCH(ROW(G3),Main!$D$4:$D$1048576,0))),"")</f>
        <v>99999869001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2022/12/19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99999869004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長井市</v>
      </c>
      <c r="H6" s="10" t="str">
        <f>IF(ROW(G4)&gt;MAX(Main!$C$4:$C$1048576),"",INDEX(Main!K$4:K$1048576,MATCH(ROW(G4),Main!$C$4:$C$1048576,0)))</f>
        <v>99999869001関連</v>
      </c>
      <c r="I6" s="1">
        <f>IF(H6&lt;&gt;"",IF(ROW(G4)&gt;MAX(Main!$C$4:$C$1048576),"",INDEX(Main!N$4:N$1048576,MATCH(ROW(G4),Main!$C$4:$C$1048576,0))),"")</f>
        <v>99999869001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クラスターNo.869</v>
      </c>
      <c r="M6" s="4" t="str">
        <f>TEXT(IF(ROW(A4)&gt;MAX(Main!$D$4:$D$1048576),"",INDEX(Main!Q$4:Q$1048576,MATCH(ROW(A4),Main!$D$4:$D$1048576,0))), "yyyy/m/d")</f>
        <v>2022/12/19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99999869004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長井市</v>
      </c>
      <c r="S6" s="9" t="str">
        <f>IF(ROW(G4)&gt;MAX(Main!$D$4:$D$1048576),"",INDEX(Main!K$4:K$1048576,MATCH(ROW(G4),Main!$D$4:$D$1048576,0)))</f>
        <v>99999869001関連</v>
      </c>
      <c r="T6" s="1">
        <f>IF(S6&lt;&gt;"",IF(ROW(G4)&gt;MAX(Main!$D$4:$D$1048576),"",INDEX(Main!N$4:N$1048576,MATCH(ROW(G4),Main!$D$4:$D$1048576,0))),"")</f>
        <v>99999869001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2022/12/19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99999869005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長井市</v>
      </c>
      <c r="H7" s="10" t="str">
        <f>IF(ROW(G5)&gt;MAX(Main!$C$4:$C$1048576),"",INDEX(Main!K$4:K$1048576,MATCH(ROW(G5),Main!$C$4:$C$1048576,0)))</f>
        <v>99999869001関連</v>
      </c>
      <c r="I7" s="1">
        <f>IF(H7&lt;&gt;"",IF(ROW(G5)&gt;MAX(Main!$C$4:$C$1048576),"",INDEX(Main!N$4:N$1048576,MATCH(ROW(G5),Main!$C$4:$C$1048576,0))),"")</f>
        <v>99999869001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クラスターNo.869</v>
      </c>
      <c r="M7" s="4" t="str">
        <f>TEXT(IF(ROW(A5)&gt;MAX(Main!$D$4:$D$1048576),"",INDEX(Main!Q$4:Q$1048576,MATCH(ROW(A5),Main!$D$4:$D$1048576,0))), "yyyy/m/d")</f>
        <v>2022/12/19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99999869005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長井市</v>
      </c>
      <c r="S7" s="9" t="str">
        <f>IF(ROW(G5)&gt;MAX(Main!$D$4:$D$1048576),"",INDEX(Main!K$4:K$1048576,MATCH(ROW(G5),Main!$D$4:$D$1048576,0)))</f>
        <v>99999869001関連</v>
      </c>
      <c r="T7" s="1">
        <f>IF(S7&lt;&gt;"",IF(ROW(G5)&gt;MAX(Main!$D$4:$D$1048576),"",INDEX(Main!N$4:N$1048576,MATCH(ROW(G5),Main!$D$4:$D$1048576,0))),"")</f>
        <v>99999869001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2022/12/19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99999869006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長井市</v>
      </c>
      <c r="H8" s="10" t="str">
        <f>IF(ROW(G6)&gt;MAX(Main!$C$4:$C$1048576),"",INDEX(Main!K$4:K$1048576,MATCH(ROW(G6),Main!$C$4:$C$1048576,0)))</f>
        <v>99999869001関連</v>
      </c>
      <c r="I8" s="1">
        <f>IF(H8&lt;&gt;"",IF(ROW(G6)&gt;MAX(Main!$C$4:$C$1048576),"",INDEX(Main!N$4:N$1048576,MATCH(ROW(G6),Main!$C$4:$C$1048576,0))),"")</f>
        <v>99999869001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クラスターNo.869</v>
      </c>
      <c r="M8" s="4" t="str">
        <f>TEXT(IF(ROW(A6)&gt;MAX(Main!$D$4:$D$1048576),"",INDEX(Main!Q$4:Q$1048576,MATCH(ROW(A6),Main!$D$4:$D$1048576,0))), "yyyy/m/d")</f>
        <v>2022/12/19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99999869006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長井市</v>
      </c>
      <c r="S8" s="9" t="str">
        <f>IF(ROW(G6)&gt;MAX(Main!$D$4:$D$1048576),"",INDEX(Main!K$4:K$1048576,MATCH(ROW(G6),Main!$D$4:$D$1048576,0)))</f>
        <v>99999869001関連</v>
      </c>
      <c r="T8" s="1">
        <f>IF(S8&lt;&gt;"",IF(ROW(G6)&gt;MAX(Main!$D$4:$D$1048576),"",INDEX(Main!N$4:N$1048576,MATCH(ROW(G6),Main!$D$4:$D$1048576,0))),"")</f>
        <v>99999869001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99999869001,
            "date": "2022/12/19",
            "label": "クラスターNo.869\n2022/12/19\n長井市\n-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99999869002,
            "date": "2022/12/19",
            "label": "クラスターNo.869\n2022/12/19\n長井市\n-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99999869003,
            "date": "2022/12/19",
            "label": "クラスターNo.869\n2022/12/19\n長井市\n-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99999869004,
            "date": "2022/12/19",
            "label": "クラスターNo.869\n2022/12/19\n長井市\n-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99999869005,
            "date": "2022/12/19",
            "label": "クラスターNo.869\n2022/12/19\n長井市\n-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99999869006,
            "date": "2022/12/19",
            "label": "クラスターNo.869\n2022/12/19\n長井市\n-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"99999869001",
            "target": "99999869001",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"99999869002",
            "target": "99999869001",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"99999869003",
            "target": "99999869001",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"99999869004",
            "target": "99999869001",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"99999869005",
            "target": "99999869001",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"99999869006",
            "target": "99999869001",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31.25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"lastUpdate":"2022/12/19 23:41"}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2022-12-19T14:43:00Z</dcterms:modified>
</cp:coreProperties>
</file>