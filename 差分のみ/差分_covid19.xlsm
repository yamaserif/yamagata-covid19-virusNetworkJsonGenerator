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4E171D94-9E5F-4365-B02C-2803DEF7ABDC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4" i="1" l="1"/>
  <c r="S43" i="1"/>
  <c r="S42" i="1"/>
  <c r="S41" i="1"/>
  <c r="S40" i="1"/>
  <c r="S39" i="1"/>
  <c r="G39" i="1" s="1"/>
  <c r="F39" i="1" s="1"/>
  <c r="S38" i="1"/>
  <c r="G38" i="1" s="1"/>
  <c r="F38" i="1" s="1"/>
  <c r="S37" i="1"/>
  <c r="G37" i="1" s="1"/>
  <c r="S36" i="1"/>
  <c r="G36" i="1" s="1"/>
  <c r="H36" i="1" s="1"/>
  <c r="S35" i="1"/>
  <c r="AB37" i="1"/>
  <c r="AB36" i="1"/>
  <c r="AB35" i="1"/>
  <c r="AB34" i="1"/>
  <c r="S34" i="1"/>
  <c r="AB42" i="1" s="1"/>
  <c r="S32" i="1"/>
  <c r="S31" i="1"/>
  <c r="S30" i="1"/>
  <c r="S29" i="1"/>
  <c r="S28" i="1"/>
  <c r="S27" i="1"/>
  <c r="AB32" i="1"/>
  <c r="AB31" i="1"/>
  <c r="AB30" i="1"/>
  <c r="AB29" i="1"/>
  <c r="AB28" i="1"/>
  <c r="AB27" i="1"/>
  <c r="AB26" i="1"/>
  <c r="S26" i="1"/>
  <c r="S24" i="1"/>
  <c r="S23" i="1"/>
  <c r="S22" i="1"/>
  <c r="S21" i="1"/>
  <c r="S20" i="1"/>
  <c r="S19" i="1"/>
  <c r="AB24" i="1"/>
  <c r="AB23" i="1"/>
  <c r="AB22" i="1"/>
  <c r="AB21" i="1"/>
  <c r="AB20" i="1"/>
  <c r="AB19" i="1"/>
  <c r="AB18" i="1"/>
  <c r="S18" i="1"/>
  <c r="S16" i="1"/>
  <c r="S15" i="1"/>
  <c r="S14" i="1"/>
  <c r="S13" i="1"/>
  <c r="G13" i="1" s="1"/>
  <c r="S12" i="1"/>
  <c r="S11" i="1"/>
  <c r="AB16" i="1"/>
  <c r="AB15" i="1"/>
  <c r="AB14" i="1"/>
  <c r="AB13" i="1"/>
  <c r="AB12" i="1"/>
  <c r="S10" i="1"/>
  <c r="AB10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43" i="1" l="1"/>
  <c r="AB44" i="1"/>
  <c r="AB38" i="1"/>
  <c r="AB39" i="1"/>
  <c r="AB40" i="1"/>
  <c r="AB41" i="1"/>
  <c r="AB11" i="1"/>
  <c r="K11" i="1" s="1"/>
  <c r="L11" i="1" s="1"/>
  <c r="K16" i="1"/>
  <c r="L16" i="1" s="1"/>
  <c r="K17" i="1"/>
  <c r="M17" i="1" s="1" a="1"/>
  <c r="M17" i="1" s="1"/>
  <c r="O17" i="1" s="1"/>
  <c r="K19" i="1"/>
  <c r="M19" i="1" s="1" a="1"/>
  <c r="M19" i="1" s="1"/>
  <c r="O19" i="1" s="1"/>
  <c r="K15" i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22" i="1"/>
  <c r="L22" i="1" s="1"/>
  <c r="K21" i="1"/>
  <c r="M21" i="1" s="1" a="1"/>
  <c r="M21" i="1" s="1"/>
  <c r="O21" i="1" s="1"/>
  <c r="K32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90" i="5" a="1"/>
  <c r="C85" i="4" a="1"/>
  <c r="C90" i="5" l="1"/>
  <c r="C85" i="4"/>
  <c r="C91" i="5" a="1"/>
  <c r="C86" i="4" a="1"/>
  <c r="C91" i="5" l="1"/>
  <c r="C86" i="4"/>
  <c r="C92" i="5" a="1"/>
  <c r="C87" i="4" a="1"/>
  <c r="C87" i="4" l="1"/>
  <c r="C92" i="5"/>
  <c r="C88" i="4" a="1"/>
  <c r="C93" i="5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<sst xmlns="http://schemas.openxmlformats.org/spreadsheetml/2006/main" count="1342" uniqueCount="450">
  <si>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</si>
  <si>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</si>
  <si>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</si>
  <si>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</si>
  <si>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</si>
  <si>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</si>
  <si>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</si>
  <si>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</si>
  <si>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</si>
  <si>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</si>
  <si>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</si>
  <si>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</si>
  <si>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</si>
  <si>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</si>
  <si>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</si>
  <si>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</si>
  <si>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</si>
  <si>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</si>
  <si>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</si>
  <si>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</si>
  <si>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</si>
  <si>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</si>
  <si>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</si>
  <si>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</si>
  <si>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</si>
  <si>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</si>
  <si>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</si>
  <si>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</si>
  <si>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</si>
  <si>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</si>
  <si>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</si>
  <si>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</si>
  <si>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</si>
  <si>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</si>
  <si>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</si>
  <si>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</si>
  <si>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</si>
  <si>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</si>
  <si>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</si>
  <si>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</si>
  <si>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</si>
  <si>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</si>
  <si>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</si>
  <si>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</si>
  <si>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</si>
  <si>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</si>
  <si>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</si>
  <si>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</si>
  <si>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</si>
  <si>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</si>
  <si>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</si>
  <si>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</si>
  <si>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</si>
  <si>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</si>
  <si>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</si>
  <si>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</si>
  <si>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</si>
  <si>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</si>
  <si>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</si>
  <si>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</si>
  <si>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</si>
  <si>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</si>
  <si>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</si>
  <si>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</si>
  <si>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</si>
  <si>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</si>
  <si>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</si>
  <si>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</si>
  <si>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</si>
  <si>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</si>
  <si>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</si>
  <si>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</si>
  <si>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</si>
  <si>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</si>
  <si>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</si>
  <si>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</si>
  <si>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</si>
  <si>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</si>
  <si>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</si>
  <si>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</si>
  <si>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</si>
  <si>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</si>
  <si>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</si>
  <si>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</si>
  <si>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</si>
  <si>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</si>
  <si>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</si>
  <si>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</si>
  <si>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</si>
  <si>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</si>
  <si>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</si>
  <si>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</si>
  <si>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</si>
  <si>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</si>
  <si>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</si>
  <si>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</si>
  <si>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</si>
  <si>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</si>
  <si>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</si>
  <si>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</si>
  <si>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</si>
  <si>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</si>
  <si>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</si>
  <si>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</si>
  <si>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</si>
  <si>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</si>
  <si>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</si>
  <si>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</si>
  <si>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</si>
  <si>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</si>
  <si>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</si>
  <si>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</si>
  <si>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</si>
  <si>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</si>
  <si>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</si>
  <si>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</si>
  <si>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</si>
  <si>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</si>
  <si>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</si>
  <si>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</si>
  <si>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</si>
  <si>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</si>
  <si>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</si>
  <si>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</si>
  <si>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</si>
  <si>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</si>
  <si>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</si>
  <si>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</si>
  <si>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</si>
  <si>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</si>
  <si>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</si>
  <si>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</si>
  <si>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</si>
  <si>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</si>
  <si>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</si>
  <si>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</si>
  <si>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</si>
  <si>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</si>
  <si>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</si>
  <si>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</si>
  <si>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</si>
  <si>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</si>
  <si>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</si>
  <si>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</si>
  <si>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</si>
  <si>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</si>
  <si>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</si>
  <si>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</si>
  <si>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</si>
  <si>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</si>
  <si>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</si>
  <si>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</si>
  <si>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</si>
  <si>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</si>
  <si>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</si>
  <si>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</si>
  <si>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</si>
  <si>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</si>
  <si>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</si>
  <si>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</si>
  <si>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</si>
  <si>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</si>
  <si>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</si>
  <si>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</si>
  <si>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</si>
  <si>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</si>
  <si>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</si>
  <si>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</si>
  <si>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</si>
  <si>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</si>
  <si>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</si>
  <si>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</si>
  <si>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</si>
  <si>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</si>
  <si>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</si>
  <si>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</si>
  <si>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</si>
  <si>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</si>
  <si>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</si>
  <si>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</si>
  <si>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</si>
  <si>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</si>
  <si>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</si>
  <si>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</si>
  <si>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</si>
  <si>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</si>
  <si>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</si>
  <si>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</si>
  <si>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</si>
  <si>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</si>
  <si>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</si>
  <si>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</si>
  <si>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</si>
  <si>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</si>
  <si>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</si>
  <si>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</si>
  <si>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</si>
  <si>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</si>
  <si>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</si>
  <si>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</si>
  <si>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</si>
  <si>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</si>
  <si>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</si>
  <si>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</si>
  <si>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</si>
  <si>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</si>
  <si>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</si>
  <si>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</si>
  <si>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</si>
  <si>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</si>
  <si>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</si>
  <si>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</si>
  <si>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</si>
  <si>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</si>
  <si>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</si>
  <si>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</si>
  <si>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</si>
  <si>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</si>
  <si>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</si>
  <si>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</si>
  <si>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</si>
  <si>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</si>
  <si>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</si>
  <si>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</si>
  <si>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</si>
  <si>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</si>
  <si>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</si>
  <si>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</si>
  <si>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</si>
  <si>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</si>
  <si>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</si>
  <si>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</si>
  <si>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</si>
  <si>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</si>
  <si>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</si>
  <si>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</si>
  <si>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</si>
  <si>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</si>
  <si>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</si>
  <si>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</si>
  <si>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</si>
  <si>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</si>
  <si>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</si>
  <si>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</si>
  <si>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</si>
  <si>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</si>
  <si>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</si>
  <si>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</si>
  <si>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</si>
  <si>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</si>
  <si>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</si>
  <si>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</si>
  <si>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</si>
  <si>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</si>
  <si>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</si>
  <si>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</si>
  <si>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</si>
  <si>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</si>
  <si>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</si>
  <si>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</si>
  <si>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</si>
  <si>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</si>
  <si>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</si>
  <si>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</si>
  <si>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</si>
  <si>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</si>
  <si>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</si>
  <si>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</si>
  <si>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</si>
  <si>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</si>
  <si>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</si>
  <si>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</si>
  <si>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</si>
  <si>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</si>
  <si>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</si>
  <si>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</si>
  <si>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</si>
  <si>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</si>
  <si>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</si>
  <si>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</si>
  <si>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</si>
  <si>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</si>
  <si>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</si>
  <si>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</si>
  <si>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</si>
  <si>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</si>
  <si>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</si>
  <si>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</si>
  <si>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</si>
  <si>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</si>
  <si>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</si>
  <si>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</si>
  <si>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</si>
  <si>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</si>
  <si>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</si>
  <si>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</si>
  <si>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</si>
  <si>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</si>
  <si>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</si>
  <si>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</si>
  <si>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</si>
  <si>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</si>
  <si>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</si>
  <si>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</si>
  <si>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</si>
  <si>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</si>
  <si>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</si>
  <si>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</si>
  <si>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</si>
  <si>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</si>
  <si>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</si>
  <si>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</si>
  <si>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</si>
  <si>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</si>
  <si>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</si>
  <si>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</si>
  <si>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</si>
  <si>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</si>
  <si>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</si>
  <si>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</si>
  <si>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</si>
  <si>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</si>
  <si>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</si>
  <si>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</si>
  <si>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</si>
  <si>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</si>
  <si>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</si>
  <si>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</si>
  <si>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</si>
  <si>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</si>
  <si>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</si>
  <si>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</si>
  <si>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</si>
  <si>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</si>
  <si>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</si>
  <si>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</si>
  <si>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</si>
  <si>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</si>
  <si>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</si>
  <si>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</si>
  <si>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</si>
  <si>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</si>
  <si>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</si>
  <si>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</si>
  <si>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</si>
  <si>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</si>
  <si>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</si>
  <si>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</si>
  <si>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</si>
  <si>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</si>
  <si>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</si>
  <si>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</si>
  <si>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</si>
  <si>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</si>
  <si>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</si>
  <si>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</si>
  <si>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</si>
  <si>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</si>
  <si>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</si>
  <si>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</si>
  <si>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</si>
  <si>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</si>
  <si>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</si>
  <si>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</si>
  <si>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</si>
  <si>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</si>
  <si>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</si>
  <si>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</si>
  <si>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</si>
  <si>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</si>
  <si>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</si>
  <si>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</si>
  <si>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</si>
  <si>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</si>
  <si>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</si>
  <si>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</si>
  <si>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</si>
  <si>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</si>
  <si>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</si>
  <si>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</si>
  <si>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</si>
  <si>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</si>
  <si>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</si>
  <si>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</si>
  <si>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</si>
  <si>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</si>
  <si>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</si>
  <si>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</si>
  <si>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</si>
  <si>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</si>
  <si>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</si>
  <si>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</si>
  <si>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</si>
  <si>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</si>
  <si>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</si>
  <si>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</si>
  <si>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</si>
  <si>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</si>
  <si>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</si>
  <si>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</si>
  <si>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</si>
  <si>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</si>
  <si>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</si>
  <si>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</si>
  <si>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</si>
  <si>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</si>
  <si>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</si>
  <si>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</si>
  <si>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</si>
  <si>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</si>
  <si>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</si>
  <si>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</si>
  <si>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</si>
  <si>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</si>
  <si>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</si>
  <si>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</si>
  <si>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</si>
  <si>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</si>
  <si>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</si>
  <si>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</si>
  <si>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</si>
  <si>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</si>
  <si>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</si>
  <si>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</si>
  <si>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</si>
  <si>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</si>
  <si>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</si>
  <si>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</si>
  <si>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</si>
  <si>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</si>
  <si>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</si>
  <si>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</si>
  <si>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</si>
  <si>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</si>
  <si>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</si>
  <si>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</si>
  <si>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</si>
  <si>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</si>
  <si>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</si>
  <si>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</si>
  <si>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</si>
  <si>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</si>
  <si>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</si>
  <si>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</si>
  <si>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</si>
  <si>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</si>
  <si>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</si>
  <si>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南陽市</t>
  </si>
  <si>
    <t>遊佐町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</si>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</sst>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25" activePane="bottomLeft" state="frozen"/>
      <selection activeCell="E20" sqref="E20"/>
      <selection pane="bottomLeft" activeCell="U46" sqref="U4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99999923001</v>
      </c>
      <c r="G10" s="29">
        <f t="shared" si="2"/>
        <v>99999923001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99999923001介護施設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99999923001</v>
      </c>
      <c r="N10">
        <f>IF(L10&lt;&gt;"○",M10,INDEX(G$4:G9,MATCH(L10&amp;M10,F$4:F9,0)))</f>
        <v>99999923001</v>
      </c>
      <c r="O10" t="str">
        <f t="shared" si="8"/>
        <v>介護施設</v>
      </c>
      <c r="Q10" s="4">
        <v>44943</v>
      </c>
      <c r="S10" t="str">
        <f>$O$1&amp;
923&amp;
REPT("0",3-LEN(ROW($S1)))&amp;ROW($S1)</f>
        <v>99999923001</v>
      </c>
      <c r="T10" t="s">
        <v>50</v>
      </c>
      <c r="U10" t="s">
        <v>50</v>
      </c>
      <c r="V10" t="s">
        <v>447</v>
      </c>
      <c r="AB10" t="str">
        <f>$S$10&amp;"介護施設"</f>
        <v>99999923001介護施設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99999923002</v>
      </c>
      <c r="G11" s="29">
        <f t="shared" si="2"/>
        <v>99999923002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99999923001関連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99999923001</v>
      </c>
      <c r="N11">
        <f>IF(L11&lt;&gt;"○",M11,INDEX(G$4:G10,MATCH(L11&amp;M11,F$4:F10,0)))</f>
        <v>99999923001</v>
      </c>
      <c r="O11" t="str">
        <f t="shared" si="8"/>
        <v>関連</v>
      </c>
      <c r="Q11" s="4">
        <v>44943</v>
      </c>
      <c r="S11" t="str">
        <f t="shared" ref="S11:S16" si="9">$O$1&amp;
923&amp;
REPT("0",3-LEN(ROW($S2)))&amp;ROW($S2)</f>
        <v>99999923002</v>
      </c>
      <c r="T11" t="s">
        <v>50</v>
      </c>
      <c r="U11" t="s">
        <v>50</v>
      </c>
      <c r="V11" t="s">
        <v>447</v>
      </c>
      <c r="AB11" t="str">
        <f>$S$10&amp;"関連"</f>
        <v>99999923001関連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99999923003</v>
      </c>
      <c r="G12" s="29">
        <f t="shared" si="2"/>
        <v>99999923003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99999923001関連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99999923001</v>
      </c>
      <c r="N12">
        <f>IF(L12&lt;&gt;"○",M12,INDEX(G$4:G11,MATCH(L12&amp;M12,F$4:F11,0)))</f>
        <v>99999923001</v>
      </c>
      <c r="O12" t="str">
        <f t="shared" si="8"/>
        <v>関連</v>
      </c>
      <c r="Q12" s="4">
        <v>44943</v>
      </c>
      <c r="S12" t="str">
        <f t="shared" si="9"/>
        <v>99999923003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99999923001関連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99999923004</v>
      </c>
      <c r="G13" s="29">
        <f t="shared" si="2"/>
        <v>99999923004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99999923001関連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99999923001</v>
      </c>
      <c r="N13">
        <f>IF(L13&lt;&gt;"○",M13,INDEX(G$4:G12,MATCH(L13&amp;M13,F$4:F12,0)))</f>
        <v>99999923001</v>
      </c>
      <c r="O13" t="str">
        <f t="shared" si="8"/>
        <v>関連</v>
      </c>
      <c r="Q13" s="4">
        <v>44943</v>
      </c>
      <c r="S13" t="str">
        <f t="shared" si="9"/>
        <v>99999923004</v>
      </c>
      <c r="T13" t="s">
        <v>50</v>
      </c>
      <c r="U13" t="s">
        <v>50</v>
      </c>
      <c r="V13" t="s">
        <v>447</v>
      </c>
      <c r="AB13" t="str">
        <f t="shared" si="10"/>
        <v>99999923001関連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99999923005</v>
      </c>
      <c r="G14" s="29">
        <f t="shared" si="2"/>
        <v>99999923005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99999923001関連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99999923001</v>
      </c>
      <c r="N14">
        <f>IF(L14&lt;&gt;"○",M14,INDEX(G$4:G13,MATCH(L14&amp;M14,F$4:F13,0)))</f>
        <v>99999923001</v>
      </c>
      <c r="O14" t="str">
        <f t="shared" si="8"/>
        <v>関連</v>
      </c>
      <c r="Q14" s="4">
        <v>44943</v>
      </c>
      <c r="S14" t="str">
        <f t="shared" si="9"/>
        <v>99999923005</v>
      </c>
      <c r="T14" t="s">
        <v>50</v>
      </c>
      <c r="U14" t="s">
        <v>50</v>
      </c>
      <c r="V14" t="s">
        <v>447</v>
      </c>
      <c r="AB14" t="str">
        <f t="shared" si="10"/>
        <v>99999923001関連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99999923006</v>
      </c>
      <c r="G15" s="29">
        <f t="shared" si="2"/>
        <v>99999923006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99999923001関連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99999923001</v>
      </c>
      <c r="N15">
        <f>IF(L15&lt;&gt;"○",M15,INDEX(G$4:G14,MATCH(L15&amp;M15,F$4:F14,0)))</f>
        <v>99999923001</v>
      </c>
      <c r="O15" t="str">
        <f t="shared" si="8"/>
        <v>関連</v>
      </c>
      <c r="Q15" s="4">
        <v>44943</v>
      </c>
      <c r="S15" t="str">
        <f t="shared" si="9"/>
        <v>99999923006</v>
      </c>
      <c r="T15" t="s">
        <v>50</v>
      </c>
      <c r="U15" t="s">
        <v>50</v>
      </c>
      <c r="V15" t="s">
        <v>447</v>
      </c>
      <c r="AB15" t="str">
        <f t="shared" si="10"/>
        <v>99999923001関連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99999923007</v>
      </c>
      <c r="G16" s="29">
        <f t="shared" si="2"/>
        <v>99999923007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南陽市</v>
      </c>
      <c r="K16" s="31" t="str">
        <f t="shared" si="6"/>
        <v>99999923001関連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99999923001</v>
      </c>
      <c r="N16">
        <f>IF(L16&lt;&gt;"○",M16,INDEX(G$4:G15,MATCH(L16&amp;M16,F$4:F15,0)))</f>
        <v>99999923001</v>
      </c>
      <c r="O16" t="str">
        <f t="shared" si="8"/>
        <v>関連</v>
      </c>
      <c r="Q16" s="4">
        <v>44943</v>
      </c>
      <c r="S16" t="str">
        <f t="shared" si="9"/>
        <v>99999923007</v>
      </c>
      <c r="T16" t="s">
        <v>50</v>
      </c>
      <c r="U16" t="s">
        <v>50</v>
      </c>
      <c r="V16" t="s">
        <v>447</v>
      </c>
      <c r="AB16" t="str">
        <f t="shared" si="10"/>
        <v>99999923001関連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99999924001</v>
      </c>
      <c r="G18" s="29">
        <f t="shared" si="2"/>
        <v>99999924001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99999924001障がい者施設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99999924001</v>
      </c>
      <c r="N18">
        <f>IF(L18&lt;&gt;"○",M18,INDEX(G$4:G17,MATCH(L18&amp;M18,F$4:F17,0)))</f>
        <v>99999924001</v>
      </c>
      <c r="O18" t="str">
        <f t="shared" si="8"/>
        <v>障がい者施設</v>
      </c>
      <c r="Q18" s="4">
        <v>44943</v>
      </c>
      <c r="S18" t="str">
        <f>$O$1&amp;
924&amp;
REPT("0",3-LEN(ROW($S1)))&amp;ROW($S1)</f>
        <v>99999924001</v>
      </c>
      <c r="T18" t="s">
        <v>50</v>
      </c>
      <c r="U18" t="s">
        <v>50</v>
      </c>
      <c r="V18" t="s">
        <v>446</v>
      </c>
      <c r="AB18" t="str">
        <f>$S$18&amp;"障がい者施設"</f>
        <v>99999924001障がい者施設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99999924002</v>
      </c>
      <c r="G19" s="29">
        <f t="shared" si="2"/>
        <v>99999924002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99999924001関連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99999924001</v>
      </c>
      <c r="N19">
        <f>IF(L19&lt;&gt;"○",M19,INDEX(G$4:G18,MATCH(L19&amp;M19,F$4:F18,0)))</f>
        <v>99999924001</v>
      </c>
      <c r="O19" t="str">
        <f t="shared" si="8"/>
        <v>関連</v>
      </c>
      <c r="Q19" s="4">
        <v>44943</v>
      </c>
      <c r="S19" t="str">
        <f t="shared" ref="S19:S24" si="11">$O$1&amp;
924&amp;
REPT("0",3-LEN(ROW($S2)))&amp;ROW($S2)</f>
        <v>99999924002</v>
      </c>
      <c r="T19" t="s">
        <v>50</v>
      </c>
      <c r="U19" t="s">
        <v>50</v>
      </c>
      <c r="V19" t="s">
        <v>446</v>
      </c>
      <c r="AB19" t="str">
        <f>$S$18&amp;"関連"</f>
        <v>99999924001関連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99999924003</v>
      </c>
      <c r="G20" s="29">
        <f t="shared" si="2"/>
        <v>99999924003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99999924001関連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99999924001</v>
      </c>
      <c r="N20">
        <f>IF(L20&lt;&gt;"○",M20,INDEX(G$4:G19,MATCH(L20&amp;M20,F$4:F19,0)))</f>
        <v>99999924001</v>
      </c>
      <c r="O20" t="str">
        <f t="shared" si="8"/>
        <v>関連</v>
      </c>
      <c r="Q20" s="4">
        <v>44943</v>
      </c>
      <c r="S20" t="str">
        <f t="shared" si="11"/>
        <v>99999924003</v>
      </c>
      <c r="T20" t="s">
        <v>50</v>
      </c>
      <c r="U20" t="s">
        <v>50</v>
      </c>
      <c r="V20" t="s">
        <v>446</v>
      </c>
      <c r="AB20" t="str">
        <f t="shared" ref="AB20:AB24" si="12">$S$18&amp;"関連"</f>
        <v>99999924001関連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99999924004</v>
      </c>
      <c r="G21" s="29">
        <f t="shared" si="2"/>
        <v>99999924004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99999924001関連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99999924001</v>
      </c>
      <c r="N21">
        <f>IF(L21&lt;&gt;"○",M21,INDEX(G$4:G20,MATCH(L21&amp;M21,F$4:F20,0)))</f>
        <v>99999924001</v>
      </c>
      <c r="O21" t="str">
        <f t="shared" si="8"/>
        <v>関連</v>
      </c>
      <c r="Q21" s="4">
        <v>44943</v>
      </c>
      <c r="S21" t="str">
        <f t="shared" si="11"/>
        <v>99999924004</v>
      </c>
      <c r="T21" t="s">
        <v>50</v>
      </c>
      <c r="U21" t="s">
        <v>50</v>
      </c>
      <c r="V21" t="s">
        <v>446</v>
      </c>
      <c r="AB21" t="str">
        <f t="shared" si="12"/>
        <v>99999924001関連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99999924005</v>
      </c>
      <c r="G22" s="29">
        <f t="shared" si="2"/>
        <v>99999924005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99999924001関連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99999924001</v>
      </c>
      <c r="N22">
        <f>IF(L22&lt;&gt;"○",M22,INDEX(G$4:G21,MATCH(L22&amp;M22,F$4:F21,0)))</f>
        <v>99999924001</v>
      </c>
      <c r="O22" t="str">
        <f t="shared" si="8"/>
        <v>関連</v>
      </c>
      <c r="Q22" s="4">
        <v>44943</v>
      </c>
      <c r="S22" t="str">
        <f t="shared" si="11"/>
        <v>99999924005</v>
      </c>
      <c r="T22" t="s">
        <v>50</v>
      </c>
      <c r="U22" t="s">
        <v>50</v>
      </c>
      <c r="V22" t="s">
        <v>446</v>
      </c>
      <c r="AB22" t="str">
        <f t="shared" si="12"/>
        <v>99999924001関連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99999924006</v>
      </c>
      <c r="G23" s="29">
        <f t="shared" si="2"/>
        <v>99999924006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99999924001関連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99999924001</v>
      </c>
      <c r="N23">
        <f>IF(L23&lt;&gt;"○",M23,INDEX(G$4:G22,MATCH(L23&amp;M23,F$4:F22,0)))</f>
        <v>99999924001</v>
      </c>
      <c r="O23" t="str">
        <f t="shared" si="8"/>
        <v>関連</v>
      </c>
      <c r="Q23" s="4">
        <v>44943</v>
      </c>
      <c r="S23" t="str">
        <f t="shared" si="11"/>
        <v>99999924006</v>
      </c>
      <c r="T23" t="s">
        <v>50</v>
      </c>
      <c r="U23" t="s">
        <v>50</v>
      </c>
      <c r="V23" t="s">
        <v>446</v>
      </c>
      <c r="AB23" t="str">
        <f t="shared" si="12"/>
        <v>99999924001関連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99999924007</v>
      </c>
      <c r="G24" s="29">
        <f t="shared" si="2"/>
        <v>99999924007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99999924001関連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99999924001</v>
      </c>
      <c r="N24">
        <f>IF(L24&lt;&gt;"○",M24,INDEX(G$4:G23,MATCH(L24&amp;M24,F$4:F23,0)))</f>
        <v>99999924001</v>
      </c>
      <c r="O24" t="str">
        <f t="shared" si="8"/>
        <v>関連</v>
      </c>
      <c r="Q24" s="4">
        <v>44943</v>
      </c>
      <c r="S24" t="str">
        <f t="shared" si="11"/>
        <v>99999924007</v>
      </c>
      <c r="T24" t="s">
        <v>50</v>
      </c>
      <c r="U24" t="s">
        <v>50</v>
      </c>
      <c r="V24" t="s">
        <v>446</v>
      </c>
      <c r="AB24" t="str">
        <f t="shared" si="12"/>
        <v>99999924001関連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>
        <f>IF(G26="","",MAX(C$4:C25)+1)</f>
        <v>15</v>
      </c>
      <c r="D26">
        <f>IF(AND(N26=""),"",MAX(D$4:D25)+1)</f>
        <v>15</v>
      </c>
      <c r="F26" s="26" t="str">
        <f t="shared" si="1"/>
        <v>99999925001</v>
      </c>
      <c r="G26" s="29">
        <f t="shared" si="2"/>
        <v>99999925001</v>
      </c>
      <c r="H26" s="20" t="str">
        <f t="shared" si="3"/>
        <v>-</v>
      </c>
      <c r="I26" s="20" t="str">
        <f t="shared" si="4"/>
        <v>ー</v>
      </c>
      <c r="J26" s="20" t="str">
        <f t="shared" si="5"/>
        <v>遊佐町</v>
      </c>
      <c r="K26" s="31" t="str">
        <f t="shared" si="6"/>
        <v>99999925001介護施設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99999925001</v>
      </c>
      <c r="N26">
        <f>IF(L26&lt;&gt;"○",M26,INDEX(G$4:G25,MATCH(L26&amp;M26,F$4:F25,0)))</f>
        <v>99999925001</v>
      </c>
      <c r="O26" t="str">
        <f t="shared" si="8"/>
        <v>介護施設</v>
      </c>
      <c r="Q26" s="4">
        <v>44943</v>
      </c>
      <c r="S26" t="str">
        <f>$O$1&amp;
925&amp;
REPT("0",3-LEN(ROW($S1)))&amp;ROW($S1)</f>
        <v>99999925001</v>
      </c>
      <c r="T26" t="s">
        <v>50</v>
      </c>
      <c r="U26" t="s">
        <v>50</v>
      </c>
      <c r="V26" t="s">
        <v>448</v>
      </c>
      <c r="AB26" t="str">
        <f>$S$26&amp;"介護施設"</f>
        <v>99999925001介護施設</v>
      </c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99999925002</v>
      </c>
      <c r="G27" s="29">
        <f t="shared" si="2"/>
        <v>99999925002</v>
      </c>
      <c r="H27" s="20" t="str">
        <f t="shared" si="3"/>
        <v>-</v>
      </c>
      <c r="I27" s="20" t="str">
        <f t="shared" si="4"/>
        <v>ー</v>
      </c>
      <c r="J27" s="20" t="str">
        <f t="shared" si="5"/>
        <v>遊佐町</v>
      </c>
      <c r="K27" s="31" t="str">
        <f t="shared" si="6"/>
        <v>99999925001関連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99999925001</v>
      </c>
      <c r="N27">
        <f>IF(L27&lt;&gt;"○",M27,INDEX(G$4:G26,MATCH(L27&amp;M27,F$4:F26,0)))</f>
        <v>99999925001</v>
      </c>
      <c r="O27" t="str">
        <f t="shared" si="8"/>
        <v>関連</v>
      </c>
      <c r="Q27" s="4">
        <v>44943</v>
      </c>
      <c r="S27" t="str">
        <f t="shared" ref="S27:S32" si="13">$O$1&amp;
925&amp;
REPT("0",3-LEN(ROW($S2)))&amp;ROW($S2)</f>
        <v>99999925002</v>
      </c>
      <c r="T27" t="s">
        <v>50</v>
      </c>
      <c r="U27" t="s">
        <v>50</v>
      </c>
      <c r="V27" t="s">
        <v>448</v>
      </c>
      <c r="AB27" t="str">
        <f>$S$26&amp;"関連"</f>
        <v>99999925001関連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99999925003</v>
      </c>
      <c r="G28" s="29">
        <f t="shared" si="2"/>
        <v>99999925003</v>
      </c>
      <c r="H28" s="20" t="str">
        <f t="shared" si="3"/>
        <v>-</v>
      </c>
      <c r="I28" s="20" t="str">
        <f t="shared" si="4"/>
        <v>ー</v>
      </c>
      <c r="J28" s="20" t="str">
        <f t="shared" si="5"/>
        <v>遊佐町</v>
      </c>
      <c r="K28" s="31" t="str">
        <f t="shared" si="6"/>
        <v>99999925001関連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99999925001</v>
      </c>
      <c r="N28">
        <f>IF(L28&lt;&gt;"○",M28,INDEX(G$4:G27,MATCH(L28&amp;M28,F$4:F27,0)))</f>
        <v>99999925001</v>
      </c>
      <c r="O28" t="str">
        <f t="shared" si="8"/>
        <v>関連</v>
      </c>
      <c r="Q28" s="4">
        <v>44943</v>
      </c>
      <c r="S28" t="str">
        <f t="shared" si="13"/>
        <v>99999925003</v>
      </c>
      <c r="T28" t="s">
        <v>50</v>
      </c>
      <c r="U28" t="s">
        <v>50</v>
      </c>
      <c r="V28" t="s">
        <v>448</v>
      </c>
      <c r="AB28" t="str">
        <f t="shared" ref="AB28:AB32" si="14">$S$26&amp;"関連"</f>
        <v>99999925001関連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99999925004</v>
      </c>
      <c r="G29" s="29">
        <f t="shared" si="2"/>
        <v>99999925004</v>
      </c>
      <c r="H29" s="20" t="str">
        <f t="shared" si="3"/>
        <v>-</v>
      </c>
      <c r="I29" s="20" t="str">
        <f t="shared" si="4"/>
        <v>ー</v>
      </c>
      <c r="J29" s="20" t="str">
        <f t="shared" si="5"/>
        <v>遊佐町</v>
      </c>
      <c r="K29" s="31" t="str">
        <f t="shared" si="6"/>
        <v>99999925001関連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99999925001</v>
      </c>
      <c r="N29">
        <f>IF(L29&lt;&gt;"○",M29,INDEX(G$4:G28,MATCH(L29&amp;M29,F$4:F28,0)))</f>
        <v>99999925001</v>
      </c>
      <c r="O29" t="str">
        <f t="shared" si="8"/>
        <v>関連</v>
      </c>
      <c r="Q29" s="4">
        <v>44943</v>
      </c>
      <c r="S29" t="str">
        <f t="shared" si="13"/>
        <v>99999925004</v>
      </c>
      <c r="T29" t="s">
        <v>50</v>
      </c>
      <c r="U29" t="s">
        <v>50</v>
      </c>
      <c r="V29" t="s">
        <v>448</v>
      </c>
      <c r="AB29" t="str">
        <f t="shared" si="14"/>
        <v>99999925001関連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99999925005</v>
      </c>
      <c r="G30" s="29">
        <f t="shared" si="2"/>
        <v>99999925005</v>
      </c>
      <c r="H30" s="20" t="str">
        <f t="shared" si="3"/>
        <v>-</v>
      </c>
      <c r="I30" s="20" t="str">
        <f t="shared" si="4"/>
        <v>ー</v>
      </c>
      <c r="J30" s="20" t="str">
        <f t="shared" si="5"/>
        <v>遊佐町</v>
      </c>
      <c r="K30" s="31" t="str">
        <f t="shared" si="6"/>
        <v>99999925001関連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99999925001</v>
      </c>
      <c r="N30">
        <f>IF(L30&lt;&gt;"○",M30,INDEX(G$4:G29,MATCH(L30&amp;M30,F$4:F29,0)))</f>
        <v>99999925001</v>
      </c>
      <c r="O30" t="str">
        <f t="shared" si="8"/>
        <v>関連</v>
      </c>
      <c r="Q30" s="4">
        <v>44943</v>
      </c>
      <c r="S30" t="str">
        <f t="shared" si="13"/>
        <v>99999925005</v>
      </c>
      <c r="T30" t="s">
        <v>50</v>
      </c>
      <c r="U30" t="s">
        <v>50</v>
      </c>
      <c r="V30" t="s">
        <v>448</v>
      </c>
      <c r="AB30" t="str">
        <f t="shared" si="14"/>
        <v>99999925001関連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99999925006</v>
      </c>
      <c r="G31" s="29">
        <f t="shared" si="2"/>
        <v>99999925006</v>
      </c>
      <c r="H31" s="20" t="str">
        <f t="shared" si="3"/>
        <v>-</v>
      </c>
      <c r="I31" s="20" t="str">
        <f t="shared" si="4"/>
        <v>ー</v>
      </c>
      <c r="J31" s="20" t="str">
        <f t="shared" si="5"/>
        <v>遊佐町</v>
      </c>
      <c r="K31" s="31" t="str">
        <f t="shared" si="6"/>
        <v>99999925001関連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99999925001</v>
      </c>
      <c r="N31">
        <f>IF(L31&lt;&gt;"○",M31,INDEX(G$4:G30,MATCH(L31&amp;M31,F$4:F30,0)))</f>
        <v>99999925001</v>
      </c>
      <c r="O31" t="str">
        <f t="shared" si="8"/>
        <v>関連</v>
      </c>
      <c r="Q31" s="4">
        <v>44943</v>
      </c>
      <c r="S31" t="str">
        <f t="shared" si="13"/>
        <v>99999925006</v>
      </c>
      <c r="T31" t="s">
        <v>50</v>
      </c>
      <c r="U31" t="s">
        <v>50</v>
      </c>
      <c r="V31" t="s">
        <v>448</v>
      </c>
      <c r="AB31" t="str">
        <f t="shared" si="14"/>
        <v>99999925001関連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99999925007</v>
      </c>
      <c r="G32" s="29">
        <f t="shared" si="2"/>
        <v>99999925007</v>
      </c>
      <c r="H32" s="20" t="str">
        <f t="shared" si="3"/>
        <v>-</v>
      </c>
      <c r="I32" s="20" t="str">
        <f t="shared" si="4"/>
        <v>ー</v>
      </c>
      <c r="J32" s="20" t="str">
        <f t="shared" si="5"/>
        <v>遊佐町</v>
      </c>
      <c r="K32" s="31" t="str">
        <f t="shared" si="6"/>
        <v>99999925001関連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99999925001</v>
      </c>
      <c r="N32">
        <f>IF(L32&lt;&gt;"○",M32,INDEX(G$4:G31,MATCH(L32&amp;M32,F$4:F31,0)))</f>
        <v>99999925001</v>
      </c>
      <c r="O32" t="str">
        <f t="shared" si="8"/>
        <v>関連</v>
      </c>
      <c r="Q32" s="4">
        <v>44943</v>
      </c>
      <c r="S32" t="str">
        <f t="shared" si="13"/>
        <v>99999925007</v>
      </c>
      <c r="T32" t="s">
        <v>50</v>
      </c>
      <c r="U32" t="s">
        <v>50</v>
      </c>
      <c r="V32" t="s">
        <v>448</v>
      </c>
      <c r="AB32" t="str">
        <f t="shared" si="14"/>
        <v>99999925001関連</v>
      </c>
    </row>
    <row r="33" spans="2:28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28" x14ac:dyDescent="0.4">
      <c r="B34" t="s">
        <v>21</v>
      </c>
      <c r="C34">
        <f>IF(G34="","",MAX(C$4:C33)+1)</f>
        <v>22</v>
      </c>
      <c r="D34">
        <f>IF(AND(N34=""),"",MAX(D$4:D33)+1)</f>
        <v>22</v>
      </c>
      <c r="F34" s="26" t="str">
        <f t="shared" si="1"/>
        <v>99999926001</v>
      </c>
      <c r="G34" s="29">
        <f t="shared" si="2"/>
        <v>99999926001</v>
      </c>
      <c r="H34" s="20" t="str">
        <f t="shared" si="3"/>
        <v>-</v>
      </c>
      <c r="I34" s="20" t="str">
        <f t="shared" si="4"/>
        <v>ー</v>
      </c>
      <c r="J34" s="20" t="str">
        <f t="shared" si="5"/>
        <v>酒田市</v>
      </c>
      <c r="K34" s="31" t="str">
        <f t="shared" si="6"/>
        <v>99999926001介護施設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99999926001</v>
      </c>
      <c r="N34">
        <f>IF(L34&lt;&gt;"○",M34,INDEX(G$4:G33,MATCH(L34&amp;M34,F$4:F33,0)))</f>
        <v>99999926001</v>
      </c>
      <c r="O34" t="str">
        <f t="shared" si="8"/>
        <v>介護施設</v>
      </c>
      <c r="Q34" s="4">
        <v>44943</v>
      </c>
      <c r="S34" t="str">
        <f>$O$1&amp;
926&amp;
REPT("0",3-LEN(ROW($S1)))&amp;ROW($S1)</f>
        <v>99999926001</v>
      </c>
      <c r="T34" t="s">
        <v>50</v>
      </c>
      <c r="U34" t="s">
        <v>50</v>
      </c>
      <c r="V34" t="s">
        <v>449</v>
      </c>
      <c r="AB34" t="str">
        <f>$S$34&amp;"介護施設"</f>
        <v>99999926001介護施設</v>
      </c>
    </row>
    <row r="35" spans="2:28" x14ac:dyDescent="0.4">
      <c r="B35" t="s">
        <v>21</v>
      </c>
      <c r="C35">
        <f>IF(G35="","",MAX(C$4:C34)+1)</f>
        <v>23</v>
      </c>
      <c r="D35">
        <f>IF(AND(N35=""),"",MAX(D$4:D34)+1)</f>
        <v>23</v>
      </c>
      <c r="F35" s="26" t="str">
        <f t="shared" si="1"/>
        <v>99999926002</v>
      </c>
      <c r="G35" s="29">
        <f t="shared" si="2"/>
        <v>99999926002</v>
      </c>
      <c r="H35" s="20" t="str">
        <f t="shared" si="3"/>
        <v>-</v>
      </c>
      <c r="I35" s="20" t="str">
        <f t="shared" si="4"/>
        <v>ー</v>
      </c>
      <c r="J35" s="20" t="str">
        <f t="shared" si="5"/>
        <v>酒田市</v>
      </c>
      <c r="K35" s="31" t="str">
        <f t="shared" si="6"/>
        <v>99999926001関連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99999926001</v>
      </c>
      <c r="N35">
        <f>IF(L35&lt;&gt;"○",M35,INDEX(G$4:G34,MATCH(L35&amp;M35,F$4:F34,0)))</f>
        <v>99999926001</v>
      </c>
      <c r="O35" t="str">
        <f t="shared" si="8"/>
        <v>関連</v>
      </c>
      <c r="Q35" s="4">
        <v>44943</v>
      </c>
      <c r="S35" t="str">
        <f t="shared" ref="S35:S44" si="15">$O$1&amp;
926&amp;
REPT("0",3-LEN(ROW($S2)))&amp;ROW($S2)</f>
        <v>99999926002</v>
      </c>
      <c r="T35" t="s">
        <v>50</v>
      </c>
      <c r="U35" t="s">
        <v>50</v>
      </c>
      <c r="V35" t="s">
        <v>449</v>
      </c>
      <c r="AB35" t="str">
        <f>$S$34&amp;"関連"</f>
        <v>99999926001関連</v>
      </c>
    </row>
    <row r="36" spans="2:28" x14ac:dyDescent="0.4">
      <c r="B36" t="s">
        <v>21</v>
      </c>
      <c r="C36">
        <f>IF(G36="","",MAX(C$4:C35)+1)</f>
        <v>24</v>
      </c>
      <c r="D36">
        <f>IF(AND(N36=""),"",MAX(D$4:D35)+1)</f>
        <v>24</v>
      </c>
      <c r="F36" s="26" t="str">
        <f t="shared" si="1"/>
        <v>99999926003</v>
      </c>
      <c r="G36" s="29">
        <f t="shared" si="2"/>
        <v>99999926003</v>
      </c>
      <c r="H36" s="20" t="str">
        <f t="shared" si="3"/>
        <v>-</v>
      </c>
      <c r="I36" s="20" t="str">
        <f t="shared" si="4"/>
        <v>ー</v>
      </c>
      <c r="J36" s="20" t="str">
        <f t="shared" si="5"/>
        <v>酒田市</v>
      </c>
      <c r="K36" s="31" t="str">
        <f t="shared" si="6"/>
        <v>99999926001関連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99999926001</v>
      </c>
      <c r="N36">
        <f>IF(L36&lt;&gt;"○",M36,INDEX(G$4:G35,MATCH(L36&amp;M36,F$4:F35,0)))</f>
        <v>99999926001</v>
      </c>
      <c r="O36" t="str">
        <f t="shared" si="8"/>
        <v>関連</v>
      </c>
      <c r="Q36" s="4">
        <v>44943</v>
      </c>
      <c r="S36" t="str">
        <f t="shared" si="15"/>
        <v>99999926003</v>
      </c>
      <c r="T36" t="s">
        <v>50</v>
      </c>
      <c r="U36" t="s">
        <v>50</v>
      </c>
      <c r="V36" t="s">
        <v>449</v>
      </c>
      <c r="AB36" t="str">
        <f t="shared" ref="AB36:AB44" si="16">$S$34&amp;"関連"</f>
        <v>99999926001関連</v>
      </c>
    </row>
    <row r="37" spans="2:28" x14ac:dyDescent="0.4">
      <c r="B37" t="s">
        <v>21</v>
      </c>
      <c r="C37">
        <f>IF(G37="","",MAX(C$4:C36)+1)</f>
        <v>25</v>
      </c>
      <c r="D37">
        <f>IF(AND(N37=""),"",MAX(D$4:D36)+1)</f>
        <v>25</v>
      </c>
      <c r="F37" s="26" t="str">
        <f t="shared" si="1"/>
        <v>99999926004</v>
      </c>
      <c r="G37" s="29">
        <f t="shared" si="2"/>
        <v>99999926004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99999926001関連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99999926001</v>
      </c>
      <c r="N37">
        <f>IF(L37&lt;&gt;"○",M37,INDEX(G$4:G36,MATCH(L37&amp;M37,F$4:F36,0)))</f>
        <v>99999926001</v>
      </c>
      <c r="O37" t="str">
        <f t="shared" si="8"/>
        <v>関連</v>
      </c>
      <c r="Q37" s="4">
        <v>44943</v>
      </c>
      <c r="S37" t="str">
        <f t="shared" si="15"/>
        <v>99999926004</v>
      </c>
      <c r="T37" t="s">
        <v>50</v>
      </c>
      <c r="U37" t="s">
        <v>50</v>
      </c>
      <c r="V37" t="s">
        <v>449</v>
      </c>
      <c r="AB37" t="str">
        <f t="shared" si="16"/>
        <v>99999926001関連</v>
      </c>
    </row>
    <row r="38" spans="2:28" x14ac:dyDescent="0.4">
      <c r="B38" t="s">
        <v>21</v>
      </c>
      <c r="C38">
        <f>IF(G38="","",MAX(C$4:C37)+1)</f>
        <v>26</v>
      </c>
      <c r="D38">
        <f>IF(AND(N38=""),"",MAX(D$4:D37)+1)</f>
        <v>26</v>
      </c>
      <c r="F38" s="26" t="str">
        <f t="shared" si="1"/>
        <v>99999926005</v>
      </c>
      <c r="G38" s="29">
        <f t="shared" si="2"/>
        <v>99999926005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99999926001関連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99999926001</v>
      </c>
      <c r="N38">
        <f>IF(L38&lt;&gt;"○",M38,INDEX(G$4:G37,MATCH(L38&amp;M38,F$4:F37,0)))</f>
        <v>99999926001</v>
      </c>
      <c r="O38" t="str">
        <f t="shared" si="8"/>
        <v>関連</v>
      </c>
      <c r="Q38" s="4">
        <v>44943</v>
      </c>
      <c r="S38" t="str">
        <f t="shared" si="15"/>
        <v>99999926005</v>
      </c>
      <c r="T38" t="s">
        <v>50</v>
      </c>
      <c r="U38" t="s">
        <v>50</v>
      </c>
      <c r="V38" t="s">
        <v>449</v>
      </c>
      <c r="AB38" t="str">
        <f t="shared" si="16"/>
        <v>99999926001関連</v>
      </c>
    </row>
    <row r="39" spans="2:28" x14ac:dyDescent="0.4">
      <c r="B39" t="s">
        <v>21</v>
      </c>
      <c r="C39">
        <f>IF(G39="","",MAX(C$4:C38)+1)</f>
        <v>27</v>
      </c>
      <c r="D39">
        <f>IF(AND(N39=""),"",MAX(D$4:D38)+1)</f>
        <v>27</v>
      </c>
      <c r="F39" s="26" t="str">
        <f t="shared" si="1"/>
        <v>99999926006</v>
      </c>
      <c r="G39" s="29">
        <f t="shared" si="2"/>
        <v>99999926006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99999926001関連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99999926001</v>
      </c>
      <c r="N39">
        <f>IF(L39&lt;&gt;"○",M39,INDEX(G$4:G38,MATCH(L39&amp;M39,F$4:F38,0)))</f>
        <v>99999926001</v>
      </c>
      <c r="O39" t="str">
        <f t="shared" si="8"/>
        <v>関連</v>
      </c>
      <c r="Q39" s="4">
        <v>44943</v>
      </c>
      <c r="S39" t="str">
        <f t="shared" si="15"/>
        <v>99999926006</v>
      </c>
      <c r="T39" t="s">
        <v>50</v>
      </c>
      <c r="U39" t="s">
        <v>50</v>
      </c>
      <c r="V39" t="s">
        <v>449</v>
      </c>
      <c r="AB39" t="str">
        <f t="shared" si="16"/>
        <v>99999926001関連</v>
      </c>
    </row>
    <row r="40" spans="2:28" x14ac:dyDescent="0.4">
      <c r="B40" t="s">
        <v>21</v>
      </c>
      <c r="C40">
        <f>IF(G40="","",MAX(C$4:C39)+1)</f>
        <v>28</v>
      </c>
      <c r="D40">
        <f>IF(AND(N40=""),"",MAX(D$4:D39)+1)</f>
        <v>28</v>
      </c>
      <c r="F40" s="26" t="str">
        <f t="shared" si="1"/>
        <v>99999926007</v>
      </c>
      <c r="G40" s="29">
        <f t="shared" si="2"/>
        <v>99999926007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99999926001関連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99999926001</v>
      </c>
      <c r="N40">
        <f>IF(L40&lt;&gt;"○",M40,INDEX(G$4:G39,MATCH(L40&amp;M40,F$4:F39,0)))</f>
        <v>99999926001</v>
      </c>
      <c r="O40" t="str">
        <f t="shared" si="8"/>
        <v>関連</v>
      </c>
      <c r="Q40" s="4">
        <v>44943</v>
      </c>
      <c r="S40" t="str">
        <f t="shared" si="15"/>
        <v>99999926007</v>
      </c>
      <c r="T40" t="s">
        <v>50</v>
      </c>
      <c r="U40" t="s">
        <v>50</v>
      </c>
      <c r="V40" t="s">
        <v>449</v>
      </c>
      <c r="AB40" t="str">
        <f t="shared" si="16"/>
        <v>99999926001関連</v>
      </c>
    </row>
    <row r="41" spans="2:28" x14ac:dyDescent="0.4">
      <c r="B41" t="s">
        <v>21</v>
      </c>
      <c r="C41">
        <f>IF(G41="","",MAX(C$4:C40)+1)</f>
        <v>29</v>
      </c>
      <c r="D41">
        <f>IF(AND(N41=""),"",MAX(D$4:D40)+1)</f>
        <v>29</v>
      </c>
      <c r="F41" s="26" t="str">
        <f t="shared" si="1"/>
        <v>99999926008</v>
      </c>
      <c r="G41" s="29">
        <f t="shared" si="2"/>
        <v>99999926008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99999926001関連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99999926001</v>
      </c>
      <c r="N41">
        <f>IF(L41&lt;&gt;"○",M41,INDEX(G$4:G40,MATCH(L41&amp;M41,F$4:F40,0)))</f>
        <v>99999926001</v>
      </c>
      <c r="O41" t="str">
        <f t="shared" si="8"/>
        <v>関連</v>
      </c>
      <c r="Q41" s="4">
        <v>44943</v>
      </c>
      <c r="S41" t="str">
        <f t="shared" si="15"/>
        <v>99999926008</v>
      </c>
      <c r="T41" t="s">
        <v>50</v>
      </c>
      <c r="U41" t="s">
        <v>50</v>
      </c>
      <c r="V41" t="s">
        <v>449</v>
      </c>
      <c r="AB41" t="str">
        <f t="shared" si="16"/>
        <v>99999926001関連</v>
      </c>
    </row>
    <row r="42" spans="2:28" x14ac:dyDescent="0.4">
      <c r="B42" t="s">
        <v>21</v>
      </c>
      <c r="C42">
        <f>IF(G42="","",MAX(C$4:C41)+1)</f>
        <v>30</v>
      </c>
      <c r="D42">
        <f>IF(AND(N42=""),"",MAX(D$4:D41)+1)</f>
        <v>30</v>
      </c>
      <c r="F42" s="26" t="str">
        <f t="shared" si="1"/>
        <v>99999926009</v>
      </c>
      <c r="G42" s="29">
        <f t="shared" si="2"/>
        <v>99999926009</v>
      </c>
      <c r="H42" s="20" t="str">
        <f t="shared" si="3"/>
        <v>-</v>
      </c>
      <c r="I42" s="20" t="str">
        <f t="shared" si="4"/>
        <v>ー</v>
      </c>
      <c r="J42" s="20" t="str">
        <f t="shared" si="5"/>
        <v>酒田市</v>
      </c>
      <c r="K42" s="31" t="str">
        <f t="shared" si="6"/>
        <v>99999926001関連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99999926001</v>
      </c>
      <c r="N42">
        <f>IF(L42&lt;&gt;"○",M42,INDEX(G$4:G41,MATCH(L42&amp;M42,F$4:F41,0)))</f>
        <v>99999926001</v>
      </c>
      <c r="O42" t="str">
        <f t="shared" si="8"/>
        <v>関連</v>
      </c>
      <c r="Q42" s="4">
        <v>44943</v>
      </c>
      <c r="S42" t="str">
        <f t="shared" si="15"/>
        <v>99999926009</v>
      </c>
      <c r="T42" t="s">
        <v>50</v>
      </c>
      <c r="U42" t="s">
        <v>50</v>
      </c>
      <c r="V42" t="s">
        <v>449</v>
      </c>
      <c r="AB42" t="str">
        <f t="shared" si="16"/>
        <v>99999926001関連</v>
      </c>
    </row>
    <row r="43" spans="2:28" x14ac:dyDescent="0.4">
      <c r="B43" t="s">
        <v>21</v>
      </c>
      <c r="C43">
        <f>IF(G43="","",MAX(C$4:C42)+1)</f>
        <v>31</v>
      </c>
      <c r="D43">
        <f>IF(AND(N43=""),"",MAX(D$4:D42)+1)</f>
        <v>31</v>
      </c>
      <c r="F43" s="26" t="str">
        <f t="shared" si="1"/>
        <v>99999926010</v>
      </c>
      <c r="G43" s="29">
        <f t="shared" si="2"/>
        <v>99999926010</v>
      </c>
      <c r="H43" s="20" t="str">
        <f t="shared" si="3"/>
        <v>-</v>
      </c>
      <c r="I43" s="20" t="str">
        <f t="shared" si="4"/>
        <v>ー</v>
      </c>
      <c r="J43" s="20" t="str">
        <f t="shared" si="5"/>
        <v>酒田市</v>
      </c>
      <c r="K43" s="31" t="str">
        <f t="shared" si="6"/>
        <v>99999926001関連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99999926001</v>
      </c>
      <c r="N43">
        <f>IF(L43&lt;&gt;"○",M43,INDEX(G$4:G42,MATCH(L43&amp;M43,F$4:F42,0)))</f>
        <v>99999926001</v>
      </c>
      <c r="O43" t="str">
        <f t="shared" si="8"/>
        <v>関連</v>
      </c>
      <c r="Q43" s="4">
        <v>44943</v>
      </c>
      <c r="S43" t="str">
        <f t="shared" si="15"/>
        <v>99999926010</v>
      </c>
      <c r="T43" t="s">
        <v>50</v>
      </c>
      <c r="U43" t="s">
        <v>50</v>
      </c>
      <c r="V43" t="s">
        <v>449</v>
      </c>
      <c r="AB43" t="str">
        <f t="shared" si="16"/>
        <v>99999926001関連</v>
      </c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99999926011</v>
      </c>
      <c r="G44" s="29">
        <f t="shared" si="2"/>
        <v>99999926011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99999926001関連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99999926001</v>
      </c>
      <c r="N44">
        <f>IF(L44&lt;&gt;"○",M44,INDEX(G$4:G43,MATCH(L44&amp;M44,F$4:F43,0)))</f>
        <v>99999926001</v>
      </c>
      <c r="O44" t="str">
        <f t="shared" si="8"/>
        <v>関連</v>
      </c>
      <c r="Q44" s="4">
        <v>44943</v>
      </c>
      <c r="S44" t="str">
        <f t="shared" si="15"/>
        <v>99999926011</v>
      </c>
      <c r="T44" t="s">
        <v>50</v>
      </c>
      <c r="U44" t="s">
        <v>50</v>
      </c>
      <c r="V44" t="s">
        <v>449</v>
      </c>
      <c r="AB44" t="str">
        <f t="shared" si="16"/>
        <v>99999926001関連</v>
      </c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7">IF(G73&lt;&gt;"",R73&amp;S73,"")</f>
        <v/>
      </c>
      <c r="G73" s="29" t="str">
        <f t="shared" ref="G73:G136" si="18">IF(AND((S73 &lt;&gt; ""),(S73 &gt;= 0)), ABS(IF(OR((R73=""),(R73="　")), S73, T73)), "")</f>
        <v/>
      </c>
      <c r="H73" s="20" t="str">
        <f t="shared" ref="H73:H136" si="19">IF(OR((R73=""),(R73="　")),IF(G73 &lt;&gt; "", T73, ""),IF(G73 &lt;&gt; "", U73, ""))</f>
        <v/>
      </c>
      <c r="I73" s="20" t="str">
        <f t="shared" ref="I73:I136" si="20">IF(G73 &lt;&gt; "", IF(COUNTIF(IF(OR((R73=""),(R73="　")), U73, V73),"*男*"),"男性",IF(COUNTIF(IF(OR((R73=""),(R73="　")), U73, V73),"*女*"),"女性","ー")),"")</f>
        <v/>
      </c>
      <c r="J73" s="20" t="str">
        <f t="shared" ref="J73:J136" si="21">IF(G73 &lt;&gt; "", IF(OR((R73=""),(R73="　")), V73, W73),"")</f>
        <v/>
      </c>
      <c r="K73" s="31" t="str">
        <f t="shared" ref="K73:K136" si="22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3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4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7"/>
        <v/>
      </c>
      <c r="G74" s="29" t="str">
        <f t="shared" si="18"/>
        <v/>
      </c>
      <c r="H74" s="20" t="str">
        <f t="shared" si="19"/>
        <v/>
      </c>
      <c r="I74" s="20" t="str">
        <f t="shared" si="20"/>
        <v/>
      </c>
      <c r="J74" s="20" t="str">
        <f t="shared" si="21"/>
        <v/>
      </c>
      <c r="K74" s="31" t="str">
        <f t="shared" si="22"/>
        <v/>
      </c>
      <c r="L74" s="23" t="str">
        <f t="shared" si="23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4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7"/>
        <v/>
      </c>
      <c r="G75" s="29" t="str">
        <f t="shared" si="18"/>
        <v/>
      </c>
      <c r="H75" s="20" t="str">
        <f t="shared" si="19"/>
        <v/>
      </c>
      <c r="I75" s="20" t="str">
        <f t="shared" si="20"/>
        <v/>
      </c>
      <c r="J75" s="20" t="str">
        <f t="shared" si="21"/>
        <v/>
      </c>
      <c r="K75" s="31" t="str">
        <f t="shared" si="22"/>
        <v/>
      </c>
      <c r="L75" s="23" t="str">
        <f t="shared" si="23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4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7"/>
        <v/>
      </c>
      <c r="G76" s="29" t="str">
        <f t="shared" si="18"/>
        <v/>
      </c>
      <c r="H76" s="20" t="str">
        <f t="shared" si="19"/>
        <v/>
      </c>
      <c r="I76" s="20" t="str">
        <f t="shared" si="20"/>
        <v/>
      </c>
      <c r="J76" s="20" t="str">
        <f t="shared" si="21"/>
        <v/>
      </c>
      <c r="K76" s="31" t="str">
        <f t="shared" si="22"/>
        <v/>
      </c>
      <c r="L76" s="23" t="str">
        <f t="shared" si="23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4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7"/>
        <v/>
      </c>
      <c r="G77" s="29" t="str">
        <f t="shared" si="18"/>
        <v/>
      </c>
      <c r="H77" s="20" t="str">
        <f t="shared" si="19"/>
        <v/>
      </c>
      <c r="I77" s="20" t="str">
        <f t="shared" si="20"/>
        <v/>
      </c>
      <c r="J77" s="20" t="str">
        <f t="shared" si="21"/>
        <v/>
      </c>
      <c r="K77" s="31" t="str">
        <f t="shared" si="22"/>
        <v/>
      </c>
      <c r="L77" s="23" t="str">
        <f t="shared" si="23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4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7"/>
        <v/>
      </c>
      <c r="G78" s="29" t="str">
        <f t="shared" si="18"/>
        <v/>
      </c>
      <c r="H78" s="20" t="str">
        <f t="shared" si="19"/>
        <v/>
      </c>
      <c r="I78" s="20" t="str">
        <f t="shared" si="20"/>
        <v/>
      </c>
      <c r="J78" s="20" t="str">
        <f t="shared" si="21"/>
        <v/>
      </c>
      <c r="K78" s="31" t="str">
        <f t="shared" si="22"/>
        <v/>
      </c>
      <c r="L78" s="23" t="str">
        <f t="shared" si="23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4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7"/>
        <v/>
      </c>
      <c r="G79" s="29" t="str">
        <f t="shared" si="18"/>
        <v/>
      </c>
      <c r="H79" s="20" t="str">
        <f t="shared" si="19"/>
        <v/>
      </c>
      <c r="I79" s="20" t="str">
        <f t="shared" si="20"/>
        <v/>
      </c>
      <c r="J79" s="20" t="str">
        <f t="shared" si="21"/>
        <v/>
      </c>
      <c r="K79" s="31" t="str">
        <f t="shared" si="22"/>
        <v/>
      </c>
      <c r="L79" s="23" t="str">
        <f t="shared" si="23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4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7"/>
        <v/>
      </c>
      <c r="G80" s="29" t="str">
        <f t="shared" si="18"/>
        <v/>
      </c>
      <c r="H80" s="20" t="str">
        <f t="shared" si="19"/>
        <v/>
      </c>
      <c r="I80" s="20" t="str">
        <f t="shared" si="20"/>
        <v/>
      </c>
      <c r="J80" s="20" t="str">
        <f t="shared" si="21"/>
        <v/>
      </c>
      <c r="K80" s="31" t="str">
        <f t="shared" si="22"/>
        <v/>
      </c>
      <c r="L80" s="23" t="str">
        <f t="shared" si="23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4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7"/>
        <v/>
      </c>
      <c r="G81" s="29" t="str">
        <f t="shared" si="18"/>
        <v/>
      </c>
      <c r="H81" s="20" t="str">
        <f t="shared" si="19"/>
        <v/>
      </c>
      <c r="I81" s="20" t="str">
        <f t="shared" si="20"/>
        <v/>
      </c>
      <c r="J81" s="20" t="str">
        <f t="shared" si="21"/>
        <v/>
      </c>
      <c r="K81" s="31" t="str">
        <f t="shared" si="22"/>
        <v/>
      </c>
      <c r="L81" s="23" t="str">
        <f t="shared" si="23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4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7"/>
        <v/>
      </c>
      <c r="G82" s="29" t="str">
        <f t="shared" si="18"/>
        <v/>
      </c>
      <c r="H82" s="20" t="str">
        <f t="shared" si="19"/>
        <v/>
      </c>
      <c r="I82" s="20" t="str">
        <f t="shared" si="20"/>
        <v/>
      </c>
      <c r="J82" s="20" t="str">
        <f t="shared" si="21"/>
        <v/>
      </c>
      <c r="K82" s="31" t="str">
        <f t="shared" si="22"/>
        <v/>
      </c>
      <c r="L82" s="23" t="str">
        <f t="shared" si="23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4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7"/>
        <v/>
      </c>
      <c r="G83" s="29" t="str">
        <f t="shared" si="18"/>
        <v/>
      </c>
      <c r="H83" s="20" t="str">
        <f t="shared" si="19"/>
        <v/>
      </c>
      <c r="I83" s="20" t="str">
        <f t="shared" si="20"/>
        <v/>
      </c>
      <c r="J83" s="20" t="str">
        <f t="shared" si="21"/>
        <v/>
      </c>
      <c r="K83" s="31" t="str">
        <f t="shared" si="22"/>
        <v/>
      </c>
      <c r="L83" s="23" t="str">
        <f t="shared" si="23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4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7"/>
        <v/>
      </c>
      <c r="G84" s="29" t="str">
        <f t="shared" si="18"/>
        <v/>
      </c>
      <c r="H84" s="20" t="str">
        <f t="shared" si="19"/>
        <v/>
      </c>
      <c r="I84" s="20" t="str">
        <f t="shared" si="20"/>
        <v/>
      </c>
      <c r="J84" s="20" t="str">
        <f t="shared" si="21"/>
        <v/>
      </c>
      <c r="K84" s="31" t="str">
        <f t="shared" si="22"/>
        <v/>
      </c>
      <c r="L84" s="23" t="str">
        <f t="shared" si="23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4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7"/>
        <v/>
      </c>
      <c r="G85" s="29" t="str">
        <f t="shared" si="18"/>
        <v/>
      </c>
      <c r="H85" s="20" t="str">
        <f t="shared" si="19"/>
        <v/>
      </c>
      <c r="I85" s="20" t="str">
        <f t="shared" si="20"/>
        <v/>
      </c>
      <c r="J85" s="20" t="str">
        <f t="shared" si="21"/>
        <v/>
      </c>
      <c r="K85" s="31" t="str">
        <f t="shared" si="22"/>
        <v/>
      </c>
      <c r="L85" s="23" t="str">
        <f t="shared" si="23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4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7"/>
        <v/>
      </c>
      <c r="G86" s="29" t="str">
        <f t="shared" si="18"/>
        <v/>
      </c>
      <c r="H86" s="20" t="str">
        <f t="shared" si="19"/>
        <v/>
      </c>
      <c r="I86" s="20" t="str">
        <f t="shared" si="20"/>
        <v/>
      </c>
      <c r="J86" s="20" t="str">
        <f t="shared" si="21"/>
        <v/>
      </c>
      <c r="K86" s="31" t="str">
        <f t="shared" si="22"/>
        <v/>
      </c>
      <c r="L86" s="23" t="str">
        <f t="shared" si="23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4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7"/>
        <v/>
      </c>
      <c r="G87" s="29" t="str">
        <f t="shared" si="18"/>
        <v/>
      </c>
      <c r="H87" s="20" t="str">
        <f t="shared" si="19"/>
        <v/>
      </c>
      <c r="I87" s="20" t="str">
        <f t="shared" si="20"/>
        <v/>
      </c>
      <c r="J87" s="20" t="str">
        <f t="shared" si="21"/>
        <v/>
      </c>
      <c r="K87" s="31" t="str">
        <f t="shared" si="22"/>
        <v/>
      </c>
      <c r="L87" s="23" t="str">
        <f t="shared" si="23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4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7"/>
        <v/>
      </c>
      <c r="G88" s="29" t="str">
        <f t="shared" si="18"/>
        <v/>
      </c>
      <c r="H88" s="20" t="str">
        <f t="shared" si="19"/>
        <v/>
      </c>
      <c r="I88" s="20" t="str">
        <f t="shared" si="20"/>
        <v/>
      </c>
      <c r="J88" s="20" t="str">
        <f t="shared" si="21"/>
        <v/>
      </c>
      <c r="K88" s="31" t="str">
        <f t="shared" si="22"/>
        <v/>
      </c>
      <c r="L88" s="23" t="str">
        <f t="shared" si="23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4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7"/>
        <v/>
      </c>
      <c r="G89" s="29" t="str">
        <f t="shared" si="18"/>
        <v/>
      </c>
      <c r="H89" s="20" t="str">
        <f t="shared" si="19"/>
        <v/>
      </c>
      <c r="I89" s="20" t="str">
        <f t="shared" si="20"/>
        <v/>
      </c>
      <c r="J89" s="20" t="str">
        <f t="shared" si="21"/>
        <v/>
      </c>
      <c r="K89" s="31" t="str">
        <f t="shared" si="22"/>
        <v/>
      </c>
      <c r="L89" s="23" t="str">
        <f t="shared" si="23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4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7"/>
        <v/>
      </c>
      <c r="G90" s="29" t="str">
        <f t="shared" si="18"/>
        <v/>
      </c>
      <c r="H90" s="20" t="str">
        <f t="shared" si="19"/>
        <v/>
      </c>
      <c r="I90" s="20" t="str">
        <f t="shared" si="20"/>
        <v/>
      </c>
      <c r="J90" s="20" t="str">
        <f t="shared" si="21"/>
        <v/>
      </c>
      <c r="K90" s="31" t="str">
        <f t="shared" si="22"/>
        <v/>
      </c>
      <c r="L90" s="23" t="str">
        <f t="shared" si="23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4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7"/>
        <v/>
      </c>
      <c r="G91" s="29" t="str">
        <f t="shared" si="18"/>
        <v/>
      </c>
      <c r="H91" s="20" t="str">
        <f t="shared" si="19"/>
        <v/>
      </c>
      <c r="I91" s="20" t="str">
        <f t="shared" si="20"/>
        <v/>
      </c>
      <c r="J91" s="20" t="str">
        <f t="shared" si="21"/>
        <v/>
      </c>
      <c r="K91" s="31" t="str">
        <f t="shared" si="22"/>
        <v/>
      </c>
      <c r="L91" s="23" t="str">
        <f t="shared" si="23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4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7"/>
        <v/>
      </c>
      <c r="G92" s="29" t="str">
        <f t="shared" si="18"/>
        <v/>
      </c>
      <c r="H92" s="20" t="str">
        <f t="shared" si="19"/>
        <v/>
      </c>
      <c r="I92" s="20" t="str">
        <f t="shared" si="20"/>
        <v/>
      </c>
      <c r="J92" s="20" t="str">
        <f t="shared" si="21"/>
        <v/>
      </c>
      <c r="K92" s="31" t="str">
        <f t="shared" si="22"/>
        <v/>
      </c>
      <c r="L92" s="23" t="str">
        <f t="shared" si="23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4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7"/>
        <v/>
      </c>
      <c r="G93" s="29" t="str">
        <f t="shared" si="18"/>
        <v/>
      </c>
      <c r="H93" s="20" t="str">
        <f t="shared" si="19"/>
        <v/>
      </c>
      <c r="I93" s="20" t="str">
        <f t="shared" si="20"/>
        <v/>
      </c>
      <c r="J93" s="20" t="str">
        <f t="shared" si="21"/>
        <v/>
      </c>
      <c r="K93" s="31" t="str">
        <f t="shared" si="22"/>
        <v/>
      </c>
      <c r="L93" s="23" t="str">
        <f t="shared" si="23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4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7"/>
        <v/>
      </c>
      <c r="G94" s="29" t="str">
        <f t="shared" si="18"/>
        <v/>
      </c>
      <c r="H94" s="20" t="str">
        <f t="shared" si="19"/>
        <v/>
      </c>
      <c r="I94" s="20" t="str">
        <f t="shared" si="20"/>
        <v/>
      </c>
      <c r="J94" s="20" t="str">
        <f t="shared" si="21"/>
        <v/>
      </c>
      <c r="K94" s="31" t="str">
        <f t="shared" si="22"/>
        <v/>
      </c>
      <c r="L94" s="23" t="str">
        <f t="shared" si="23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4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7"/>
        <v/>
      </c>
      <c r="G95" s="29" t="str">
        <f t="shared" si="18"/>
        <v/>
      </c>
      <c r="H95" s="20" t="str">
        <f t="shared" si="19"/>
        <v/>
      </c>
      <c r="I95" s="20" t="str">
        <f t="shared" si="20"/>
        <v/>
      </c>
      <c r="J95" s="20" t="str">
        <f t="shared" si="21"/>
        <v/>
      </c>
      <c r="K95" s="31" t="str">
        <f t="shared" si="22"/>
        <v/>
      </c>
      <c r="L95" s="23" t="str">
        <f t="shared" si="23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4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7"/>
        <v/>
      </c>
      <c r="G96" s="29" t="str">
        <f t="shared" si="18"/>
        <v/>
      </c>
      <c r="H96" s="20" t="str">
        <f t="shared" si="19"/>
        <v/>
      </c>
      <c r="I96" s="20" t="str">
        <f t="shared" si="20"/>
        <v/>
      </c>
      <c r="J96" s="20" t="str">
        <f t="shared" si="21"/>
        <v/>
      </c>
      <c r="K96" s="31" t="str">
        <f t="shared" si="22"/>
        <v/>
      </c>
      <c r="L96" s="23" t="str">
        <f t="shared" si="23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4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7"/>
        <v/>
      </c>
      <c r="G97" s="29" t="str">
        <f t="shared" si="18"/>
        <v/>
      </c>
      <c r="H97" s="20" t="str">
        <f t="shared" si="19"/>
        <v/>
      </c>
      <c r="I97" s="20" t="str">
        <f t="shared" si="20"/>
        <v/>
      </c>
      <c r="J97" s="20" t="str">
        <f t="shared" si="21"/>
        <v/>
      </c>
      <c r="K97" s="31" t="str">
        <f t="shared" si="22"/>
        <v/>
      </c>
      <c r="L97" s="23" t="str">
        <f t="shared" si="23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4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7"/>
        <v/>
      </c>
      <c r="G98" s="29" t="str">
        <f t="shared" si="18"/>
        <v/>
      </c>
      <c r="H98" s="20" t="str">
        <f t="shared" si="19"/>
        <v/>
      </c>
      <c r="I98" s="20" t="str">
        <f t="shared" si="20"/>
        <v/>
      </c>
      <c r="J98" s="20" t="str">
        <f t="shared" si="21"/>
        <v/>
      </c>
      <c r="K98" s="31" t="str">
        <f t="shared" si="22"/>
        <v/>
      </c>
      <c r="L98" s="23" t="str">
        <f t="shared" si="23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4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7"/>
        <v/>
      </c>
      <c r="G99" s="29" t="str">
        <f t="shared" si="18"/>
        <v/>
      </c>
      <c r="H99" s="20" t="str">
        <f t="shared" si="19"/>
        <v/>
      </c>
      <c r="I99" s="20" t="str">
        <f t="shared" si="20"/>
        <v/>
      </c>
      <c r="J99" s="20" t="str">
        <f t="shared" si="21"/>
        <v/>
      </c>
      <c r="K99" s="31" t="str">
        <f t="shared" si="22"/>
        <v/>
      </c>
      <c r="L99" s="23" t="str">
        <f t="shared" si="23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4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7"/>
        <v/>
      </c>
      <c r="G100" s="29" t="str">
        <f t="shared" si="18"/>
        <v/>
      </c>
      <c r="H100" s="20" t="str">
        <f t="shared" si="19"/>
        <v/>
      </c>
      <c r="I100" s="20" t="str">
        <f t="shared" si="20"/>
        <v/>
      </c>
      <c r="J100" s="20" t="str">
        <f t="shared" si="21"/>
        <v/>
      </c>
      <c r="K100" s="31" t="str">
        <f t="shared" si="22"/>
        <v/>
      </c>
      <c r="L100" s="23" t="str">
        <f t="shared" si="23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4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7"/>
        <v/>
      </c>
      <c r="G101" s="29" t="str">
        <f t="shared" si="18"/>
        <v/>
      </c>
      <c r="H101" s="20" t="str">
        <f t="shared" si="19"/>
        <v/>
      </c>
      <c r="I101" s="20" t="str">
        <f t="shared" si="20"/>
        <v/>
      </c>
      <c r="J101" s="20" t="str">
        <f t="shared" si="21"/>
        <v/>
      </c>
      <c r="K101" s="31" t="str">
        <f t="shared" si="22"/>
        <v/>
      </c>
      <c r="L101" s="23" t="str">
        <f t="shared" si="23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4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7"/>
        <v/>
      </c>
      <c r="G102" s="29" t="str">
        <f t="shared" si="18"/>
        <v/>
      </c>
      <c r="H102" s="20" t="str">
        <f t="shared" si="19"/>
        <v/>
      </c>
      <c r="I102" s="20" t="str">
        <f t="shared" si="20"/>
        <v/>
      </c>
      <c r="J102" s="20" t="str">
        <f t="shared" si="21"/>
        <v/>
      </c>
      <c r="K102" s="31" t="str">
        <f t="shared" si="22"/>
        <v/>
      </c>
      <c r="L102" s="23" t="str">
        <f t="shared" si="23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4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7"/>
        <v/>
      </c>
      <c r="G103" s="29" t="str">
        <f t="shared" si="18"/>
        <v/>
      </c>
      <c r="H103" s="20" t="str">
        <f t="shared" si="19"/>
        <v/>
      </c>
      <c r="I103" s="20" t="str">
        <f t="shared" si="20"/>
        <v/>
      </c>
      <c r="J103" s="20" t="str">
        <f t="shared" si="21"/>
        <v/>
      </c>
      <c r="K103" s="31" t="str">
        <f t="shared" si="22"/>
        <v/>
      </c>
      <c r="L103" s="23" t="str">
        <f t="shared" si="23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4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7"/>
        <v/>
      </c>
      <c r="G104" s="29" t="str">
        <f t="shared" si="18"/>
        <v/>
      </c>
      <c r="H104" s="20" t="str">
        <f t="shared" si="19"/>
        <v/>
      </c>
      <c r="I104" s="20" t="str">
        <f t="shared" si="20"/>
        <v/>
      </c>
      <c r="J104" s="20" t="str">
        <f t="shared" si="21"/>
        <v/>
      </c>
      <c r="K104" s="31" t="str">
        <f t="shared" si="22"/>
        <v/>
      </c>
      <c r="L104" s="23" t="str">
        <f t="shared" si="23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4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7"/>
        <v/>
      </c>
      <c r="G105" s="29" t="str">
        <f t="shared" si="18"/>
        <v/>
      </c>
      <c r="H105" s="20" t="str">
        <f t="shared" si="19"/>
        <v/>
      </c>
      <c r="I105" s="20" t="str">
        <f t="shared" si="20"/>
        <v/>
      </c>
      <c r="J105" s="20" t="str">
        <f t="shared" si="21"/>
        <v/>
      </c>
      <c r="K105" s="31" t="str">
        <f t="shared" si="22"/>
        <v/>
      </c>
      <c r="L105" s="23" t="str">
        <f t="shared" si="23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4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7"/>
        <v/>
      </c>
      <c r="G106" s="29" t="str">
        <f t="shared" si="18"/>
        <v/>
      </c>
      <c r="H106" s="20" t="str">
        <f t="shared" si="19"/>
        <v/>
      </c>
      <c r="I106" s="20" t="str">
        <f t="shared" si="20"/>
        <v/>
      </c>
      <c r="J106" s="20" t="str">
        <f t="shared" si="21"/>
        <v/>
      </c>
      <c r="K106" s="31" t="str">
        <f t="shared" si="22"/>
        <v/>
      </c>
      <c r="L106" s="23" t="str">
        <f t="shared" si="23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4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7"/>
        <v/>
      </c>
      <c r="G107" s="29" t="str">
        <f t="shared" si="18"/>
        <v/>
      </c>
      <c r="H107" s="20" t="str">
        <f t="shared" si="19"/>
        <v/>
      </c>
      <c r="I107" s="20" t="str">
        <f t="shared" si="20"/>
        <v/>
      </c>
      <c r="J107" s="20" t="str">
        <f t="shared" si="21"/>
        <v/>
      </c>
      <c r="K107" s="31" t="str">
        <f t="shared" si="22"/>
        <v/>
      </c>
      <c r="L107" s="23" t="str">
        <f t="shared" si="23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4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7"/>
        <v/>
      </c>
      <c r="G108" s="29" t="str">
        <f t="shared" si="18"/>
        <v/>
      </c>
      <c r="H108" s="20" t="str">
        <f t="shared" si="19"/>
        <v/>
      </c>
      <c r="I108" s="20" t="str">
        <f t="shared" si="20"/>
        <v/>
      </c>
      <c r="J108" s="20" t="str">
        <f t="shared" si="21"/>
        <v/>
      </c>
      <c r="K108" s="31" t="str">
        <f t="shared" si="22"/>
        <v/>
      </c>
      <c r="L108" s="23" t="str">
        <f t="shared" si="23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4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7"/>
        <v/>
      </c>
      <c r="G109" s="29" t="str">
        <f t="shared" si="18"/>
        <v/>
      </c>
      <c r="H109" s="20" t="str">
        <f t="shared" si="19"/>
        <v/>
      </c>
      <c r="I109" s="20" t="str">
        <f t="shared" si="20"/>
        <v/>
      </c>
      <c r="J109" s="20" t="str">
        <f t="shared" si="21"/>
        <v/>
      </c>
      <c r="K109" s="31" t="str">
        <f t="shared" si="22"/>
        <v/>
      </c>
      <c r="L109" s="23" t="str">
        <f t="shared" si="23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4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7"/>
        <v/>
      </c>
      <c r="G110" s="29" t="str">
        <f t="shared" si="18"/>
        <v/>
      </c>
      <c r="H110" s="20" t="str">
        <f t="shared" si="19"/>
        <v/>
      </c>
      <c r="I110" s="20" t="str">
        <f t="shared" si="20"/>
        <v/>
      </c>
      <c r="J110" s="20" t="str">
        <f t="shared" si="21"/>
        <v/>
      </c>
      <c r="K110" s="31" t="str">
        <f t="shared" si="22"/>
        <v/>
      </c>
      <c r="L110" s="23" t="str">
        <f t="shared" si="23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4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7"/>
        <v/>
      </c>
      <c r="G111" s="29" t="str">
        <f t="shared" si="18"/>
        <v/>
      </c>
      <c r="H111" s="20" t="str">
        <f t="shared" si="19"/>
        <v/>
      </c>
      <c r="I111" s="20" t="str">
        <f t="shared" si="20"/>
        <v/>
      </c>
      <c r="J111" s="20" t="str">
        <f t="shared" si="21"/>
        <v/>
      </c>
      <c r="K111" s="31" t="str">
        <f t="shared" si="22"/>
        <v/>
      </c>
      <c r="L111" s="23" t="str">
        <f t="shared" si="23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4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7"/>
        <v/>
      </c>
      <c r="G112" s="29" t="str">
        <f t="shared" si="18"/>
        <v/>
      </c>
      <c r="H112" s="20" t="str">
        <f t="shared" si="19"/>
        <v/>
      </c>
      <c r="I112" s="20" t="str">
        <f t="shared" si="20"/>
        <v/>
      </c>
      <c r="J112" s="20" t="str">
        <f t="shared" si="21"/>
        <v/>
      </c>
      <c r="K112" s="31" t="str">
        <f t="shared" si="22"/>
        <v/>
      </c>
      <c r="L112" s="23" t="str">
        <f t="shared" si="23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4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7"/>
        <v/>
      </c>
      <c r="G113" s="29" t="str">
        <f t="shared" si="18"/>
        <v/>
      </c>
      <c r="H113" s="20" t="str">
        <f t="shared" si="19"/>
        <v/>
      </c>
      <c r="I113" s="20" t="str">
        <f t="shared" si="20"/>
        <v/>
      </c>
      <c r="J113" s="20" t="str">
        <f t="shared" si="21"/>
        <v/>
      </c>
      <c r="K113" s="31" t="str">
        <f t="shared" si="22"/>
        <v/>
      </c>
      <c r="L113" s="23" t="str">
        <f t="shared" si="23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4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7"/>
        <v/>
      </c>
      <c r="G114" s="29" t="str">
        <f t="shared" si="18"/>
        <v/>
      </c>
      <c r="H114" s="20" t="str">
        <f t="shared" si="19"/>
        <v/>
      </c>
      <c r="I114" s="20" t="str">
        <f t="shared" si="20"/>
        <v/>
      </c>
      <c r="J114" s="20" t="str">
        <f t="shared" si="21"/>
        <v/>
      </c>
      <c r="K114" s="31" t="str">
        <f t="shared" si="22"/>
        <v/>
      </c>
      <c r="L114" s="23" t="str">
        <f t="shared" si="23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4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7"/>
        <v/>
      </c>
      <c r="G115" s="29" t="str">
        <f t="shared" si="18"/>
        <v/>
      </c>
      <c r="H115" s="20" t="str">
        <f t="shared" si="19"/>
        <v/>
      </c>
      <c r="I115" s="20" t="str">
        <f t="shared" si="20"/>
        <v/>
      </c>
      <c r="J115" s="20" t="str">
        <f t="shared" si="21"/>
        <v/>
      </c>
      <c r="K115" s="31" t="str">
        <f t="shared" si="22"/>
        <v/>
      </c>
      <c r="L115" s="23" t="str">
        <f t="shared" si="23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4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7"/>
        <v/>
      </c>
      <c r="G116" s="29" t="str">
        <f t="shared" si="18"/>
        <v/>
      </c>
      <c r="H116" s="20" t="str">
        <f t="shared" si="19"/>
        <v/>
      </c>
      <c r="I116" s="20" t="str">
        <f t="shared" si="20"/>
        <v/>
      </c>
      <c r="J116" s="20" t="str">
        <f t="shared" si="21"/>
        <v/>
      </c>
      <c r="K116" s="31" t="str">
        <f t="shared" si="22"/>
        <v/>
      </c>
      <c r="L116" s="23" t="str">
        <f t="shared" si="23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4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7"/>
        <v/>
      </c>
      <c r="G117" s="29" t="str">
        <f t="shared" si="18"/>
        <v/>
      </c>
      <c r="H117" s="20" t="str">
        <f t="shared" si="19"/>
        <v/>
      </c>
      <c r="I117" s="20" t="str">
        <f t="shared" si="20"/>
        <v/>
      </c>
      <c r="J117" s="20" t="str">
        <f t="shared" si="21"/>
        <v/>
      </c>
      <c r="K117" s="31" t="str">
        <f t="shared" si="22"/>
        <v/>
      </c>
      <c r="L117" s="23" t="str">
        <f t="shared" si="23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4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7"/>
        <v/>
      </c>
      <c r="G118" s="29" t="str">
        <f t="shared" si="18"/>
        <v/>
      </c>
      <c r="H118" s="20" t="str">
        <f t="shared" si="19"/>
        <v/>
      </c>
      <c r="I118" s="20" t="str">
        <f t="shared" si="20"/>
        <v/>
      </c>
      <c r="J118" s="20" t="str">
        <f t="shared" si="21"/>
        <v/>
      </c>
      <c r="K118" s="31" t="str">
        <f t="shared" si="22"/>
        <v/>
      </c>
      <c r="L118" s="23" t="str">
        <f t="shared" si="23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4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7"/>
        <v/>
      </c>
      <c r="G119" s="29" t="str">
        <f t="shared" si="18"/>
        <v/>
      </c>
      <c r="H119" s="20" t="str">
        <f t="shared" si="19"/>
        <v/>
      </c>
      <c r="I119" s="20" t="str">
        <f t="shared" si="20"/>
        <v/>
      </c>
      <c r="J119" s="20" t="str">
        <f t="shared" si="21"/>
        <v/>
      </c>
      <c r="K119" s="31" t="str">
        <f t="shared" si="22"/>
        <v/>
      </c>
      <c r="L119" s="23" t="str">
        <f t="shared" si="23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4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7"/>
        <v/>
      </c>
      <c r="G120" s="29" t="str">
        <f t="shared" si="18"/>
        <v/>
      </c>
      <c r="H120" s="20" t="str">
        <f t="shared" si="19"/>
        <v/>
      </c>
      <c r="I120" s="20" t="str">
        <f t="shared" si="20"/>
        <v/>
      </c>
      <c r="J120" s="20" t="str">
        <f t="shared" si="21"/>
        <v/>
      </c>
      <c r="K120" s="31" t="str">
        <f t="shared" si="22"/>
        <v/>
      </c>
      <c r="L120" s="23" t="str">
        <f t="shared" si="23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4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7"/>
        <v/>
      </c>
      <c r="G121" s="29" t="str">
        <f t="shared" si="18"/>
        <v/>
      </c>
      <c r="H121" s="20" t="str">
        <f t="shared" si="19"/>
        <v/>
      </c>
      <c r="I121" s="20" t="str">
        <f t="shared" si="20"/>
        <v/>
      </c>
      <c r="J121" s="20" t="str">
        <f t="shared" si="21"/>
        <v/>
      </c>
      <c r="K121" s="31" t="str">
        <f t="shared" si="22"/>
        <v/>
      </c>
      <c r="L121" s="23" t="str">
        <f t="shared" si="23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4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7"/>
        <v/>
      </c>
      <c r="G122" s="29" t="str">
        <f t="shared" si="18"/>
        <v/>
      </c>
      <c r="H122" s="20" t="str">
        <f t="shared" si="19"/>
        <v/>
      </c>
      <c r="I122" s="20" t="str">
        <f t="shared" si="20"/>
        <v/>
      </c>
      <c r="J122" s="20" t="str">
        <f t="shared" si="21"/>
        <v/>
      </c>
      <c r="K122" s="31" t="str">
        <f t="shared" si="22"/>
        <v/>
      </c>
      <c r="L122" s="23" t="str">
        <f t="shared" si="23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4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7"/>
        <v/>
      </c>
      <c r="G123" s="29" t="str">
        <f t="shared" si="18"/>
        <v/>
      </c>
      <c r="H123" s="20" t="str">
        <f t="shared" si="19"/>
        <v/>
      </c>
      <c r="I123" s="20" t="str">
        <f t="shared" si="20"/>
        <v/>
      </c>
      <c r="J123" s="20" t="str">
        <f t="shared" si="21"/>
        <v/>
      </c>
      <c r="K123" s="31" t="str">
        <f t="shared" si="22"/>
        <v/>
      </c>
      <c r="L123" s="23" t="str">
        <f t="shared" si="23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4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7"/>
        <v/>
      </c>
      <c r="G124" s="29" t="str">
        <f t="shared" si="18"/>
        <v/>
      </c>
      <c r="H124" s="20" t="str">
        <f t="shared" si="19"/>
        <v/>
      </c>
      <c r="I124" s="20" t="str">
        <f t="shared" si="20"/>
        <v/>
      </c>
      <c r="J124" s="20" t="str">
        <f t="shared" si="21"/>
        <v/>
      </c>
      <c r="K124" s="31" t="str">
        <f t="shared" si="22"/>
        <v/>
      </c>
      <c r="L124" s="23" t="str">
        <f t="shared" si="23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4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7"/>
        <v/>
      </c>
      <c r="G125" s="29" t="str">
        <f t="shared" si="18"/>
        <v/>
      </c>
      <c r="H125" s="20" t="str">
        <f t="shared" si="19"/>
        <v/>
      </c>
      <c r="I125" s="20" t="str">
        <f t="shared" si="20"/>
        <v/>
      </c>
      <c r="J125" s="20" t="str">
        <f t="shared" si="21"/>
        <v/>
      </c>
      <c r="K125" s="31" t="str">
        <f t="shared" si="22"/>
        <v/>
      </c>
      <c r="L125" s="23" t="str">
        <f t="shared" si="23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4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7"/>
        <v/>
      </c>
      <c r="G126" s="29" t="str">
        <f t="shared" si="18"/>
        <v/>
      </c>
      <c r="H126" s="20" t="str">
        <f t="shared" si="19"/>
        <v/>
      </c>
      <c r="I126" s="20" t="str">
        <f t="shared" si="20"/>
        <v/>
      </c>
      <c r="J126" s="20" t="str">
        <f t="shared" si="21"/>
        <v/>
      </c>
      <c r="K126" s="31" t="str">
        <f t="shared" si="22"/>
        <v/>
      </c>
      <c r="L126" s="23" t="str">
        <f t="shared" si="23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4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7"/>
        <v/>
      </c>
      <c r="G127" s="29" t="str">
        <f t="shared" si="18"/>
        <v/>
      </c>
      <c r="H127" s="20" t="str">
        <f t="shared" si="19"/>
        <v/>
      </c>
      <c r="I127" s="20" t="str">
        <f t="shared" si="20"/>
        <v/>
      </c>
      <c r="J127" s="20" t="str">
        <f t="shared" si="21"/>
        <v/>
      </c>
      <c r="K127" s="31" t="str">
        <f t="shared" si="22"/>
        <v/>
      </c>
      <c r="L127" s="23" t="str">
        <f t="shared" si="23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4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7"/>
        <v/>
      </c>
      <c r="G128" s="29" t="str">
        <f t="shared" si="18"/>
        <v/>
      </c>
      <c r="H128" s="20" t="str">
        <f t="shared" si="19"/>
        <v/>
      </c>
      <c r="I128" s="20" t="str">
        <f t="shared" si="20"/>
        <v/>
      </c>
      <c r="J128" s="20" t="str">
        <f t="shared" si="21"/>
        <v/>
      </c>
      <c r="K128" s="31" t="str">
        <f t="shared" si="22"/>
        <v/>
      </c>
      <c r="L128" s="23" t="str">
        <f t="shared" si="23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4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7"/>
        <v/>
      </c>
      <c r="G129" s="29" t="str">
        <f t="shared" si="18"/>
        <v/>
      </c>
      <c r="H129" s="20" t="str">
        <f t="shared" si="19"/>
        <v/>
      </c>
      <c r="I129" s="20" t="str">
        <f t="shared" si="20"/>
        <v/>
      </c>
      <c r="J129" s="20" t="str">
        <f t="shared" si="21"/>
        <v/>
      </c>
      <c r="K129" s="31" t="str">
        <f t="shared" si="22"/>
        <v/>
      </c>
      <c r="L129" s="23" t="str">
        <f t="shared" si="23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4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7"/>
        <v/>
      </c>
      <c r="G130" s="29" t="str">
        <f t="shared" si="18"/>
        <v/>
      </c>
      <c r="H130" s="20" t="str">
        <f t="shared" si="19"/>
        <v/>
      </c>
      <c r="I130" s="20" t="str">
        <f t="shared" si="20"/>
        <v/>
      </c>
      <c r="J130" s="20" t="str">
        <f t="shared" si="21"/>
        <v/>
      </c>
      <c r="K130" s="31" t="str">
        <f t="shared" si="22"/>
        <v/>
      </c>
      <c r="L130" s="23" t="str">
        <f t="shared" si="23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4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7"/>
        <v/>
      </c>
      <c r="G131" s="29" t="str">
        <f t="shared" si="18"/>
        <v/>
      </c>
      <c r="H131" s="20" t="str">
        <f t="shared" si="19"/>
        <v/>
      </c>
      <c r="I131" s="20" t="str">
        <f t="shared" si="20"/>
        <v/>
      </c>
      <c r="J131" s="20" t="str">
        <f t="shared" si="21"/>
        <v/>
      </c>
      <c r="K131" s="31" t="str">
        <f t="shared" si="22"/>
        <v/>
      </c>
      <c r="L131" s="23" t="str">
        <f t="shared" si="23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4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7"/>
        <v/>
      </c>
      <c r="G132" s="29" t="str">
        <f t="shared" si="18"/>
        <v/>
      </c>
      <c r="H132" s="20" t="str">
        <f t="shared" si="19"/>
        <v/>
      </c>
      <c r="I132" s="20" t="str">
        <f t="shared" si="20"/>
        <v/>
      </c>
      <c r="J132" s="20" t="str">
        <f t="shared" si="21"/>
        <v/>
      </c>
      <c r="K132" s="31" t="str">
        <f t="shared" si="22"/>
        <v/>
      </c>
      <c r="L132" s="23" t="str">
        <f t="shared" si="23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4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7"/>
        <v/>
      </c>
      <c r="G133" s="29" t="str">
        <f t="shared" si="18"/>
        <v/>
      </c>
      <c r="H133" s="20" t="str">
        <f t="shared" si="19"/>
        <v/>
      </c>
      <c r="I133" s="20" t="str">
        <f t="shared" si="20"/>
        <v/>
      </c>
      <c r="J133" s="20" t="str">
        <f t="shared" si="21"/>
        <v/>
      </c>
      <c r="K133" s="31" t="str">
        <f t="shared" si="22"/>
        <v/>
      </c>
      <c r="L133" s="23" t="str">
        <f t="shared" si="23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4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7"/>
        <v/>
      </c>
      <c r="G134" s="29" t="str">
        <f t="shared" si="18"/>
        <v/>
      </c>
      <c r="H134" s="20" t="str">
        <f t="shared" si="19"/>
        <v/>
      </c>
      <c r="I134" s="20" t="str">
        <f t="shared" si="20"/>
        <v/>
      </c>
      <c r="J134" s="20" t="str">
        <f t="shared" si="21"/>
        <v/>
      </c>
      <c r="K134" s="31" t="str">
        <f t="shared" si="22"/>
        <v/>
      </c>
      <c r="L134" s="23" t="str">
        <f t="shared" si="23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4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7"/>
        <v/>
      </c>
      <c r="G135" s="29" t="str">
        <f t="shared" si="18"/>
        <v/>
      </c>
      <c r="H135" s="20" t="str">
        <f t="shared" si="19"/>
        <v/>
      </c>
      <c r="I135" s="20" t="str">
        <f t="shared" si="20"/>
        <v/>
      </c>
      <c r="J135" s="20" t="str">
        <f t="shared" si="21"/>
        <v/>
      </c>
      <c r="K135" s="31" t="str">
        <f t="shared" si="22"/>
        <v/>
      </c>
      <c r="L135" s="23" t="str">
        <f t="shared" si="23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4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7"/>
        <v/>
      </c>
      <c r="G136" s="29" t="str">
        <f t="shared" si="18"/>
        <v/>
      </c>
      <c r="H136" s="20" t="str">
        <f t="shared" si="19"/>
        <v/>
      </c>
      <c r="I136" s="20" t="str">
        <f t="shared" si="20"/>
        <v/>
      </c>
      <c r="J136" s="20" t="str">
        <f t="shared" si="21"/>
        <v/>
      </c>
      <c r="K136" s="31" t="str">
        <f t="shared" si="22"/>
        <v/>
      </c>
      <c r="L136" s="23" t="str">
        <f t="shared" si="23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4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99999923001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99999923001介護施設</v>
      </c>
      <c r="I3" s="1">
        <f>IF(H3&lt;&gt;"",IF(ROW(G1)&gt;MAX(Main!$C$4:$C$1048576),"",INDEX(Main!N$4:N$1048576,MATCH(ROW(G1),Main!$C$4:$C$1048576,0))),"")</f>
        <v>99999923001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クラスターNo.923</v>
      </c>
      <c r="M3" s="4" t="str">
        <f>TEXT(IF(ROW(A1)&gt;MAX(Main!$D$4:$D$1048576),"",INDEX(Main!Q$4:Q$1048576,MATCH(ROW(A1),Main!$D$4:$D$1048576,0))), "yyyy/m/d")</f>
        <v>2023/1/17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99999923001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99999923001介護施設</v>
      </c>
      <c r="T3" s="1">
        <f>IF(S3&lt;&gt;"",IF(ROW(G1)&gt;MAX(Main!$D$4:$D$1048576),"",INDEX(Main!N$4:N$1048576,MATCH(ROW(G1),Main!$D$4:$D$1048576,0))),"")</f>
        <v>99999923001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99999923002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99999923001関連</v>
      </c>
      <c r="I4" s="1">
        <f>IF(H4&lt;&gt;"",IF(ROW(G2)&gt;MAX(Main!$C$4:$C$1048576),"",INDEX(Main!N$4:N$1048576,MATCH(ROW(G2),Main!$C$4:$C$1048576,0))),"")</f>
        <v>99999923001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クラスターNo.923</v>
      </c>
      <c r="M4" s="4" t="str">
        <f>TEXT(IF(ROW(A2)&gt;MAX(Main!$D$4:$D$1048576),"",INDEX(Main!Q$4:Q$1048576,MATCH(ROW(A2),Main!$D$4:$D$1048576,0))), "yyyy/m/d")</f>
        <v>2023/1/17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99999923002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99999923001関連</v>
      </c>
      <c r="T4" s="1">
        <f>IF(S4&lt;&gt;"",IF(ROW(G2)&gt;MAX(Main!$D$4:$D$1048576),"",INDEX(Main!N$4:N$1048576,MATCH(ROW(G2),Main!$D$4:$D$1048576,0))),"")</f>
        <v>99999923001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99999923003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99999923001関連</v>
      </c>
      <c r="I5" s="1">
        <f>IF(H5&lt;&gt;"",IF(ROW(G3)&gt;MAX(Main!$C$4:$C$1048576),"",INDEX(Main!N$4:N$1048576,MATCH(ROW(G3),Main!$C$4:$C$1048576,0))),"")</f>
        <v>99999923001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クラスターNo.923</v>
      </c>
      <c r="M5" s="4" t="str">
        <f>TEXT(IF(ROW(A3)&gt;MAX(Main!$D$4:$D$1048576),"",INDEX(Main!Q$4:Q$1048576,MATCH(ROW(A3),Main!$D$4:$D$1048576,0))), "yyyy/m/d")</f>
        <v>2023/1/17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99999923003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99999923001関連</v>
      </c>
      <c r="T5" s="1">
        <f>IF(S5&lt;&gt;"",IF(ROW(G3)&gt;MAX(Main!$D$4:$D$1048576),"",INDEX(Main!N$4:N$1048576,MATCH(ROW(G3),Main!$D$4:$D$1048576,0))),"")</f>
        <v>99999923001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99999923004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99999923001関連</v>
      </c>
      <c r="I6" s="1">
        <f>IF(H6&lt;&gt;"",IF(ROW(G4)&gt;MAX(Main!$C$4:$C$1048576),"",INDEX(Main!N$4:N$1048576,MATCH(ROW(G4),Main!$C$4:$C$1048576,0))),"")</f>
        <v>99999923001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クラスターNo.923</v>
      </c>
      <c r="M6" s="4" t="str">
        <f>TEXT(IF(ROW(A4)&gt;MAX(Main!$D$4:$D$1048576),"",INDEX(Main!Q$4:Q$1048576,MATCH(ROW(A4),Main!$D$4:$D$1048576,0))), "yyyy/m/d")</f>
        <v>2023/1/17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99999923004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99999923001関連</v>
      </c>
      <c r="T6" s="1">
        <f>IF(S6&lt;&gt;"",IF(ROW(G4)&gt;MAX(Main!$D$4:$D$1048576),"",INDEX(Main!N$4:N$1048576,MATCH(ROW(G4),Main!$D$4:$D$1048576,0))),"")</f>
        <v>99999923001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99999923005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99999923001関連</v>
      </c>
      <c r="I7" s="1">
        <f>IF(H7&lt;&gt;"",IF(ROW(G5)&gt;MAX(Main!$C$4:$C$1048576),"",INDEX(Main!N$4:N$1048576,MATCH(ROW(G5),Main!$C$4:$C$1048576,0))),"")</f>
        <v>99999923001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クラスターNo.923</v>
      </c>
      <c r="M7" s="4" t="str">
        <f>TEXT(IF(ROW(A5)&gt;MAX(Main!$D$4:$D$1048576),"",INDEX(Main!Q$4:Q$1048576,MATCH(ROW(A5),Main!$D$4:$D$1048576,0))), "yyyy/m/d")</f>
        <v>2023/1/17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99999923005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99999923001関連</v>
      </c>
      <c r="T7" s="1">
        <f>IF(S7&lt;&gt;"",IF(ROW(G5)&gt;MAX(Main!$D$4:$D$1048576),"",INDEX(Main!N$4:N$1048576,MATCH(ROW(G5),Main!$D$4:$D$1048576,0))),"")</f>
        <v>99999923001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99999923006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99999923001関連</v>
      </c>
      <c r="I8" s="1">
        <f>IF(H8&lt;&gt;"",IF(ROW(G6)&gt;MAX(Main!$C$4:$C$1048576),"",INDEX(Main!N$4:N$1048576,MATCH(ROW(G6),Main!$C$4:$C$1048576,0))),"")</f>
        <v>99999923001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クラスターNo.923</v>
      </c>
      <c r="M8" s="4" t="str">
        <f>TEXT(IF(ROW(A6)&gt;MAX(Main!$D$4:$D$1048576),"",INDEX(Main!Q$4:Q$1048576,MATCH(ROW(A6),Main!$D$4:$D$1048576,0))), "yyyy/m/d")</f>
        <v>2023/1/17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99999923006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99999923001関連</v>
      </c>
      <c r="T8" s="1">
        <f>IF(S8&lt;&gt;"",IF(ROW(G6)&gt;MAX(Main!$D$4:$D$1048576),"",INDEX(Main!N$4:N$1048576,MATCH(ROW(G6),Main!$D$4:$D$1048576,0))),"")</f>
        <v>99999923001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99999923007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99999923001関連</v>
      </c>
      <c r="I9" s="1">
        <f>IF(H9&lt;&gt;"",IF(ROW(G7)&gt;MAX(Main!$C$4:$C$1048576),"",INDEX(Main!N$4:N$1048576,MATCH(ROW(G7),Main!$C$4:$C$1048576,0))),"")</f>
        <v>99999923001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クラスターNo.923</v>
      </c>
      <c r="M9" s="4" t="str">
        <f>TEXT(IF(ROW(A7)&gt;MAX(Main!$D$4:$D$1048576),"",INDEX(Main!Q$4:Q$1048576,MATCH(ROW(A7),Main!$D$4:$D$1048576,0))), "yyyy/m/d")</f>
        <v>2023/1/17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99999923007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99999923001関連</v>
      </c>
      <c r="T9" s="1">
        <f>IF(S9&lt;&gt;"",IF(ROW(G7)&gt;MAX(Main!$D$4:$D$1048576),"",INDEX(Main!N$4:N$1048576,MATCH(ROW(G7),Main!$D$4:$D$1048576,0))),"")</f>
        <v>99999923001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2023/1/17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99999924001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99999924001障がい者施設</v>
      </c>
      <c r="I10" s="1">
        <f>IF(H10&lt;&gt;"",IF(ROW(G8)&gt;MAX(Main!$C$4:$C$1048576),"",INDEX(Main!N$4:N$1048576,MATCH(ROW(G8),Main!$C$4:$C$1048576,0))),"")</f>
        <v>99999924001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障がい者施設</v>
      </c>
      <c r="K10" s="27" t="str">
        <f t="shared" si="1"/>
        <v>クラスターNo.924</v>
      </c>
      <c r="M10" s="4" t="str">
        <f>TEXT(IF(ROW(A8)&gt;MAX(Main!$D$4:$D$1048576),"",INDEX(Main!Q$4:Q$1048576,MATCH(ROW(A8),Main!$D$4:$D$1048576,0))), "yyyy/m/d")</f>
        <v>2023/1/17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99999924001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99999924001障がい者施設</v>
      </c>
      <c r="T10" s="1">
        <f>IF(S10&lt;&gt;"",IF(ROW(G8)&gt;MAX(Main!$D$4:$D$1048576),"",INDEX(Main!N$4:N$1048576,MATCH(ROW(G8),Main!$D$4:$D$1048576,0))),"")</f>
        <v>99999924001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障がい者施設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2023/1/17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99999924002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99999924001関連</v>
      </c>
      <c r="I11" s="1">
        <f>IF(H11&lt;&gt;"",IF(ROW(G9)&gt;MAX(Main!$C$4:$C$1048576),"",INDEX(Main!N$4:N$1048576,MATCH(ROW(G9),Main!$C$4:$C$1048576,0))),"")</f>
        <v>99999924001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クラスターNo.924</v>
      </c>
      <c r="M11" s="4" t="str">
        <f>TEXT(IF(ROW(A9)&gt;MAX(Main!$D$4:$D$1048576),"",INDEX(Main!Q$4:Q$1048576,MATCH(ROW(A9),Main!$D$4:$D$1048576,0))), "yyyy/m/d")</f>
        <v>2023/1/17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99999924002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99999924001関連</v>
      </c>
      <c r="T11" s="1">
        <f>IF(S11&lt;&gt;"",IF(ROW(G9)&gt;MAX(Main!$D$4:$D$1048576),"",INDEX(Main!N$4:N$1048576,MATCH(ROW(G9),Main!$D$4:$D$1048576,0))),"")</f>
        <v>99999924001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2023/1/17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99999924003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99999924001関連</v>
      </c>
      <c r="I12" s="1">
        <f>IF(H12&lt;&gt;"",IF(ROW(G10)&gt;MAX(Main!$C$4:$C$1048576),"",INDEX(Main!N$4:N$1048576,MATCH(ROW(G10),Main!$C$4:$C$1048576,0))),"")</f>
        <v>99999924001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クラスターNo.924</v>
      </c>
      <c r="M12" s="4" t="str">
        <f>TEXT(IF(ROW(A10)&gt;MAX(Main!$D$4:$D$1048576),"",INDEX(Main!Q$4:Q$1048576,MATCH(ROW(A10),Main!$D$4:$D$1048576,0))), "yyyy/m/d")</f>
        <v>2023/1/17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99999924003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99999924001関連</v>
      </c>
      <c r="T12" s="1">
        <f>IF(S12&lt;&gt;"",IF(ROW(G10)&gt;MAX(Main!$D$4:$D$1048576),"",INDEX(Main!N$4:N$1048576,MATCH(ROW(G10),Main!$D$4:$D$1048576,0))),"")</f>
        <v>99999924001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2023/1/17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99999924004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99999924001関連</v>
      </c>
      <c r="I13" s="1">
        <f>IF(H13&lt;&gt;"",IF(ROW(G11)&gt;MAX(Main!$C$4:$C$1048576),"",INDEX(Main!N$4:N$1048576,MATCH(ROW(G11),Main!$C$4:$C$1048576,0))),"")</f>
        <v>99999924001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クラスターNo.924</v>
      </c>
      <c r="M13" s="4" t="str">
        <f>TEXT(IF(ROW(A11)&gt;MAX(Main!$D$4:$D$1048576),"",INDEX(Main!Q$4:Q$1048576,MATCH(ROW(A11),Main!$D$4:$D$1048576,0))), "yyyy/m/d")</f>
        <v>2023/1/17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99999924004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99999924001関連</v>
      </c>
      <c r="T13" s="1">
        <f>IF(S13&lt;&gt;"",IF(ROW(G11)&gt;MAX(Main!$D$4:$D$1048576),"",INDEX(Main!N$4:N$1048576,MATCH(ROW(G11),Main!$D$4:$D$1048576,0))),"")</f>
        <v>99999924001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2023/1/17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99999924005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99999924001関連</v>
      </c>
      <c r="I14" s="1">
        <f>IF(H14&lt;&gt;"",IF(ROW(G12)&gt;MAX(Main!$C$4:$C$1048576),"",INDEX(Main!N$4:N$1048576,MATCH(ROW(G12),Main!$C$4:$C$1048576,0))),"")</f>
        <v>99999924001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クラスターNo.924</v>
      </c>
      <c r="M14" s="4" t="str">
        <f>TEXT(IF(ROW(A12)&gt;MAX(Main!$D$4:$D$1048576),"",INDEX(Main!Q$4:Q$1048576,MATCH(ROW(A12),Main!$D$4:$D$1048576,0))), "yyyy/m/d")</f>
        <v>2023/1/17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99999924005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99999924001関連</v>
      </c>
      <c r="T14" s="1">
        <f>IF(S14&lt;&gt;"",IF(ROW(G12)&gt;MAX(Main!$D$4:$D$1048576),"",INDEX(Main!N$4:N$1048576,MATCH(ROW(G12),Main!$D$4:$D$1048576,0))),"")</f>
        <v>99999924001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2023/1/17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99999924006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99999924001関連</v>
      </c>
      <c r="I15" s="1">
        <f>IF(H15&lt;&gt;"",IF(ROW(G13)&gt;MAX(Main!$C$4:$C$1048576),"",INDEX(Main!N$4:N$1048576,MATCH(ROW(G13),Main!$C$4:$C$1048576,0))),"")</f>
        <v>99999924001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クラスターNo.924</v>
      </c>
      <c r="M15" s="4" t="str">
        <f>TEXT(IF(ROW(A13)&gt;MAX(Main!$D$4:$D$1048576),"",INDEX(Main!Q$4:Q$1048576,MATCH(ROW(A13),Main!$D$4:$D$1048576,0))), "yyyy/m/d")</f>
        <v>2023/1/17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99999924006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99999924001関連</v>
      </c>
      <c r="T15" s="1">
        <f>IF(S15&lt;&gt;"",IF(ROW(G13)&gt;MAX(Main!$D$4:$D$1048576),"",INDEX(Main!N$4:N$1048576,MATCH(ROW(G13),Main!$D$4:$D$1048576,0))),"")</f>
        <v>99999924001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2023/1/17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99999924007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99999924001関連</v>
      </c>
      <c r="I16" s="1">
        <f>IF(H16&lt;&gt;"",IF(ROW(G14)&gt;MAX(Main!$C$4:$C$1048576),"",INDEX(Main!N$4:N$1048576,MATCH(ROW(G14),Main!$C$4:$C$1048576,0))),"")</f>
        <v>99999924001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クラスターNo.924</v>
      </c>
      <c r="M16" s="4" t="str">
        <f>TEXT(IF(ROW(A14)&gt;MAX(Main!$D$4:$D$1048576),"",INDEX(Main!Q$4:Q$1048576,MATCH(ROW(A14),Main!$D$4:$D$1048576,0))), "yyyy/m/d")</f>
        <v>2023/1/17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99999924007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99999924001関連</v>
      </c>
      <c r="T16" s="1">
        <f>IF(S16&lt;&gt;"",IF(ROW(G14)&gt;MAX(Main!$D$4:$D$1048576),"",INDEX(Main!N$4:N$1048576,MATCH(ROW(G14),Main!$D$4:$D$1048576,0))),"")</f>
        <v>99999924001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2023/1/17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99999925001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遊佐町</v>
      </c>
      <c r="H17" s="10" t="str">
        <f>IF(ROW(G15)&gt;MAX(Main!$C$4:$C$1048576),"",INDEX(Main!K$4:K$1048576,MATCH(ROW(G15),Main!$C$4:$C$1048576,0)))</f>
        <v>99999925001介護施設</v>
      </c>
      <c r="I17" s="1">
        <f>IF(H17&lt;&gt;"",IF(ROW(G15)&gt;MAX(Main!$C$4:$C$1048576),"",INDEX(Main!N$4:N$1048576,MATCH(ROW(G15),Main!$C$4:$C$1048576,0))),"")</f>
        <v>99999925001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介護施設</v>
      </c>
      <c r="K17" s="27" t="str">
        <f t="shared" si="1"/>
        <v>クラスターNo.925</v>
      </c>
      <c r="M17" s="4" t="str">
        <f>TEXT(IF(ROW(A15)&gt;MAX(Main!$D$4:$D$1048576),"",INDEX(Main!Q$4:Q$1048576,MATCH(ROW(A15),Main!$D$4:$D$1048576,0))), "yyyy/m/d")</f>
        <v>2023/1/17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99999925001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遊佐町</v>
      </c>
      <c r="S17" s="9" t="str">
        <f>IF(ROW(G15)&gt;MAX(Main!$D$4:$D$1048576),"",INDEX(Main!K$4:K$1048576,MATCH(ROW(G15),Main!$D$4:$D$1048576,0)))</f>
        <v>99999925001介護施設</v>
      </c>
      <c r="T17" s="1">
        <f>IF(S17&lt;&gt;"",IF(ROW(G15)&gt;MAX(Main!$D$4:$D$1048576),"",INDEX(Main!N$4:N$1048576,MATCH(ROW(G15),Main!$D$4:$D$1048576,0))),"")</f>
        <v>99999925001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介護施設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2023/1/17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99999925002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遊佐町</v>
      </c>
      <c r="H18" s="10" t="str">
        <f>IF(ROW(G16)&gt;MAX(Main!$C$4:$C$1048576),"",INDEX(Main!K$4:K$1048576,MATCH(ROW(G16),Main!$C$4:$C$1048576,0)))</f>
        <v>99999925001関連</v>
      </c>
      <c r="I18" s="1">
        <f>IF(H18&lt;&gt;"",IF(ROW(G16)&gt;MAX(Main!$C$4:$C$1048576),"",INDEX(Main!N$4:N$1048576,MATCH(ROW(G16),Main!$C$4:$C$1048576,0))),"")</f>
        <v>99999925001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クラスターNo.925</v>
      </c>
      <c r="M18" s="4" t="str">
        <f>TEXT(IF(ROW(A16)&gt;MAX(Main!$D$4:$D$1048576),"",INDEX(Main!Q$4:Q$1048576,MATCH(ROW(A16),Main!$D$4:$D$1048576,0))), "yyyy/m/d")</f>
        <v>2023/1/17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99999925002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遊佐町</v>
      </c>
      <c r="S18" s="9" t="str">
        <f>IF(ROW(G16)&gt;MAX(Main!$D$4:$D$1048576),"",INDEX(Main!K$4:K$1048576,MATCH(ROW(G16),Main!$D$4:$D$1048576,0)))</f>
        <v>99999925001関連</v>
      </c>
      <c r="T18" s="1">
        <f>IF(S18&lt;&gt;"",IF(ROW(G16)&gt;MAX(Main!$D$4:$D$1048576),"",INDEX(Main!N$4:N$1048576,MATCH(ROW(G16),Main!$D$4:$D$1048576,0))),"")</f>
        <v>99999925001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2023/1/17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99999925003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遊佐町</v>
      </c>
      <c r="H19" s="10" t="str">
        <f>IF(ROW(G17)&gt;MAX(Main!$C$4:$C$1048576),"",INDEX(Main!K$4:K$1048576,MATCH(ROW(G17),Main!$C$4:$C$1048576,0)))</f>
        <v>99999925001関連</v>
      </c>
      <c r="I19" s="1">
        <f>IF(H19&lt;&gt;"",IF(ROW(G17)&gt;MAX(Main!$C$4:$C$1048576),"",INDEX(Main!N$4:N$1048576,MATCH(ROW(G17),Main!$C$4:$C$1048576,0))),"")</f>
        <v>99999925001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クラスターNo.925</v>
      </c>
      <c r="M19" s="4" t="str">
        <f>TEXT(IF(ROW(A17)&gt;MAX(Main!$D$4:$D$1048576),"",INDEX(Main!Q$4:Q$1048576,MATCH(ROW(A17),Main!$D$4:$D$1048576,0))), "yyyy/m/d")</f>
        <v>2023/1/17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99999925003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遊佐町</v>
      </c>
      <c r="S19" s="9" t="str">
        <f>IF(ROW(G17)&gt;MAX(Main!$D$4:$D$1048576),"",INDEX(Main!K$4:K$1048576,MATCH(ROW(G17),Main!$D$4:$D$1048576,0)))</f>
        <v>99999925001関連</v>
      </c>
      <c r="T19" s="1">
        <f>IF(S19&lt;&gt;"",IF(ROW(G17)&gt;MAX(Main!$D$4:$D$1048576),"",INDEX(Main!N$4:N$1048576,MATCH(ROW(G17),Main!$D$4:$D$1048576,0))),"")</f>
        <v>99999925001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2023/1/17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99999925004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遊佐町</v>
      </c>
      <c r="H20" s="10" t="str">
        <f>IF(ROW(G18)&gt;MAX(Main!$C$4:$C$1048576),"",INDEX(Main!K$4:K$1048576,MATCH(ROW(G18),Main!$C$4:$C$1048576,0)))</f>
        <v>99999925001関連</v>
      </c>
      <c r="I20" s="1">
        <f>IF(H20&lt;&gt;"",IF(ROW(G18)&gt;MAX(Main!$C$4:$C$1048576),"",INDEX(Main!N$4:N$1048576,MATCH(ROW(G18),Main!$C$4:$C$1048576,0))),"")</f>
        <v>99999925001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クラスターNo.925</v>
      </c>
      <c r="M20" s="4" t="str">
        <f>TEXT(IF(ROW(A18)&gt;MAX(Main!$D$4:$D$1048576),"",INDEX(Main!Q$4:Q$1048576,MATCH(ROW(A18),Main!$D$4:$D$1048576,0))), "yyyy/m/d")</f>
        <v>2023/1/17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99999925004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遊佐町</v>
      </c>
      <c r="S20" s="9" t="str">
        <f>IF(ROW(G18)&gt;MAX(Main!$D$4:$D$1048576),"",INDEX(Main!K$4:K$1048576,MATCH(ROW(G18),Main!$D$4:$D$1048576,0)))</f>
        <v>99999925001関連</v>
      </c>
      <c r="T20" s="1">
        <f>IF(S20&lt;&gt;"",IF(ROW(G18)&gt;MAX(Main!$D$4:$D$1048576),"",INDEX(Main!N$4:N$1048576,MATCH(ROW(G18),Main!$D$4:$D$1048576,0))),"")</f>
        <v>99999925001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2023/1/17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99999925005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遊佐町</v>
      </c>
      <c r="H21" s="10" t="str">
        <f>IF(ROW(G19)&gt;MAX(Main!$C$4:$C$1048576),"",INDEX(Main!K$4:K$1048576,MATCH(ROW(G19),Main!$C$4:$C$1048576,0)))</f>
        <v>99999925001関連</v>
      </c>
      <c r="I21" s="1">
        <f>IF(H21&lt;&gt;"",IF(ROW(G19)&gt;MAX(Main!$C$4:$C$1048576),"",INDEX(Main!N$4:N$1048576,MATCH(ROW(G19),Main!$C$4:$C$1048576,0))),"")</f>
        <v>99999925001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クラスターNo.925</v>
      </c>
      <c r="M21" s="4" t="str">
        <f>TEXT(IF(ROW(A19)&gt;MAX(Main!$D$4:$D$1048576),"",INDEX(Main!Q$4:Q$1048576,MATCH(ROW(A19),Main!$D$4:$D$1048576,0))), "yyyy/m/d")</f>
        <v>2023/1/17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99999925005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遊佐町</v>
      </c>
      <c r="S21" s="9" t="str">
        <f>IF(ROW(G19)&gt;MAX(Main!$D$4:$D$1048576),"",INDEX(Main!K$4:K$1048576,MATCH(ROW(G19),Main!$D$4:$D$1048576,0)))</f>
        <v>99999925001関連</v>
      </c>
      <c r="T21" s="1">
        <f>IF(S21&lt;&gt;"",IF(ROW(G19)&gt;MAX(Main!$D$4:$D$1048576),"",INDEX(Main!N$4:N$1048576,MATCH(ROW(G19),Main!$D$4:$D$1048576,0))),"")</f>
        <v>99999925001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2023/1/17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99999925006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遊佐町</v>
      </c>
      <c r="H22" s="10" t="str">
        <f>IF(ROW(G20)&gt;MAX(Main!$C$4:$C$1048576),"",INDEX(Main!K$4:K$1048576,MATCH(ROW(G20),Main!$C$4:$C$1048576,0)))</f>
        <v>99999925001関連</v>
      </c>
      <c r="I22" s="1">
        <f>IF(H22&lt;&gt;"",IF(ROW(G20)&gt;MAX(Main!$C$4:$C$1048576),"",INDEX(Main!N$4:N$1048576,MATCH(ROW(G20),Main!$C$4:$C$1048576,0))),"")</f>
        <v>99999925001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クラスターNo.925</v>
      </c>
      <c r="M22" s="4" t="str">
        <f>TEXT(IF(ROW(A20)&gt;MAX(Main!$D$4:$D$1048576),"",INDEX(Main!Q$4:Q$1048576,MATCH(ROW(A20),Main!$D$4:$D$1048576,0))), "yyyy/m/d")</f>
        <v>2023/1/17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99999925006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遊佐町</v>
      </c>
      <c r="S22" s="9" t="str">
        <f>IF(ROW(G20)&gt;MAX(Main!$D$4:$D$1048576),"",INDEX(Main!K$4:K$1048576,MATCH(ROW(G20),Main!$D$4:$D$1048576,0)))</f>
        <v>99999925001関連</v>
      </c>
      <c r="T22" s="1">
        <f>IF(S22&lt;&gt;"",IF(ROW(G20)&gt;MAX(Main!$D$4:$D$1048576),"",INDEX(Main!N$4:N$1048576,MATCH(ROW(G20),Main!$D$4:$D$1048576,0))),"")</f>
        <v>99999925001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2023/1/17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99999925007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遊佐町</v>
      </c>
      <c r="H23" s="10" t="str">
        <f>IF(ROW(G21)&gt;MAX(Main!$C$4:$C$1048576),"",INDEX(Main!K$4:K$1048576,MATCH(ROW(G21),Main!$C$4:$C$1048576,0)))</f>
        <v>99999925001関連</v>
      </c>
      <c r="I23" s="1">
        <f>IF(H23&lt;&gt;"",IF(ROW(G21)&gt;MAX(Main!$C$4:$C$1048576),"",INDEX(Main!N$4:N$1048576,MATCH(ROW(G21),Main!$C$4:$C$1048576,0))),"")</f>
        <v>99999925001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クラスターNo.925</v>
      </c>
      <c r="M23" s="4" t="str">
        <f>TEXT(IF(ROW(A21)&gt;MAX(Main!$D$4:$D$1048576),"",INDEX(Main!Q$4:Q$1048576,MATCH(ROW(A21),Main!$D$4:$D$1048576,0))), "yyyy/m/d")</f>
        <v>2023/1/17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99999925007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遊佐町</v>
      </c>
      <c r="S23" s="9" t="str">
        <f>IF(ROW(G21)&gt;MAX(Main!$D$4:$D$1048576),"",INDEX(Main!K$4:K$1048576,MATCH(ROW(G21),Main!$D$4:$D$1048576,0)))</f>
        <v>99999925001関連</v>
      </c>
      <c r="T23" s="1">
        <f>IF(S23&lt;&gt;"",IF(ROW(G21)&gt;MAX(Main!$D$4:$D$1048576),"",INDEX(Main!N$4:N$1048576,MATCH(ROW(G21),Main!$D$4:$D$1048576,0))),"")</f>
        <v>99999925001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2023/1/17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99999926001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99999926001介護施設</v>
      </c>
      <c r="I24" s="1">
        <f>IF(H24&lt;&gt;"",IF(ROW(G22)&gt;MAX(Main!$C$4:$C$1048576),"",INDEX(Main!N$4:N$1048576,MATCH(ROW(G22),Main!$C$4:$C$1048576,0))),"")</f>
        <v>99999926001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介護施設</v>
      </c>
      <c r="K24" s="27" t="str">
        <f t="shared" si="1"/>
        <v>クラスターNo.926</v>
      </c>
      <c r="M24" s="4" t="str">
        <f>TEXT(IF(ROW(A22)&gt;MAX(Main!$D$4:$D$1048576),"",INDEX(Main!Q$4:Q$1048576,MATCH(ROW(A22),Main!$D$4:$D$1048576,0))), "yyyy/m/d")</f>
        <v>2023/1/17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99999926001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99999926001介護施設</v>
      </c>
      <c r="T24" s="1">
        <f>IF(S24&lt;&gt;"",IF(ROW(G22)&gt;MAX(Main!$D$4:$D$1048576),"",INDEX(Main!N$4:N$1048576,MATCH(ROW(G22),Main!$D$4:$D$1048576,0))),"")</f>
        <v>99999926001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介護施設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2023/1/17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99999926002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99999926001関連</v>
      </c>
      <c r="I25" s="1">
        <f>IF(H25&lt;&gt;"",IF(ROW(G23)&gt;MAX(Main!$C$4:$C$1048576),"",INDEX(Main!N$4:N$1048576,MATCH(ROW(G23),Main!$C$4:$C$1048576,0))),"")</f>
        <v>99999926001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クラスターNo.926</v>
      </c>
      <c r="M25" s="4" t="str">
        <f>TEXT(IF(ROW(A23)&gt;MAX(Main!$D$4:$D$1048576),"",INDEX(Main!Q$4:Q$1048576,MATCH(ROW(A23),Main!$D$4:$D$1048576,0))), "yyyy/m/d")</f>
        <v>2023/1/17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99999926002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99999926001関連</v>
      </c>
      <c r="T25" s="1">
        <f>IF(S25&lt;&gt;"",IF(ROW(G23)&gt;MAX(Main!$D$4:$D$1048576),"",INDEX(Main!N$4:N$1048576,MATCH(ROW(G23),Main!$D$4:$D$1048576,0))),"")</f>
        <v>99999926001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2023/1/17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99999926003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酒田市</v>
      </c>
      <c r="H26" s="10" t="str">
        <f>IF(ROW(G24)&gt;MAX(Main!$C$4:$C$1048576),"",INDEX(Main!K$4:K$1048576,MATCH(ROW(G24),Main!$C$4:$C$1048576,0)))</f>
        <v>99999926001関連</v>
      </c>
      <c r="I26" s="1">
        <f>IF(H26&lt;&gt;"",IF(ROW(G24)&gt;MAX(Main!$C$4:$C$1048576),"",INDEX(Main!N$4:N$1048576,MATCH(ROW(G24),Main!$C$4:$C$1048576,0))),"")</f>
        <v>99999926001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クラスターNo.926</v>
      </c>
      <c r="M26" s="4" t="str">
        <f>TEXT(IF(ROW(A24)&gt;MAX(Main!$D$4:$D$1048576),"",INDEX(Main!Q$4:Q$1048576,MATCH(ROW(A24),Main!$D$4:$D$1048576,0))), "yyyy/m/d")</f>
        <v>2023/1/17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99999926003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酒田市</v>
      </c>
      <c r="S26" s="9" t="str">
        <f>IF(ROW(G24)&gt;MAX(Main!$D$4:$D$1048576),"",INDEX(Main!K$4:K$1048576,MATCH(ROW(G24),Main!$D$4:$D$1048576,0)))</f>
        <v>99999926001関連</v>
      </c>
      <c r="T26" s="1">
        <f>IF(S26&lt;&gt;"",IF(ROW(G24)&gt;MAX(Main!$D$4:$D$1048576),"",INDEX(Main!N$4:N$1048576,MATCH(ROW(G24),Main!$D$4:$D$1048576,0))),"")</f>
        <v>99999926001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2023/1/17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99999926004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99999926001関連</v>
      </c>
      <c r="I27" s="1">
        <f>IF(H27&lt;&gt;"",IF(ROW(G25)&gt;MAX(Main!$C$4:$C$1048576),"",INDEX(Main!N$4:N$1048576,MATCH(ROW(G25),Main!$C$4:$C$1048576,0))),"")</f>
        <v>99999926001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クラスターNo.926</v>
      </c>
      <c r="M27" s="4" t="str">
        <f>TEXT(IF(ROW(A25)&gt;MAX(Main!$D$4:$D$1048576),"",INDEX(Main!Q$4:Q$1048576,MATCH(ROW(A25),Main!$D$4:$D$1048576,0))), "yyyy/m/d")</f>
        <v>2023/1/17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99999926004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99999926001関連</v>
      </c>
      <c r="T27" s="1">
        <f>IF(S27&lt;&gt;"",IF(ROW(G25)&gt;MAX(Main!$D$4:$D$1048576),"",INDEX(Main!N$4:N$1048576,MATCH(ROW(G25),Main!$D$4:$D$1048576,0))),"")</f>
        <v>99999926001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2023/1/17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99999926005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99999926001関連</v>
      </c>
      <c r="I28" s="1">
        <f>IF(H28&lt;&gt;"",IF(ROW(G26)&gt;MAX(Main!$C$4:$C$1048576),"",INDEX(Main!N$4:N$1048576,MATCH(ROW(G26),Main!$C$4:$C$1048576,0))),"")</f>
        <v>99999926001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クラスターNo.926</v>
      </c>
      <c r="M28" s="4" t="str">
        <f>TEXT(IF(ROW(A26)&gt;MAX(Main!$D$4:$D$1048576),"",INDEX(Main!Q$4:Q$1048576,MATCH(ROW(A26),Main!$D$4:$D$1048576,0))), "yyyy/m/d")</f>
        <v>2023/1/17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99999926005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99999926001関連</v>
      </c>
      <c r="T28" s="1">
        <f>IF(S28&lt;&gt;"",IF(ROW(G26)&gt;MAX(Main!$D$4:$D$1048576),"",INDEX(Main!N$4:N$1048576,MATCH(ROW(G26),Main!$D$4:$D$1048576,0))),"")</f>
        <v>99999926001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2023/1/17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99999926006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99999926001関連</v>
      </c>
      <c r="I29" s="1">
        <f>IF(H29&lt;&gt;"",IF(ROW(G27)&gt;MAX(Main!$C$4:$C$1048576),"",INDEX(Main!N$4:N$1048576,MATCH(ROW(G27),Main!$C$4:$C$1048576,0))),"")</f>
        <v>99999926001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クラスターNo.926</v>
      </c>
      <c r="M29" s="4" t="str">
        <f>TEXT(IF(ROW(A27)&gt;MAX(Main!$D$4:$D$1048576),"",INDEX(Main!Q$4:Q$1048576,MATCH(ROW(A27),Main!$D$4:$D$1048576,0))), "yyyy/m/d")</f>
        <v>2023/1/17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99999926006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99999926001関連</v>
      </c>
      <c r="T29" s="1">
        <f>IF(S29&lt;&gt;"",IF(ROW(G27)&gt;MAX(Main!$D$4:$D$1048576),"",INDEX(Main!N$4:N$1048576,MATCH(ROW(G27),Main!$D$4:$D$1048576,0))),"")</f>
        <v>99999926001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2023/1/17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99999926007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99999926001関連</v>
      </c>
      <c r="I30" s="1">
        <f>IF(H30&lt;&gt;"",IF(ROW(G28)&gt;MAX(Main!$C$4:$C$1048576),"",INDEX(Main!N$4:N$1048576,MATCH(ROW(G28),Main!$C$4:$C$1048576,0))),"")</f>
        <v>99999926001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クラスターNo.926</v>
      </c>
      <c r="M30" s="4" t="str">
        <f>TEXT(IF(ROW(A28)&gt;MAX(Main!$D$4:$D$1048576),"",INDEX(Main!Q$4:Q$1048576,MATCH(ROW(A28),Main!$D$4:$D$1048576,0))), "yyyy/m/d")</f>
        <v>2023/1/17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99999926007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99999926001関連</v>
      </c>
      <c r="T30" s="1">
        <f>IF(S30&lt;&gt;"",IF(ROW(G28)&gt;MAX(Main!$D$4:$D$1048576),"",INDEX(Main!N$4:N$1048576,MATCH(ROW(G28),Main!$D$4:$D$1048576,0))),"")</f>
        <v>99999926001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2023/1/17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99999926008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99999926001関連</v>
      </c>
      <c r="I31" s="1">
        <f>IF(H31&lt;&gt;"",IF(ROW(G29)&gt;MAX(Main!$C$4:$C$1048576),"",INDEX(Main!N$4:N$1048576,MATCH(ROW(G29),Main!$C$4:$C$1048576,0))),"")</f>
        <v>99999926001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クラスターNo.926</v>
      </c>
      <c r="M31" s="4" t="str">
        <f>TEXT(IF(ROW(A29)&gt;MAX(Main!$D$4:$D$1048576),"",INDEX(Main!Q$4:Q$1048576,MATCH(ROW(A29),Main!$D$4:$D$1048576,0))), "yyyy/m/d")</f>
        <v>2023/1/17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99999926008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99999926001関連</v>
      </c>
      <c r="T31" s="1">
        <f>IF(S31&lt;&gt;"",IF(ROW(G29)&gt;MAX(Main!$D$4:$D$1048576),"",INDEX(Main!N$4:N$1048576,MATCH(ROW(G29),Main!$D$4:$D$1048576,0))),"")</f>
        <v>99999926001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2023/1/17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99999926009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99999926001関連</v>
      </c>
      <c r="I32" s="1">
        <f>IF(H32&lt;&gt;"",IF(ROW(G30)&gt;MAX(Main!$C$4:$C$1048576),"",INDEX(Main!N$4:N$1048576,MATCH(ROW(G30),Main!$C$4:$C$1048576,0))),"")</f>
        <v>99999926001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クラスターNo.926</v>
      </c>
      <c r="M32" s="4" t="str">
        <f>TEXT(IF(ROW(A30)&gt;MAX(Main!$D$4:$D$1048576),"",INDEX(Main!Q$4:Q$1048576,MATCH(ROW(A30),Main!$D$4:$D$1048576,0))), "yyyy/m/d")</f>
        <v>2023/1/17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99999926009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99999926001関連</v>
      </c>
      <c r="T32" s="1">
        <f>IF(S32&lt;&gt;"",IF(ROW(G30)&gt;MAX(Main!$D$4:$D$1048576),"",INDEX(Main!N$4:N$1048576,MATCH(ROW(G30),Main!$D$4:$D$1048576,0))),"")</f>
        <v>99999926001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2023/1/17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99999926010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99999926001関連</v>
      </c>
      <c r="I33" s="1">
        <f>IF(H33&lt;&gt;"",IF(ROW(G31)&gt;MAX(Main!$C$4:$C$1048576),"",INDEX(Main!N$4:N$1048576,MATCH(ROW(G31),Main!$C$4:$C$1048576,0))),"")</f>
        <v>99999926001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クラスターNo.926</v>
      </c>
      <c r="M33" s="4" t="str">
        <f>TEXT(IF(ROW(A31)&gt;MAX(Main!$D$4:$D$1048576),"",INDEX(Main!Q$4:Q$1048576,MATCH(ROW(A31),Main!$D$4:$D$1048576,0))), "yyyy/m/d")</f>
        <v>2023/1/17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99999926010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99999926001関連</v>
      </c>
      <c r="T33" s="1">
        <f>IF(S33&lt;&gt;"",IF(ROW(G31)&gt;MAX(Main!$D$4:$D$1048576),"",INDEX(Main!N$4:N$1048576,MATCH(ROW(G31),Main!$D$4:$D$1048576,0))),"")</f>
        <v>99999926001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2023/1/17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99999926011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99999926001関連</v>
      </c>
      <c r="I34" s="1">
        <f>IF(H34&lt;&gt;"",IF(ROW(G32)&gt;MAX(Main!$C$4:$C$1048576),"",INDEX(Main!N$4:N$1048576,MATCH(ROW(G32),Main!$C$4:$C$1048576,0))),"")</f>
        <v>99999926001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クラスターNo.926</v>
      </c>
      <c r="M34" s="4" t="str">
        <f>TEXT(IF(ROW(A32)&gt;MAX(Main!$D$4:$D$1048576),"",INDEX(Main!Q$4:Q$1048576,MATCH(ROW(A32),Main!$D$4:$D$1048576,0))), "yyyy/m/d")</f>
        <v>2023/1/17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99999926011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99999926001関連</v>
      </c>
      <c r="T34" s="1">
        <f>IF(S34&lt;&gt;"",IF(ROW(G32)&gt;MAX(Main!$D$4:$D$1048576),"",INDEX(Main!N$4:N$1048576,MATCH(ROW(G32),Main!$D$4:$D$1048576,0))),"")</f>
        <v>99999926001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32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99999923001,
            "date": "2023/1/17",
            "label": "クラスターNo.923\n2023/1/17\n南陽市\n-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99999923002,
            "date": "2023/1/17",
            "label": "クラスターNo.923\n2023/1/17\n南陽市\n-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99999923003,
            "date": "2023/1/17",
            "label": "クラスターNo.923\n2023/1/17\n南陽市\n-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99999923004,
            "date": "2023/1/17",
            "label": "クラスターNo.923\n2023/1/17\n南陽市\n-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99999923005,
            "date": "2023/1/17",
            "label": "クラスターNo.923\n2023/1/17\n南陽市\n-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99999923006,
            "date": "2023/1/17",
            "label": "クラスターNo.923\n2023/1/17\n南陽市\n-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99999923007,
            "date": "2023/1/17",
            "label": "クラスターNo.923\n2023/1/17\n南陽市\n-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99999924001,
            "date": "2023/1/17",
            "label": "クラスターNo.924\n2023/1/17\n鶴岡市\n-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99999924002,
            "date": "2023/1/17",
            "label": "クラスターNo.924\n2023/1/17\n鶴岡市\n-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99999924003,
            "date": "2023/1/17",
            "label": "クラスターNo.924\n2023/1/17\n鶴岡市\n-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99999924004,
            "date": "2023/1/17",
            "label": "クラスターNo.924\n2023/1/17\n鶴岡市\n- ー"
        },
        "classes": ["multiline-manual", "else"]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99999924005,
            "date": "2023/1/17",
            "label": "クラスターNo.924\n2023/1/17\n鶴岡市\n-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99999924006,
            "date": "2023/1/17",
            "label": "クラスターNo.924\n2023/1/17\n鶴岡市\n-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99999924007,
            "date": "2023/1/17",
            "label": "クラスターNo.924\n2023/1/17\n鶴岡市\n-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99999925001,
            "date": "2023/1/17",
            "label": "クラスターNo.925\n2023/1/17\n遊佐町\n-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99999925002,
            "date": "2023/1/17",
            "label": "クラスターNo.925\n2023/1/17\n遊佐町\n-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99999925003,
            "date": "2023/1/17",
            "label": "クラスターNo.925\n2023/1/17\n遊佐町\n-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99999925004,
            "date": "2023/1/17",
            "label": "クラスターNo.925\n2023/1/17\n遊佐町\n-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99999925005,
            "date": "2023/1/17",
            "label": "クラスターNo.925\n2023/1/17\n遊佐町\n-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99999925006,
            "date": "2023/1/17",
            "label": "クラスターNo.925\n2023/1/17\n遊佐町\n-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99999925007,
            "date": "2023/1/17",
            "label": "クラスターNo.925\n2023/1/17\n遊佐町\n-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99999926001,
            "date": "2023/1/17",
            "label": "クラスターNo.926\n2023/1/17\n酒田市\n-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99999926002,
            "date": "2023/1/17",
            "label": "クラスターNo.926\n2023/1/17\n酒田市\n-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99999926003,
            "date": "2023/1/17",
            "label": "クラスターNo.926\n2023/1/17\n酒田市\n-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99999926004,
            "date": "2023/1/17",
            "label": "クラスターNo.926\n2023/1/17\n酒田市\n-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99999926005,
            "date": "2023/1/17",
            "label": "クラスターNo.926\n2023/1/17\n酒田市\n-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99999926006,
            "date": "2023/1/17",
            "label": "クラスターNo.926\n2023/1/17\n酒田市\n-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99999926007,
            "date": "2023/1/17",
            "label": "クラスターNo.926\n2023/1/17\n酒田市\n-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99999926008,
            "date": "2023/1/17",
            "label": "クラスターNo.926\n2023/1/17\n酒田市\n-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99999926009,
            "date": "2023/1/17",
            "label": "クラスターNo.926\n2023/1/17\n酒田市\n-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99999926010,
            "date": "2023/1/17",
            "label": "クラスターNo.926\n2023/1/17\n酒田市\n-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99999926011,
            "date": "2023/1/17",
            "label": "クラスターNo.926\n2023/1/17\n酒田市\n- ー"
        },
        "classes": ["multiline-manual", "else"]
    }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32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"99999923001",
            "target": "99999923001",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"99999923002",
            "target": "99999923001",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"99999923003",
            "target": "99999923001",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"99999923004",
            "target": "99999923001",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"99999923005",
            "target": "99999923001",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"99999923006",
            "target": "99999923001",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"99999923007",
            "target": "99999923001",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"99999924001",
            "target": "99999924001",
            "label": "障がい者施設"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"99999924002",
            "target": "99999924001",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"99999924003",
            "target": "99999924001",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"99999924004",
            "target": "99999924001",
            "label": "関連"
        }
    },
</v>
      </c>
    </row>
    <row r="23" spans="2:3" ht="131.25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"99999924005",
            "target": "99999924001",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"99999924006",
            "target": "99999924001",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"99999924007",
            "target": "99999924001",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"99999925001",
            "target": "99999925001",
            "label": "介護施設"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"99999925002",
            "target": "99999925001",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"99999925003",
            "target": "99999925001",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"99999925004",
            "target": "99999925001",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"99999925005",
            "target": "99999925001",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"99999925006",
            "target": "99999925001",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"99999925007",
            "target": "99999925001",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"99999926001",
            "target": "99999926001",
            "label": "介護施設"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"99999926002",
            "target": "99999926001",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"99999926003",
            "target": "99999926001",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"99999926004",
            "target": "99999926001",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"99999926005",
            "target": "99999926001",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"99999926006",
            "target": "99999926001",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"99999926007",
            "target": "99999926001",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"99999926008",
            "target": "99999926001",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"99999926009",
            "target": "99999926001",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"99999926010",
            "target": "99999926001",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"99999926011",
            "target": "99999926001",
            "label": "関連"
        }
    }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2" sqref="H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"lastUpdate":"2023/1/17 23:57"}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2023-01-17T14:58:43Z</dcterms:modified>
</cp:coreProperties>
</file>