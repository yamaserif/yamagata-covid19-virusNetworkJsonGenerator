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9C70D88B-3640-462D-AB0A-0B63A22B5CF6}" xr6:coauthVersionLast="47" xr6:coauthVersionMax="47" xr10:uidLastSave="{00000000-0000-0000-0000-000000000000}"/>
  <bookViews>
    <workbookView xWindow="390" yWindow="39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9" i="1" l="1"/>
  <c r="AB19" i="1" s="1"/>
  <c r="S17" i="1"/>
  <c r="S16" i="1"/>
  <c r="S15" i="1"/>
  <c r="S14" i="1"/>
  <c r="S13" i="1"/>
  <c r="S12" i="1"/>
  <c r="S11" i="1"/>
  <c r="G11" i="1" s="1"/>
  <c r="I11" i="1" s="1"/>
  <c r="S10" i="1"/>
  <c r="AB14" i="1" s="1"/>
  <c r="G15" i="1"/>
  <c r="J15" i="1" s="1"/>
  <c r="G13" i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5" i="1" l="1"/>
  <c r="AB16" i="1"/>
  <c r="AB10" i="1"/>
  <c r="AB11" i="1"/>
  <c r="AB12" i="1"/>
  <c r="AB17" i="1"/>
  <c r="AB13" i="1"/>
  <c r="G20" i="1"/>
  <c r="K20" i="1"/>
  <c r="K23" i="1"/>
  <c r="K24" i="1"/>
  <c r="M24" i="1" s="1" a="1"/>
  <c r="M24" i="1" s="1"/>
  <c r="O24" i="1" s="1"/>
  <c r="K13" i="1"/>
  <c r="K26" i="1"/>
  <c r="M26" i="1" s="1" a="1"/>
  <c r="M26" i="1" s="1"/>
  <c r="O26" i="1" s="1"/>
  <c r="K27" i="1"/>
  <c r="K29" i="1"/>
  <c r="F59" i="1"/>
  <c r="K15" i="1"/>
  <c r="M15" i="1" s="1" a="1"/>
  <c r="M15" i="1" s="1"/>
  <c r="O15" i="1" s="1"/>
  <c r="K25" i="1"/>
  <c r="M25" i="1" s="1" a="1"/>
  <c r="M25" i="1" s="1"/>
  <c r="O25" i="1" s="1"/>
  <c r="K17" i="1"/>
  <c r="M17" i="1" s="1" a="1"/>
  <c r="M17" i="1" s="1"/>
  <c r="O17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M49" i="1" l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R183" i="3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M13" i="3"/>
  <c r="N13" i="3" s="1"/>
  <c r="O13" i="3" s="1"/>
  <c r="P13" i="3" s="1"/>
  <c r="C50" i="1"/>
  <c r="R49" i="3" l="1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54" i="3"/>
  <c r="E54" i="3" s="1"/>
  <c r="F54" i="3" s="1"/>
  <c r="C17" i="5" a="1"/>
  <c r="D166" i="3" l="1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132" i="3" l="1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22" i="5" a="1"/>
  <c r="C17" i="4" a="1"/>
  <c r="C22" i="5" l="1"/>
  <c r="C17" i="4"/>
  <c r="C23" i="5" a="1"/>
  <c r="C18" i="4" a="1"/>
  <c r="C18" i="4" l="1"/>
  <c r="C23" i="5"/>
  <c r="C24" i="5" a="1"/>
  <c r="C19" i="4" a="1"/>
  <c r="C24" i="5" l="1"/>
  <c r="C19" i="4"/>
  <c r="C25" i="5" a="1"/>
  <c r="C20" i="4" a="1"/>
  <c r="C20" i="4" l="1"/>
  <c r="C25" i="5"/>
  <c r="C26" i="5" a="1"/>
  <c r="C21" i="4" a="1"/>
  <c r="C26" i="5" l="1"/>
  <c r="C21" i="4"/>
  <c r="C27" i="5" a="1"/>
  <c r="C22" i="4" a="1"/>
  <c r="C22" i="4" l="1"/>
  <c r="C27" i="5"/>
  <c r="C28" i="5" a="1"/>
  <c r="C23" i="4" a="1"/>
  <c r="C28" i="5" l="1"/>
  <c r="C23" i="4"/>
  <c r="C24" i="4" a="1"/>
  <c r="C29" i="5" a="1"/>
  <c r="C24" i="4" l="1"/>
  <c r="C29" i="5"/>
  <c r="C25" i="4" a="1"/>
  <c r="C30" i="5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0" i="4" a="1"/>
  <c r="C35" i="5" a="1"/>
  <c r="C30" i="4" l="1"/>
  <c r="C35" i="5"/>
  <c r="C31" i="4" a="1"/>
  <c r="C36" i="5" a="1"/>
  <c r="C36" i="5" l="1"/>
  <c r="C31" i="4"/>
  <c r="C37" i="5" a="1"/>
  <c r="C32" i="4" a="1"/>
  <c r="C32" i="4" l="1"/>
  <c r="C37" i="5"/>
  <c r="C33" i="4" a="1"/>
  <c r="C38" i="5" a="1"/>
  <c r="C38" i="5" l="1"/>
  <c r="C33" i="4"/>
  <c r="C34" i="4" a="1"/>
  <c r="C39" i="5" a="1"/>
  <c r="C34" i="4" l="1"/>
  <c r="C39" i="5"/>
  <c r="C40" i="5" a="1"/>
  <c r="C35" i="4" a="1"/>
  <c r="C40" i="5" l="1"/>
  <c r="C35" i="4"/>
  <c r="C36" i="4" a="1"/>
  <c r="C41" i="5" a="1"/>
  <c r="C36" i="4" l="1"/>
  <c r="C41" i="5"/>
  <c r="C37" i="4" a="1"/>
  <c r="C42" i="5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6" i="5" a="1"/>
  <c r="C41" i="4" a="1"/>
  <c r="C46" i="5" l="1"/>
  <c r="C41" i="4"/>
  <c r="C47" i="5" a="1"/>
  <c r="C42" i="4" a="1"/>
  <c r="C42" i="4" l="1"/>
  <c r="C47" i="5"/>
  <c r="C48" i="5" a="1"/>
  <c r="C43" i="4" a="1"/>
  <c r="C48" i="5" l="1"/>
  <c r="C43" i="4"/>
  <c r="C49" i="5" a="1"/>
  <c r="C44" i="4" a="1"/>
  <c r="C44" i="4" l="1"/>
  <c r="C49" i="5"/>
  <c r="C50" i="5" a="1"/>
  <c r="C45" i="4" a="1"/>
  <c r="C50" i="5" l="1"/>
  <c r="C45" i="4"/>
  <c r="C46" i="4" a="1"/>
  <c r="C51" i="5" a="1"/>
  <c r="C46" i="4" l="1"/>
  <c r="C51" i="5"/>
  <c r="C47" i="4" a="1"/>
  <c r="C52" i="5" a="1"/>
  <c r="C52" i="5" l="1"/>
  <c r="C47" i="4"/>
  <c r="C53" i="5" a="1"/>
  <c r="C48" i="4" a="1"/>
  <c r="C48" i="4" l="1"/>
  <c r="C53" i="5"/>
  <c r="C54" i="5" a="1"/>
  <c r="C49" i="4" a="1"/>
  <c r="C54" i="5" l="1"/>
  <c r="C49" i="4"/>
  <c r="C50" i="4" a="1"/>
  <c r="C55" i="5" a="1"/>
  <c r="C50" i="4" l="1"/>
  <c r="C55" i="5"/>
  <c r="C56" i="5" a="1"/>
  <c r="C51" i="4" a="1"/>
  <c r="C56" i="5" l="1"/>
  <c r="C51" i="4"/>
  <c r="C52" i="4" a="1"/>
  <c r="C57" i="5" a="1"/>
  <c r="C52" i="4" l="1"/>
  <c r="C57" i="5"/>
  <c r="C58" i="5" a="1"/>
  <c r="C53" i="4" a="1"/>
  <c r="C58" i="5" l="1"/>
  <c r="C53" i="4"/>
  <c r="C59" i="5" a="1"/>
  <c r="C54" i="4" a="1"/>
  <c r="C54" i="4" l="1"/>
  <c r="C59" i="5"/>
  <c r="C55" i="4" a="1"/>
  <c r="C60" i="5" a="1"/>
  <c r="C60" i="5" l="1"/>
  <c r="C55" i="4"/>
  <c r="C56" i="4" a="1"/>
  <c r="C61" i="5" a="1"/>
  <c r="C56" i="4" l="1"/>
  <c r="C61" i="5"/>
  <c r="C62" i="5" a="1"/>
  <c r="C57" i="4" a="1"/>
  <c r="C62" i="5" l="1"/>
  <c r="C57" i="4"/>
  <c r="C63" i="5" a="1"/>
  <c r="C58" i="4" a="1"/>
  <c r="C58" i="4" l="1"/>
  <c r="C63" i="5"/>
  <c r="C59" i="4" a="1"/>
  <c r="C64" i="5" a="1"/>
  <c r="C64" i="5" l="1"/>
  <c r="C59" i="4"/>
  <c r="C60" i="4" a="1"/>
  <c r="C65" i="5" a="1"/>
  <c r="C60" i="4" l="1"/>
  <c r="C65" i="5"/>
  <c r="C66" i="5" a="1"/>
  <c r="C61" i="4" a="1"/>
  <c r="C66" i="5" l="1"/>
  <c r="C61" i="4"/>
  <c r="C67" i="5" a="1"/>
  <c r="C62" i="4" a="1"/>
  <c r="C62" i="4" l="1"/>
  <c r="C67" i="5"/>
  <c r="C63" i="4" a="1"/>
  <c r="C68" i="5" a="1"/>
  <c r="C63" i="4" l="1"/>
  <c r="C68" i="5"/>
  <c r="C64" i="4" a="1"/>
  <c r="C69" i="5" a="1"/>
  <c r="C69" i="5" l="1"/>
  <c r="C64" i="4"/>
  <c r="C65" i="4" a="1"/>
  <c r="C70" i="5" a="1"/>
  <c r="C65" i="4" l="1"/>
  <c r="C70" i="5"/>
  <c r="C71" i="5" a="1"/>
  <c r="C66" i="4" a="1"/>
  <c r="C71" i="5" l="1"/>
  <c r="C66" i="4"/>
  <c r="C72" i="5" a="1"/>
  <c r="C67" i="4" a="1"/>
  <c r="C67" i="4" l="1"/>
  <c r="C72" i="5"/>
  <c r="C73" i="5" a="1"/>
  <c r="C68" i="4" a="1"/>
  <c r="C73" i="5" l="1"/>
  <c r="C68" i="4"/>
  <c r="C69" i="4" a="1"/>
  <c r="C74" i="5" a="1"/>
  <c r="C69" i="4" l="1"/>
  <c r="C74" i="5"/>
  <c r="C70" i="4" a="1"/>
  <c r="C75" i="5" a="1"/>
  <c r="C70" i="4" l="1"/>
  <c r="C75" i="5"/>
  <c r="C76" i="5" a="1"/>
  <c r="C71" i="4" a="1"/>
  <c r="C76" i="5" l="1"/>
  <c r="C71" i="4"/>
  <c r="C77" i="5" a="1"/>
  <c r="C72" i="4" a="1"/>
  <c r="C72" i="4" l="1"/>
  <c r="C77" i="5"/>
  <c r="C78" i="5" a="1"/>
  <c r="C73" i="4" a="1"/>
  <c r="C78" i="5" l="1"/>
  <c r="C73" i="4"/>
  <c r="C74" i="4" a="1"/>
  <c r="C79" i="5" a="1"/>
  <c r="C74" i="4" l="1"/>
  <c r="C79" i="5"/>
  <c r="C75" i="4" a="1"/>
  <c r="C80" i="5" a="1"/>
  <c r="C75" i="4" l="1"/>
  <c r="C80" i="5"/>
  <c r="C81" i="5" a="1"/>
  <c r="C76" i="4" a="1"/>
  <c r="C81" i="5" l="1"/>
  <c r="C76" i="4"/>
  <c r="C77" i="4" a="1"/>
  <c r="C82" i="5" a="1"/>
  <c r="C77" i="4" l="1"/>
  <c r="C82" i="5"/>
  <c r="C78" i="4" a="1"/>
  <c r="C83" i="5" a="1"/>
  <c r="C83" i="5" l="1"/>
  <c r="C78" i="4"/>
  <c r="C79" i="4" a="1"/>
  <c r="C84" i="5" a="1"/>
  <c r="C79" i="4" l="1"/>
  <c r="C84" i="5"/>
  <c r="C85" i="5" a="1"/>
  <c r="C80" i="4" a="1"/>
  <c r="C85" i="5" l="1"/>
  <c r="C80" i="4"/>
  <c r="C86" i="5" a="1"/>
  <c r="C81" i="4" a="1"/>
  <c r="C86" i="5" l="1"/>
  <c r="C81" i="4"/>
  <c r="C82" i="4" a="1"/>
  <c r="C87" i="5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97" i="4" a="1"/>
  <c r="C102" i="5" a="1"/>
  <c r="C97" i="4" l="1"/>
  <c r="C102" i="5"/>
  <c r="C98" i="4" a="1"/>
  <c r="C103" i="5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19" i="4" a="1"/>
  <c r="C124" i="5" a="1"/>
  <c r="C124" i="5" l="1"/>
  <c r="C119" i="4"/>
  <c r="C120" i="4" a="1"/>
  <c r="C125" i="5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86" i="4" a="1"/>
  <c r="C191" i="5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<sst xmlns="http://schemas.openxmlformats.org/spreadsheetml/2006/main" count="1273" uniqueCount="448">
  <si>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</si>
  <si>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</si>
  <si>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</si>
  <si>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</si>
  <si>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</si>
  <si>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</si>
  <si>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</si>
  <si>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</si>
  <si>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</si>
  <si>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</si>
  <si>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</si>
  <si>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</si>
  <si>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</si>
  <si>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</si>
  <si>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</si>
  <si>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</si>
  <si>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</si>
  <si>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</si>
  <si>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</si>
  <si>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</si>
  <si>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</si>
  <si>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</si>
  <si>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</si>
  <si>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</si>
  <si>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</si>
  <si>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</si>
  <si>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</si>
  <si>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</si>
  <si>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</si>
  <si>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</si>
  <si>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</si>
  <si>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</si>
  <si>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</si>
  <si>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</si>
  <si>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</si>
  <si>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</si>
  <si>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</si>
  <si>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</si>
  <si>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</si>
  <si>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</si>
  <si>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</si>
  <si>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</si>
  <si>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</si>
  <si>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</si>
  <si>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</si>
  <si>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</si>
  <si>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</si>
  <si>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</si>
  <si>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</si>
  <si>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</si>
  <si>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</si>
  <si>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</si>
  <si>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</si>
  <si>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</si>
  <si>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</si>
  <si>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</si>
  <si>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</si>
  <si>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</si>
  <si>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</si>
  <si>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</si>
  <si>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</si>
  <si>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</si>
  <si>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</si>
  <si>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</si>
  <si>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</si>
  <si>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</si>
  <si>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</si>
  <si>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</si>
  <si>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</si>
  <si>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</si>
  <si>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</si>
  <si>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</si>
  <si>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</si>
  <si>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</si>
  <si>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</si>
  <si>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</si>
  <si>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</si>
  <si>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</si>
  <si>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</si>
  <si>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</si>
  <si>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</si>
  <si>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</si>
  <si>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</si>
  <si>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</si>
  <si>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</si>
  <si>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</si>
  <si>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</si>
  <si>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</si>
  <si>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</si>
  <si>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</si>
  <si>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</si>
  <si>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</si>
  <si>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</si>
  <si>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</si>
  <si>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</si>
  <si>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</si>
  <si>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</si>
  <si>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</si>
  <si>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</si>
  <si>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</si>
  <si>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</si>
  <si>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</si>
  <si>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</si>
  <si>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</si>
  <si>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</si>
  <si>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</si>
  <si>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</si>
  <si>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</si>
  <si>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</si>
  <si>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</si>
  <si>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</si>
  <si>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</si>
  <si>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</si>
  <si>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</si>
  <si>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</si>
  <si>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</si>
  <si>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</si>
  <si>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</si>
  <si>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</si>
  <si>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</si>
  <si>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</si>
  <si>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</si>
  <si>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</si>
  <si>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</si>
  <si>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</si>
  <si>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</si>
  <si>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</si>
  <si>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</si>
  <si>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</si>
  <si>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</si>
  <si>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</si>
  <si>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</si>
  <si>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</si>
  <si>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</si>
  <si>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</si>
  <si>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</si>
  <si>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</si>
  <si>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</si>
  <si>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</si>
  <si>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</si>
  <si>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</si>
  <si>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</si>
  <si>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</si>
  <si>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</si>
  <si>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</si>
  <si>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</si>
  <si>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</si>
  <si>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</si>
  <si>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</si>
  <si>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</si>
  <si>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</si>
  <si>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</si>
  <si>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</si>
  <si>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</si>
  <si>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</si>
  <si>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</si>
  <si>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</si>
  <si>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</si>
  <si>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</si>
  <si>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</si>
  <si>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</si>
  <si>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</si>
  <si>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</si>
  <si>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</si>
  <si>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</si>
  <si>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</si>
  <si>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</si>
  <si>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</si>
  <si>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</si>
  <si>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</si>
  <si>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</si>
  <si>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</si>
  <si>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</si>
  <si>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</si>
  <si>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</si>
  <si>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</si>
  <si>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</si>
  <si>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</si>
  <si>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</si>
  <si>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</si>
  <si>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</si>
  <si>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</si>
  <si>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</si>
  <si>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</si>
  <si>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</si>
  <si>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</si>
  <si>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</si>
  <si>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</si>
  <si>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</si>
  <si>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</si>
  <si>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</si>
  <si>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</si>
  <si>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</si>
  <si>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</si>
  <si>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</si>
  <si>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</si>
  <si>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</si>
  <si>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</si>
  <si>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</si>
  <si>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</si>
  <si>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</si>
  <si>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</si>
  <si>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</si>
  <si>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</si>
  <si>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</si>
  <si>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</si>
  <si>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</si>
  <si>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</si>
  <si>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</si>
  <si>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</si>
  <si>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</si>
  <si>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</si>
  <si>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</si>
  <si>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</si>
  <si>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</si>
  <si>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</si>
  <si>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</si>
  <si>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</si>
  <si>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</si>
  <si>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</si>
  <si>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</si>
  <si>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</si>
  <si>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</si>
  <si>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</si>
  <si>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</si>
  <si>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</si>
  <si>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</si>
  <si>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</si>
  <si>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</si>
  <si>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</si>
  <si>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</si>
  <si>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</si>
  <si>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</si>
  <si>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</si>
  <si>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</si>
  <si>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</si>
  <si>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</si>
  <si>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</si>
  <si>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</si>
  <si>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</si>
  <si>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</si>
  <si>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</si>
  <si>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</si>
  <si>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</si>
  <si>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</si>
  <si>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</si>
  <si>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</si>
  <si>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</si>
  <si>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</si>
  <si>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</si>
  <si>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</si>
  <si>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</si>
  <si>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</si>
  <si>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</si>
  <si>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</si>
  <si>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</si>
  <si>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</si>
  <si>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</si>
  <si>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</si>
  <si>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</si>
  <si>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</si>
  <si>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</si>
  <si>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</si>
  <si>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</si>
  <si>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</si>
  <si>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</si>
  <si>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</si>
  <si>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</si>
  <si>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</si>
  <si>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</si>
  <si>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</si>
  <si>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</si>
  <si>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</si>
  <si>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</si>
  <si>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</si>
  <si>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</si>
  <si>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</si>
  <si>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</si>
  <si>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</si>
  <si>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</si>
  <si>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</si>
  <si>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</si>
  <si>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</si>
  <si>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</si>
  <si>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</si>
  <si>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</si>
  <si>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</si>
  <si>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</si>
  <si>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</si>
  <si>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</si>
  <si>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</si>
  <si>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</si>
  <si>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</si>
  <si>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</si>
  <si>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</si>
  <si>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</si>
  <si>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</si>
  <si>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</si>
  <si>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</si>
  <si>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</si>
  <si>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</si>
  <si>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</si>
  <si>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</si>
  <si>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</si>
  <si>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</si>
  <si>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</si>
  <si>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</si>
  <si>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</si>
  <si>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</si>
  <si>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</si>
  <si>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</si>
  <si>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</si>
  <si>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</si>
  <si>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</si>
  <si>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</si>
  <si>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</si>
  <si>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</si>
  <si>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</si>
  <si>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</si>
  <si>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</si>
  <si>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</si>
  <si>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</si>
  <si>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</si>
  <si>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</si>
  <si>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</si>
  <si>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</si>
  <si>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</si>
  <si>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</si>
  <si>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</si>
  <si>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</si>
  <si>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</si>
  <si>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</si>
  <si>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</si>
  <si>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</si>
  <si>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</si>
  <si>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</si>
  <si>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</si>
  <si>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</si>
  <si>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</si>
  <si>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</si>
  <si>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</si>
  <si>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</si>
  <si>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</si>
  <si>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</si>
  <si>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</si>
  <si>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</si>
  <si>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</si>
  <si>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</si>
  <si>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</si>
  <si>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</si>
  <si>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</si>
  <si>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</si>
  <si>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</si>
  <si>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</si>
  <si>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</si>
  <si>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</si>
  <si>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</si>
  <si>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</si>
  <si>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</si>
  <si>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</si>
  <si>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</si>
  <si>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</si>
  <si>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</si>
  <si>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</si>
  <si>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</si>
  <si>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</si>
  <si>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</si>
  <si>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</si>
  <si>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</si>
  <si>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</si>
  <si>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</si>
  <si>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</si>
  <si>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</si>
  <si>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</si>
  <si>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</si>
  <si>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</si>
  <si>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</si>
  <si>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</si>
  <si>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</si>
  <si>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</si>
  <si>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</si>
  <si>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</si>
  <si>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</si>
  <si>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</si>
  <si>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</si>
  <si>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</si>
  <si>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</si>
  <si>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</si>
  <si>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</si>
  <si>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</si>
  <si>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</si>
  <si>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</si>
  <si>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</si>
  <si>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</si>
  <si>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</si>
  <si>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</si>
  <si>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</si>
  <si>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</si>
  <si>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</si>
  <si>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</si>
  <si>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</si>
  <si>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</si>
  <si>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</si>
  <si>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</si>
  <si>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</si>
  <si>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</si>
  <si>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</si>
  <si>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</si>
  <si>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</si>
  <si>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</si>
  <si>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</si>
  <si>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</si>
  <si>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</si>
  <si>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</si>
  <si>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</si>
  <si>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</si>
  <si>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</si>
  <si>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</si>
  <si>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</si>
  <si>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</si>
  <si>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</si>
  <si>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</si>
  <si>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</si>
  <si>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</si>
  <si>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</si>
  <si>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</si>
  <si>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</si>
  <si>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</si>
  <si>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</si>
  <si>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</si>
  <si>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</si>
  <si>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</si>
  <si>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</si>
  <si>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</si>
  <si>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</si>
  <si>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</si>
  <si>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</si>
  <si>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</si>
  <si>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</si>
  <si>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</si>
  <si>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</si>
  <si>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</si>
  <si>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</si>
  <si>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</si>
  <si>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</si>
  <si>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</si>
  <si>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</si>
  <si>
    <t>米沢市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</si>
</sst>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7" activePane="bottomLeft" state="frozen"/>
      <selection activeCell="E20" sqref="E20"/>
      <selection pane="bottomLeft" activeCell="S21" sqref="S21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99999900001</v>
      </c>
      <c r="G10" s="29">
        <f t="shared" si="2"/>
        <v>99999900001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99999900001医療機関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99999900001</v>
      </c>
      <c r="N10">
        <f>IF(L10&lt;&gt;"○",M10,INDEX(G$4:G9,MATCH(L10&amp;M10,F$4:F9,0)))</f>
        <v>99999900001</v>
      </c>
      <c r="O10" t="str">
        <f t="shared" si="8"/>
        <v>医療機関</v>
      </c>
      <c r="Q10" s="4">
        <v>44930</v>
      </c>
      <c r="S10" t="str">
        <f>$O$1&amp;
900&amp;
REPT("0",3-LEN(ROW($S1)))&amp;ROW($S1)</f>
        <v>99999900001</v>
      </c>
      <c r="T10" t="s">
        <v>50</v>
      </c>
      <c r="U10" t="s">
        <v>50</v>
      </c>
      <c r="V10" t="s">
        <v>447</v>
      </c>
      <c r="AB10" t="str">
        <f>$S$10&amp;"医療機関"</f>
        <v>99999900001医療機関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99999900002</v>
      </c>
      <c r="G11" s="29">
        <f t="shared" si="2"/>
        <v>99999900002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99999900001関連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99999900001</v>
      </c>
      <c r="N11">
        <f>IF(L11&lt;&gt;"○",M11,INDEX(G$4:G10,MATCH(L11&amp;M11,F$4:F10,0)))</f>
        <v>99999900001</v>
      </c>
      <c r="O11" t="str">
        <f t="shared" si="8"/>
        <v>関連</v>
      </c>
      <c r="Q11" s="4">
        <v>44930</v>
      </c>
      <c r="S11" t="str">
        <f t="shared" ref="S11:S17" si="9">$O$1&amp;
900&amp;
REPT("0",3-LEN(ROW($S2)))&amp;ROW($S2)</f>
        <v>99999900002</v>
      </c>
      <c r="T11" t="s">
        <v>50</v>
      </c>
      <c r="U11" t="s">
        <v>50</v>
      </c>
      <c r="V11" t="s">
        <v>447</v>
      </c>
      <c r="AB11" t="str">
        <f>$S$10&amp;"関連"</f>
        <v>99999900001関連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99999900003</v>
      </c>
      <c r="G12" s="29">
        <f t="shared" si="2"/>
        <v>99999900003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99999900001関連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99999900001</v>
      </c>
      <c r="N12">
        <f>IF(L12&lt;&gt;"○",M12,INDEX(G$4:G11,MATCH(L12&amp;M12,F$4:F11,0)))</f>
        <v>99999900001</v>
      </c>
      <c r="O12" t="str">
        <f t="shared" si="8"/>
        <v>関連</v>
      </c>
      <c r="Q12" s="4">
        <v>44930</v>
      </c>
      <c r="S12" t="str">
        <f t="shared" si="9"/>
        <v>99999900003</v>
      </c>
      <c r="T12" t="s">
        <v>50</v>
      </c>
      <c r="U12" t="s">
        <v>50</v>
      </c>
      <c r="V12" t="s">
        <v>447</v>
      </c>
      <c r="AB12" t="str">
        <f t="shared" ref="AB12:AB17" si="10">$S$10&amp;"関連"</f>
        <v>99999900001関連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99999900004</v>
      </c>
      <c r="G13" s="29">
        <f t="shared" si="2"/>
        <v>99999900004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99999900001関連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99999900001</v>
      </c>
      <c r="N13">
        <f>IF(L13&lt;&gt;"○",M13,INDEX(G$4:G12,MATCH(L13&amp;M13,F$4:F12,0)))</f>
        <v>99999900001</v>
      </c>
      <c r="O13" t="str">
        <f t="shared" si="8"/>
        <v>関連</v>
      </c>
      <c r="Q13" s="4">
        <v>44930</v>
      </c>
      <c r="S13" t="str">
        <f t="shared" si="9"/>
        <v>99999900004</v>
      </c>
      <c r="T13" t="s">
        <v>50</v>
      </c>
      <c r="U13" t="s">
        <v>50</v>
      </c>
      <c r="V13" t="s">
        <v>447</v>
      </c>
      <c r="AB13" t="str">
        <f t="shared" si="10"/>
        <v>99999900001関連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99999900005</v>
      </c>
      <c r="G14" s="29">
        <f t="shared" si="2"/>
        <v>99999900005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99999900001関連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99999900001</v>
      </c>
      <c r="N14">
        <f>IF(L14&lt;&gt;"○",M14,INDEX(G$4:G13,MATCH(L14&amp;M14,F$4:F13,0)))</f>
        <v>99999900001</v>
      </c>
      <c r="O14" t="str">
        <f t="shared" si="8"/>
        <v>関連</v>
      </c>
      <c r="Q14" s="4">
        <v>44930</v>
      </c>
      <c r="S14" t="str">
        <f t="shared" si="9"/>
        <v>99999900005</v>
      </c>
      <c r="T14" t="s">
        <v>50</v>
      </c>
      <c r="U14" t="s">
        <v>50</v>
      </c>
      <c r="V14" t="s">
        <v>447</v>
      </c>
      <c r="AB14" t="str">
        <f t="shared" si="10"/>
        <v>99999900001関連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99999900006</v>
      </c>
      <c r="G15" s="29">
        <f t="shared" si="2"/>
        <v>99999900006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99999900001関連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99999900001</v>
      </c>
      <c r="N15">
        <f>IF(L15&lt;&gt;"○",M15,INDEX(G$4:G14,MATCH(L15&amp;M15,F$4:F14,0)))</f>
        <v>99999900001</v>
      </c>
      <c r="O15" t="str">
        <f t="shared" si="8"/>
        <v>関連</v>
      </c>
      <c r="Q15" s="4">
        <v>44930</v>
      </c>
      <c r="S15" t="str">
        <f t="shared" si="9"/>
        <v>99999900006</v>
      </c>
      <c r="T15" t="s">
        <v>50</v>
      </c>
      <c r="U15" t="s">
        <v>50</v>
      </c>
      <c r="V15" t="s">
        <v>447</v>
      </c>
      <c r="AB15" t="str">
        <f t="shared" si="10"/>
        <v>99999900001関連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99999900007</v>
      </c>
      <c r="G16" s="29">
        <f t="shared" si="2"/>
        <v>99999900007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米沢市</v>
      </c>
      <c r="K16" s="31" t="str">
        <f t="shared" si="6"/>
        <v>99999900001関連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99999900001</v>
      </c>
      <c r="N16">
        <f>IF(L16&lt;&gt;"○",M16,INDEX(G$4:G15,MATCH(L16&amp;M16,F$4:F15,0)))</f>
        <v>99999900001</v>
      </c>
      <c r="O16" t="str">
        <f t="shared" si="8"/>
        <v>関連</v>
      </c>
      <c r="Q16" s="4">
        <v>44930</v>
      </c>
      <c r="S16" t="str">
        <f t="shared" si="9"/>
        <v>99999900007</v>
      </c>
      <c r="T16" t="s">
        <v>50</v>
      </c>
      <c r="U16" t="s">
        <v>50</v>
      </c>
      <c r="V16" t="s">
        <v>447</v>
      </c>
      <c r="AB16" t="str">
        <f t="shared" si="10"/>
        <v>99999900001関連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99999900008</v>
      </c>
      <c r="G17" s="29">
        <f t="shared" si="2"/>
        <v>99999900008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米沢市</v>
      </c>
      <c r="K17" s="31" t="str">
        <f t="shared" si="6"/>
        <v>99999900001関連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99999900001</v>
      </c>
      <c r="N17">
        <f>IF(L17&lt;&gt;"○",M17,INDEX(G$4:G16,MATCH(L17&amp;M17,F$4:F16,0)))</f>
        <v>99999900001</v>
      </c>
      <c r="O17" t="str">
        <f t="shared" si="8"/>
        <v>関連</v>
      </c>
      <c r="Q17" s="4">
        <v>44930</v>
      </c>
      <c r="S17" t="str">
        <f t="shared" si="9"/>
        <v>99999900008</v>
      </c>
      <c r="T17" t="s">
        <v>50</v>
      </c>
      <c r="U17" t="s">
        <v>50</v>
      </c>
      <c r="V17" t="s">
        <v>447</v>
      </c>
      <c r="AB17" t="str">
        <f>$S$10&amp;"関連"</f>
        <v>99999900001関連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99999901001</v>
      </c>
      <c r="G19" s="29">
        <f t="shared" si="2"/>
        <v>99999901001</v>
      </c>
      <c r="H19" s="20" t="str">
        <f t="shared" si="3"/>
        <v>-</v>
      </c>
      <c r="I19" s="20" t="str">
        <f t="shared" si="4"/>
        <v>ー</v>
      </c>
      <c r="J19" s="20" t="str">
        <f t="shared" si="5"/>
        <v>山形市</v>
      </c>
      <c r="K19" s="31" t="str">
        <f t="shared" si="6"/>
        <v>99999901001介護施設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99999901001</v>
      </c>
      <c r="N19">
        <f>IF(L19&lt;&gt;"○",M19,INDEX(G$4:G18,MATCH(L19&amp;M19,F$4:F18,0)))</f>
        <v>99999901001</v>
      </c>
      <c r="O19" t="str">
        <f t="shared" si="8"/>
        <v>介護施設</v>
      </c>
      <c r="Q19" s="4">
        <v>44930</v>
      </c>
      <c r="S19" t="str">
        <f>$O$1&amp;
901&amp;
REPT("0",3-LEN(ROW($S1)))&amp;ROW($S1)</f>
        <v>99999901001</v>
      </c>
      <c r="T19" t="s">
        <v>50</v>
      </c>
      <c r="U19" t="s">
        <v>50</v>
      </c>
      <c r="V19" t="s">
        <v>446</v>
      </c>
      <c r="AB19" t="str">
        <f>$S$19&amp;"介護施設"</f>
        <v>99999901001介護施設</v>
      </c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2023/1/4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99999900001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99999900001医療機関</v>
      </c>
      <c r="I3" s="1">
        <f>IF(H3&lt;&gt;"",IF(ROW(G1)&gt;MAX(Main!$C$4:$C$1048576),"",INDEX(Main!N$4:N$1048576,MATCH(ROW(G1),Main!$C$4:$C$1048576,0))),"")</f>
        <v>99999900001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クラスターNo.900</v>
      </c>
      <c r="M3" s="4" t="str">
        <f>TEXT(IF(ROW(A1)&gt;MAX(Main!$D$4:$D$1048576),"",INDEX(Main!Q$4:Q$1048576,MATCH(ROW(A1),Main!$D$4:$D$1048576,0))), "yyyy/m/d")</f>
        <v>2023/1/4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99999900001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99999900001医療機関</v>
      </c>
      <c r="T3" s="1">
        <f>IF(S3&lt;&gt;"",IF(ROW(G1)&gt;MAX(Main!$D$4:$D$1048576),"",INDEX(Main!N$4:N$1048576,MATCH(ROW(G1),Main!$D$4:$D$1048576,0))),"")</f>
        <v>99999900001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2023/1/4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99999900002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99999900001関連</v>
      </c>
      <c r="I4" s="1">
        <f>IF(H4&lt;&gt;"",IF(ROW(G2)&gt;MAX(Main!$C$4:$C$1048576),"",INDEX(Main!N$4:N$1048576,MATCH(ROW(G2),Main!$C$4:$C$1048576,0))),"")</f>
        <v>99999900001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クラスターNo.900</v>
      </c>
      <c r="M4" s="4" t="str">
        <f>TEXT(IF(ROW(A2)&gt;MAX(Main!$D$4:$D$1048576),"",INDEX(Main!Q$4:Q$1048576,MATCH(ROW(A2),Main!$D$4:$D$1048576,0))), "yyyy/m/d")</f>
        <v>2023/1/4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99999900002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99999900001関連</v>
      </c>
      <c r="T4" s="1">
        <f>IF(S4&lt;&gt;"",IF(ROW(G2)&gt;MAX(Main!$D$4:$D$1048576),"",INDEX(Main!N$4:N$1048576,MATCH(ROW(G2),Main!$D$4:$D$1048576,0))),"")</f>
        <v>99999900001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2023/1/4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99999900003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99999900001関連</v>
      </c>
      <c r="I5" s="1">
        <f>IF(H5&lt;&gt;"",IF(ROW(G3)&gt;MAX(Main!$C$4:$C$1048576),"",INDEX(Main!N$4:N$1048576,MATCH(ROW(G3),Main!$C$4:$C$1048576,0))),"")</f>
        <v>99999900001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クラスターNo.900</v>
      </c>
      <c r="M5" s="4" t="str">
        <f>TEXT(IF(ROW(A3)&gt;MAX(Main!$D$4:$D$1048576),"",INDEX(Main!Q$4:Q$1048576,MATCH(ROW(A3),Main!$D$4:$D$1048576,0))), "yyyy/m/d")</f>
        <v>2023/1/4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99999900003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99999900001関連</v>
      </c>
      <c r="T5" s="1">
        <f>IF(S5&lt;&gt;"",IF(ROW(G3)&gt;MAX(Main!$D$4:$D$1048576),"",INDEX(Main!N$4:N$1048576,MATCH(ROW(G3),Main!$D$4:$D$1048576,0))),"")</f>
        <v>99999900001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2023/1/4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99999900004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99999900001関連</v>
      </c>
      <c r="I6" s="1">
        <f>IF(H6&lt;&gt;"",IF(ROW(G4)&gt;MAX(Main!$C$4:$C$1048576),"",INDEX(Main!N$4:N$1048576,MATCH(ROW(G4),Main!$C$4:$C$1048576,0))),"")</f>
        <v>99999900001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クラスターNo.900</v>
      </c>
      <c r="M6" s="4" t="str">
        <f>TEXT(IF(ROW(A4)&gt;MAX(Main!$D$4:$D$1048576),"",INDEX(Main!Q$4:Q$1048576,MATCH(ROW(A4),Main!$D$4:$D$1048576,0))), "yyyy/m/d")</f>
        <v>2023/1/4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99999900004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99999900001関連</v>
      </c>
      <c r="T6" s="1">
        <f>IF(S6&lt;&gt;"",IF(ROW(G4)&gt;MAX(Main!$D$4:$D$1048576),"",INDEX(Main!N$4:N$1048576,MATCH(ROW(G4),Main!$D$4:$D$1048576,0))),"")</f>
        <v>99999900001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2023/1/4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99999900005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99999900001関連</v>
      </c>
      <c r="I7" s="1">
        <f>IF(H7&lt;&gt;"",IF(ROW(G5)&gt;MAX(Main!$C$4:$C$1048576),"",INDEX(Main!N$4:N$1048576,MATCH(ROW(G5),Main!$C$4:$C$1048576,0))),"")</f>
        <v>99999900001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クラスターNo.900</v>
      </c>
      <c r="M7" s="4" t="str">
        <f>TEXT(IF(ROW(A5)&gt;MAX(Main!$D$4:$D$1048576),"",INDEX(Main!Q$4:Q$1048576,MATCH(ROW(A5),Main!$D$4:$D$1048576,0))), "yyyy/m/d")</f>
        <v>2023/1/4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99999900005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99999900001関連</v>
      </c>
      <c r="T7" s="1">
        <f>IF(S7&lt;&gt;"",IF(ROW(G5)&gt;MAX(Main!$D$4:$D$1048576),"",INDEX(Main!N$4:N$1048576,MATCH(ROW(G5),Main!$D$4:$D$1048576,0))),"")</f>
        <v>99999900001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2023/1/4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99999900006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99999900001関連</v>
      </c>
      <c r="I8" s="1">
        <f>IF(H8&lt;&gt;"",IF(ROW(G6)&gt;MAX(Main!$C$4:$C$1048576),"",INDEX(Main!N$4:N$1048576,MATCH(ROW(G6),Main!$C$4:$C$1048576,0))),"")</f>
        <v>99999900001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クラスターNo.900</v>
      </c>
      <c r="M8" s="4" t="str">
        <f>TEXT(IF(ROW(A6)&gt;MAX(Main!$D$4:$D$1048576),"",INDEX(Main!Q$4:Q$1048576,MATCH(ROW(A6),Main!$D$4:$D$1048576,0))), "yyyy/m/d")</f>
        <v>2023/1/4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99999900006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99999900001関連</v>
      </c>
      <c r="T8" s="1">
        <f>IF(S8&lt;&gt;"",IF(ROW(G6)&gt;MAX(Main!$D$4:$D$1048576),"",INDEX(Main!N$4:N$1048576,MATCH(ROW(G6),Main!$D$4:$D$1048576,0))),"")</f>
        <v>99999900001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2023/1/4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99999900007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99999900001関連</v>
      </c>
      <c r="I9" s="1">
        <f>IF(H9&lt;&gt;"",IF(ROW(G7)&gt;MAX(Main!$C$4:$C$1048576),"",INDEX(Main!N$4:N$1048576,MATCH(ROW(G7),Main!$C$4:$C$1048576,0))),"")</f>
        <v>99999900001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クラスターNo.900</v>
      </c>
      <c r="M9" s="4" t="str">
        <f>TEXT(IF(ROW(A7)&gt;MAX(Main!$D$4:$D$1048576),"",INDEX(Main!Q$4:Q$1048576,MATCH(ROW(A7),Main!$D$4:$D$1048576,0))), "yyyy/m/d")</f>
        <v>2023/1/4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99999900007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99999900001関連</v>
      </c>
      <c r="T9" s="1">
        <f>IF(S9&lt;&gt;"",IF(ROW(G7)&gt;MAX(Main!$D$4:$D$1048576),"",INDEX(Main!N$4:N$1048576,MATCH(ROW(G7),Main!$D$4:$D$1048576,0))),"")</f>
        <v>99999900001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2023/1/4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99999900008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米沢市</v>
      </c>
      <c r="H10" s="10" t="str">
        <f>IF(ROW(G8)&gt;MAX(Main!$C$4:$C$1048576),"",INDEX(Main!K$4:K$1048576,MATCH(ROW(G8),Main!$C$4:$C$1048576,0)))</f>
        <v>99999900001関連</v>
      </c>
      <c r="I10" s="1">
        <f>IF(H10&lt;&gt;"",IF(ROW(G8)&gt;MAX(Main!$C$4:$C$1048576),"",INDEX(Main!N$4:N$1048576,MATCH(ROW(G8),Main!$C$4:$C$1048576,0))),"")</f>
        <v>99999900001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クラスターNo.900</v>
      </c>
      <c r="M10" s="4" t="str">
        <f>TEXT(IF(ROW(A8)&gt;MAX(Main!$D$4:$D$1048576),"",INDEX(Main!Q$4:Q$1048576,MATCH(ROW(A8),Main!$D$4:$D$1048576,0))), "yyyy/m/d")</f>
        <v>2023/1/4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99999900008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米沢市</v>
      </c>
      <c r="S10" s="9" t="str">
        <f>IF(ROW(G8)&gt;MAX(Main!$D$4:$D$1048576),"",INDEX(Main!K$4:K$1048576,MATCH(ROW(G8),Main!$D$4:$D$1048576,0)))</f>
        <v>99999900001関連</v>
      </c>
      <c r="T10" s="1">
        <f>IF(S10&lt;&gt;"",IF(ROW(G8)&gt;MAX(Main!$D$4:$D$1048576),"",INDEX(Main!N$4:N$1048576,MATCH(ROW(G8),Main!$D$4:$D$1048576,0))),"")</f>
        <v>99999900001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2023/1/4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99999901001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山形市</v>
      </c>
      <c r="H11" s="10" t="str">
        <f>IF(ROW(G9)&gt;MAX(Main!$C$4:$C$1048576),"",INDEX(Main!K$4:K$1048576,MATCH(ROW(G9),Main!$C$4:$C$1048576,0)))</f>
        <v>99999901001介護施設</v>
      </c>
      <c r="I11" s="1">
        <f>IF(H11&lt;&gt;"",IF(ROW(G9)&gt;MAX(Main!$C$4:$C$1048576),"",INDEX(Main!N$4:N$1048576,MATCH(ROW(G9),Main!$C$4:$C$1048576,0))),"")</f>
        <v>99999901001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介護施設</v>
      </c>
      <c r="K11" s="27" t="str">
        <f t="shared" si="1"/>
        <v>クラスターNo.901</v>
      </c>
      <c r="M11" s="4" t="str">
        <f>TEXT(IF(ROW(A9)&gt;MAX(Main!$D$4:$D$1048576),"",INDEX(Main!Q$4:Q$1048576,MATCH(ROW(A9),Main!$D$4:$D$1048576,0))), "yyyy/m/d")</f>
        <v>2023/1/4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99999901001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山形市</v>
      </c>
      <c r="S11" s="9" t="str">
        <f>IF(ROW(G9)&gt;MAX(Main!$D$4:$D$1048576),"",INDEX(Main!K$4:K$1048576,MATCH(ROW(G9),Main!$D$4:$D$1048576,0)))</f>
        <v>99999901001介護施設</v>
      </c>
      <c r="T11" s="1">
        <f>IF(S11&lt;&gt;"",IF(ROW(G9)&gt;MAX(Main!$D$4:$D$1048576),"",INDEX(Main!N$4:N$1048576,MATCH(ROW(G9),Main!$D$4:$D$1048576,0))),"")</f>
        <v>99999901001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介護施設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9</v>
      </c>
      <c r="B12" t="s">
        <v>41</v>
      </c>
      <c r="C12" s="2" t="s">
        <v>445</v>
      </c>
    </row>
    <row r="13" spans="1:4" ht="150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99999900001,
            "date": "2023/1/4",
            "label": "クラスターNo.900\n2023/1/4\n米沢市\n- ー"
        },
        "classes": ["multiline-manual", "else"]
    },
</v>
      </c>
    </row>
    <row r="14" spans="1:4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99999900002,
            "date": "2023/1/4",
            "label": "クラスターNo.900\n2023/1/4\n米沢市\n- ー"
        },
        "classes": ["multiline-manual", "else"]
    },
</v>
      </c>
    </row>
    <row r="15" spans="1:4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99999900003,
            "date": "2023/1/4",
            "label": "クラスターNo.900\n2023/1/4\n米沢市\n- ー"
        },
        "classes": ["multiline-manual", "else"]
    },
</v>
      </c>
    </row>
    <row r="16" spans="1:4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99999900004,
            "date": "2023/1/4",
            "label": "クラスターNo.900\n2023/1/4\n米沢市\n- ー"
        },
        "classes": ["multiline-manual", "else"]
    },
</v>
      </c>
    </row>
    <row r="17" spans="2:3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99999900005,
            "date": "2023/1/4",
            "label": "クラスターNo.900\n2023/1/4\n米沢市\n- ー"
        },
        "classes": ["multiline-manual", "else"]
    },
</v>
      </c>
    </row>
    <row r="18" spans="2:3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99999900006,
            "date": "2023/1/4",
            "label": "クラスターNo.900\n2023/1/4\n米沢市\n- ー"
        },
        "classes": ["multiline-manual", "else"]
    },
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99999900007,
            "date": "2023/1/4",
            "label": "クラスターNo.900\n2023/1/4\n米沢市\n-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99999900008,
            "date": "2023/1/4",
            "label": "クラスターNo.900\n2023/1/4\n米沢市\n-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99999901001,
            "date": "2023/1/4",
            "label": "クラスターNo.901\n2023/1/4\n山形市\n- ー"
        },
        "classes": ["multiline-manual", "else"]
    }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9</v>
      </c>
      <c r="B11" t="s">
        <v>41</v>
      </c>
      <c r="C11" s="2" t="s">
        <v>445</v>
      </c>
    </row>
    <row r="12" spans="1:5" ht="131.25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"99999900001",
            "target": "99999900001",
            "label": "医療機関"
        }
    },
</v>
      </c>
      <c r="E12" s="21"/>
    </row>
    <row r="13" spans="1:5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"99999900002",
            "target": "99999900001",
            "label": "関連"
        }
    },
</v>
      </c>
    </row>
    <row r="14" spans="1:5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"99999900003",
            "target": "99999900001",
            "label": "関連"
        }
    },
</v>
      </c>
    </row>
    <row r="15" spans="1:5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"99999900004",
            "target": "99999900001",
            "label": "関連"
        }
    },
</v>
      </c>
    </row>
    <row r="16" spans="1:5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"99999900005",
            "target": "99999900001",
            "label": "関連"
        }
    },
</v>
      </c>
    </row>
    <row r="17" spans="2:3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"99999900006",
            "target": "99999900001",
            "label": "関連"
        }
    },
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"99999900007",
            "target": "99999900001",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"99999900008",
            "target": "99999900001",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"99999901001",
            "target": "99999901001",
            "label": "介護施設"
        }
    }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"lastUpdate":"2023/1/4 23:38"}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2023-01-04T14:38:29Z</dcterms:modified>
</cp:coreProperties>
</file>