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8F1D34AE-FF76-44F0-9151-A42EAC606298}" xr6:coauthVersionLast="47" xr6:coauthVersionMax="47" xr10:uidLastSave="{00000000-0000-0000-0000-000000000000}"/>
  <bookViews>
    <workbookView xWindow="1875" yWindow="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1" l="1"/>
  <c r="AB10" i="1" s="1"/>
  <c r="G44" i="1"/>
  <c r="J44" i="1" s="1"/>
  <c r="G41" i="1"/>
  <c r="G40" i="1"/>
  <c r="G39" i="1"/>
  <c r="F39" i="1" s="1"/>
  <c r="G38" i="1"/>
  <c r="F38" i="1" s="1"/>
  <c r="G11" i="1"/>
  <c r="I11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K19" i="1" l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<sst xmlns="http://schemas.openxmlformats.org/spreadsheetml/2006/main" count="1249" uniqueCount="447">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</sst>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13" sqref="S1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99999932001</v>
      </c>
      <c r="G10" s="29">
        <f t="shared" si="2"/>
        <v>99999932001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99999932001介護施設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99999932001</v>
      </c>
      <c r="N10">
        <f>IF(L10&lt;&gt;"○",M10,INDEX(G$4:G9,MATCH(L10&amp;M10,F$4:F9,0)))</f>
        <v>99999932001</v>
      </c>
      <c r="O10" t="str">
        <f t="shared" si="8"/>
        <v>介護施設</v>
      </c>
      <c r="Q10" s="4">
        <v>44948</v>
      </c>
      <c r="S10" t="str">
        <f>$O$1&amp;
932&amp;
REPT("0",3-LEN(ROW($S1)))&amp;ROW($S1)</f>
        <v>99999932001</v>
      </c>
      <c r="T10" t="s">
        <v>50</v>
      </c>
      <c r="U10" t="s">
        <v>50</v>
      </c>
      <c r="V10" t="s">
        <v>446</v>
      </c>
      <c r="AB10" t="str">
        <f>$S$10&amp;"介護施設"</f>
        <v>99999932001介護施設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99999932001介護施設</v>
      </c>
      <c r="I3" s="1">
        <f>IF(H3&lt;&gt;"",IF(ROW(G1)&gt;MAX(Main!$C$4:$C$1048576),"",INDEX(Main!N$4:N$1048576,MATCH(ROW(G1),Main!$C$4:$C$1048576,0))),"")</f>
        <v>99999932001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クラスターNo.932</v>
      </c>
      <c r="M3" s="4" t="str">
        <f>TEXT(IF(ROW(A1)&gt;MAX(Main!$D$4:$D$1048576),"",INDEX(Main!Q$4:Q$1048576,MATCH(ROW(A1),Main!$D$4:$D$1048576,0))), "yyyy/m/d")</f>
        <v>2023/1/22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99999932001介護施設</v>
      </c>
      <c r="T3" s="1">
        <f>IF(S3&lt;&gt;"",IF(ROW(G1)&gt;MAX(Main!$D$4:$D$1048576),"",INDEX(Main!N$4:N$1048576,MATCH(ROW(G1),Main!$D$4:$D$1048576,0))),"")</f>
        <v>99999932001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99999932001,
            "date": "2023/1/22",
            "label": "クラスターNo.932\n2023/1/22\n山形市\n-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"99999932001",
            "target": "99999932001",
            "label": "介護施設"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31.25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2" sqref="E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"lastUpdate":"2023/1/22 19:13"}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2023-01-22T10:13:36Z</dcterms:modified>
</cp:coreProperties>
</file>