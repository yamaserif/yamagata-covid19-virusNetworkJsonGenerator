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6EC7FB34-E162-4A07-BC14-21A74835CA1E}" xr6:coauthVersionLast="47" xr6:coauthVersionMax="47" xr10:uidLastSave="{00000000-0000-0000-0000-000000000000}"/>
  <bookViews>
    <workbookView xWindow="-120" yWindow="-120" windowWidth="29040" windowHeight="1572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S12" i="1"/>
  <c r="S11" i="1"/>
  <c r="G11" i="1" s="1"/>
  <c r="I11" i="1" s="1"/>
  <c r="S10" i="1"/>
  <c r="AB15" i="1" s="1"/>
  <c r="G15" i="1"/>
  <c r="J15" i="1" s="1"/>
  <c r="G32" i="1"/>
  <c r="J32" i="1" s="1"/>
  <c r="G31" i="1"/>
  <c r="H31" i="1" s="1"/>
  <c r="G29" i="1"/>
  <c r="F29" i="1" s="1"/>
  <c r="G25" i="1"/>
  <c r="I25" i="1" s="1"/>
  <c r="G24" i="1"/>
  <c r="H24" i="1" s="1"/>
  <c r="G23" i="1"/>
  <c r="G16" i="1"/>
  <c r="I16" i="1" s="1"/>
  <c r="G13" i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10" i="1" l="1"/>
  <c r="AB12" i="1"/>
  <c r="AB13" i="1"/>
  <c r="K13" i="1" s="1"/>
  <c r="AB14" i="1"/>
  <c r="AB11" i="1"/>
  <c r="K11" i="1" s="1"/>
  <c r="L11" i="1" s="1"/>
  <c r="K31" i="1"/>
  <c r="K16" i="1"/>
  <c r="L16" i="1" s="1"/>
  <c r="K32" i="1"/>
  <c r="K23" i="1"/>
  <c r="K24" i="1"/>
  <c r="M24" i="1" s="1" a="1"/>
  <c r="M24" i="1" s="1"/>
  <c r="O24" i="1" s="1"/>
  <c r="K15" i="1"/>
  <c r="M15" i="1" s="1" a="1"/>
  <c r="M15" i="1" s="1"/>
  <c r="O15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27" i="4" a="1"/>
  <c r="C32" i="5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<sst xmlns="http://schemas.openxmlformats.org/spreadsheetml/2006/main" count="1264" uniqueCount="447">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</sst>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18" sqref="U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99999994001</v>
      </c>
      <c r="G10" s="29">
        <f t="shared" si="2"/>
        <v>99999994001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99999994001介護施設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99999994001</v>
      </c>
      <c r="N10">
        <f>IF(L10&lt;&gt;"○",M10,INDEX(G$4:G9,MATCH(L10&amp;M10,F$4:F9,0)))</f>
        <v>99999994001</v>
      </c>
      <c r="O10" t="str">
        <f t="shared" si="8"/>
        <v>介護施設</v>
      </c>
      <c r="Q10" s="4">
        <v>45040</v>
      </c>
      <c r="S10" t="str">
        <f>$O$1&amp;
994&amp;
REPT("0",3-LEN(ROW($S1)))&amp;ROW($S1)</f>
        <v>99999994001</v>
      </c>
      <c r="T10" t="s">
        <v>50</v>
      </c>
      <c r="U10" t="s">
        <v>50</v>
      </c>
      <c r="V10" t="s">
        <v>446</v>
      </c>
      <c r="AB10" t="str">
        <f>$S$10&amp;"介護施設"</f>
        <v>99999994001介護施設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99999994002</v>
      </c>
      <c r="G11" s="29">
        <f t="shared" si="2"/>
        <v>99999994002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99999994001関連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99999994001</v>
      </c>
      <c r="N11">
        <f>IF(L11&lt;&gt;"○",M11,INDEX(G$4:G10,MATCH(L11&amp;M11,F$4:F10,0)))</f>
        <v>99999994001</v>
      </c>
      <c r="O11" t="str">
        <f t="shared" si="8"/>
        <v>関連</v>
      </c>
      <c r="Q11" s="4">
        <v>45040</v>
      </c>
      <c r="S11" t="str">
        <f t="shared" ref="S11:S15" si="9">$O$1&amp;
994&amp;
REPT("0",3-LEN(ROW($S2)))&amp;ROW($S2)</f>
        <v>99999994002</v>
      </c>
      <c r="T11" t="s">
        <v>50</v>
      </c>
      <c r="U11" t="s">
        <v>50</v>
      </c>
      <c r="V11" t="s">
        <v>446</v>
      </c>
      <c r="AB11" t="str">
        <f>$S$10&amp;"関連"</f>
        <v>99999994001関連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99999994003</v>
      </c>
      <c r="G12" s="29">
        <f t="shared" si="2"/>
        <v>99999994003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99999994001関連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99999994001</v>
      </c>
      <c r="N12">
        <f>IF(L12&lt;&gt;"○",M12,INDEX(G$4:G11,MATCH(L12&amp;M12,F$4:F11,0)))</f>
        <v>99999994001</v>
      </c>
      <c r="O12" t="str">
        <f t="shared" si="8"/>
        <v>関連</v>
      </c>
      <c r="Q12" s="4">
        <v>45040</v>
      </c>
      <c r="S12" t="str">
        <f t="shared" si="9"/>
        <v>99999994003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99999994001関連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99999994004</v>
      </c>
      <c r="G13" s="29">
        <f t="shared" si="2"/>
        <v>99999994004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99999994001関連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99999994001</v>
      </c>
      <c r="N13">
        <f>IF(L13&lt;&gt;"○",M13,INDEX(G$4:G12,MATCH(L13&amp;M13,F$4:F12,0)))</f>
        <v>99999994001</v>
      </c>
      <c r="O13" t="str">
        <f t="shared" si="8"/>
        <v>関連</v>
      </c>
      <c r="Q13" s="4">
        <v>45040</v>
      </c>
      <c r="S13" t="str">
        <f t="shared" si="9"/>
        <v>99999994004</v>
      </c>
      <c r="T13" t="s">
        <v>50</v>
      </c>
      <c r="U13" t="s">
        <v>50</v>
      </c>
      <c r="V13" t="s">
        <v>446</v>
      </c>
      <c r="AB13" t="str">
        <f t="shared" si="10"/>
        <v>99999994001関連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99999994005</v>
      </c>
      <c r="G14" s="29">
        <f t="shared" si="2"/>
        <v>99999994005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99999994001関連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99999994001</v>
      </c>
      <c r="N14">
        <f>IF(L14&lt;&gt;"○",M14,INDEX(G$4:G13,MATCH(L14&amp;M14,F$4:F13,0)))</f>
        <v>99999994001</v>
      </c>
      <c r="O14" t="str">
        <f t="shared" si="8"/>
        <v>関連</v>
      </c>
      <c r="Q14" s="4">
        <v>45040</v>
      </c>
      <c r="S14" t="str">
        <f t="shared" si="9"/>
        <v>99999994005</v>
      </c>
      <c r="T14" t="s">
        <v>50</v>
      </c>
      <c r="U14" t="s">
        <v>50</v>
      </c>
      <c r="V14" t="s">
        <v>446</v>
      </c>
      <c r="AB14" t="str">
        <f t="shared" si="10"/>
        <v>99999994001関連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99999994006</v>
      </c>
      <c r="G15" s="29">
        <f t="shared" si="2"/>
        <v>99999994006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99999994001関連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99999994001</v>
      </c>
      <c r="N15">
        <f>IF(L15&lt;&gt;"○",M15,INDEX(G$4:G14,MATCH(L15&amp;M15,F$4:F14,0)))</f>
        <v>99999994001</v>
      </c>
      <c r="O15" t="str">
        <f t="shared" si="8"/>
        <v>関連</v>
      </c>
      <c r="Q15" s="4">
        <v>45040</v>
      </c>
      <c r="S15" t="str">
        <f t="shared" si="9"/>
        <v>99999994006</v>
      </c>
      <c r="T15" t="s">
        <v>50</v>
      </c>
      <c r="U15" t="s">
        <v>50</v>
      </c>
      <c r="V15" t="s">
        <v>446</v>
      </c>
      <c r="AB15" t="str">
        <f t="shared" si="10"/>
        <v>99999994001関連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99999994001介護施設</v>
      </c>
      <c r="I3" s="1">
        <f>IF(H3&lt;&gt;"",IF(ROW(G1)&gt;MAX(Main!$C$4:$C$1048576),"",INDEX(Main!N$4:N$1048576,MATCH(ROW(G1),Main!$C$4:$C$1048576,0))),"")</f>
        <v>99999994001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クラスターNo.994</v>
      </c>
      <c r="M3" s="4" t="str">
        <f>TEXT(IF(ROW(A1)&gt;MAX(Main!$D$4:$D$1048576),"",INDEX(Main!Q$4:Q$1048576,MATCH(ROW(A1),Main!$D$4:$D$1048576,0))), "yyyy/m/d")</f>
        <v>2023/4/24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99999994001介護施設</v>
      </c>
      <c r="T3" s="1">
        <f>IF(S3&lt;&gt;"",IF(ROW(G1)&gt;MAX(Main!$D$4:$D$1048576),"",INDEX(Main!N$4:N$1048576,MATCH(ROW(G1),Main!$D$4:$D$1048576,0))),"")</f>
        <v>99999994001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99999994001関連</v>
      </c>
      <c r="I4" s="1">
        <f>IF(H4&lt;&gt;"",IF(ROW(G2)&gt;MAX(Main!$C$4:$C$1048576),"",INDEX(Main!N$4:N$1048576,MATCH(ROW(G2),Main!$C$4:$C$1048576,0))),"")</f>
        <v>99999994001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クラスターNo.994</v>
      </c>
      <c r="M4" s="4" t="str">
        <f>TEXT(IF(ROW(A2)&gt;MAX(Main!$D$4:$D$1048576),"",INDEX(Main!Q$4:Q$1048576,MATCH(ROW(A2),Main!$D$4:$D$1048576,0))), "yyyy/m/d")</f>
        <v>2023/4/24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99999994001関連</v>
      </c>
      <c r="T4" s="1">
        <f>IF(S4&lt;&gt;"",IF(ROW(G2)&gt;MAX(Main!$D$4:$D$1048576),"",INDEX(Main!N$4:N$1048576,MATCH(ROW(G2),Main!$D$4:$D$1048576,0))),"")</f>
        <v>99999994001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99999994001関連</v>
      </c>
      <c r="I5" s="1">
        <f>IF(H5&lt;&gt;"",IF(ROW(G3)&gt;MAX(Main!$C$4:$C$1048576),"",INDEX(Main!N$4:N$1048576,MATCH(ROW(G3),Main!$C$4:$C$1048576,0))),"")</f>
        <v>99999994001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クラスターNo.994</v>
      </c>
      <c r="M5" s="4" t="str">
        <f>TEXT(IF(ROW(A3)&gt;MAX(Main!$D$4:$D$1048576),"",INDEX(Main!Q$4:Q$1048576,MATCH(ROW(A3),Main!$D$4:$D$1048576,0))), "yyyy/m/d")</f>
        <v>2023/4/24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99999994001関連</v>
      </c>
      <c r="T5" s="1">
        <f>IF(S5&lt;&gt;"",IF(ROW(G3)&gt;MAX(Main!$D$4:$D$1048576),"",INDEX(Main!N$4:N$1048576,MATCH(ROW(G3),Main!$D$4:$D$1048576,0))),"")</f>
        <v>99999994001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99999994001関連</v>
      </c>
      <c r="I6" s="1">
        <f>IF(H6&lt;&gt;"",IF(ROW(G4)&gt;MAX(Main!$C$4:$C$1048576),"",INDEX(Main!N$4:N$1048576,MATCH(ROW(G4),Main!$C$4:$C$1048576,0))),"")</f>
        <v>99999994001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クラスターNo.994</v>
      </c>
      <c r="M6" s="4" t="str">
        <f>TEXT(IF(ROW(A4)&gt;MAX(Main!$D$4:$D$1048576),"",INDEX(Main!Q$4:Q$1048576,MATCH(ROW(A4),Main!$D$4:$D$1048576,0))), "yyyy/m/d")</f>
        <v>2023/4/24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99999994001関連</v>
      </c>
      <c r="T6" s="1">
        <f>IF(S6&lt;&gt;"",IF(ROW(G4)&gt;MAX(Main!$D$4:$D$1048576),"",INDEX(Main!N$4:N$1048576,MATCH(ROW(G4),Main!$D$4:$D$1048576,0))),"")</f>
        <v>99999994001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99999994001関連</v>
      </c>
      <c r="I7" s="1">
        <f>IF(H7&lt;&gt;"",IF(ROW(G5)&gt;MAX(Main!$C$4:$C$1048576),"",INDEX(Main!N$4:N$1048576,MATCH(ROW(G5),Main!$C$4:$C$1048576,0))),"")</f>
        <v>99999994001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クラスターNo.994</v>
      </c>
      <c r="M7" s="4" t="str">
        <f>TEXT(IF(ROW(A5)&gt;MAX(Main!$D$4:$D$1048576),"",INDEX(Main!Q$4:Q$1048576,MATCH(ROW(A5),Main!$D$4:$D$1048576,0))), "yyyy/m/d")</f>
        <v>2023/4/24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99999994001関連</v>
      </c>
      <c r="T7" s="1">
        <f>IF(S7&lt;&gt;"",IF(ROW(G5)&gt;MAX(Main!$D$4:$D$1048576),"",INDEX(Main!N$4:N$1048576,MATCH(ROW(G5),Main!$D$4:$D$1048576,0))),"")</f>
        <v>99999994001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99999994001関連</v>
      </c>
      <c r="I8" s="1">
        <f>IF(H8&lt;&gt;"",IF(ROW(G6)&gt;MAX(Main!$C$4:$C$1048576),"",INDEX(Main!N$4:N$1048576,MATCH(ROW(G6),Main!$C$4:$C$1048576,0))),"")</f>
        <v>99999994001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クラスターNo.994</v>
      </c>
      <c r="M8" s="4" t="str">
        <f>TEXT(IF(ROW(A6)&gt;MAX(Main!$D$4:$D$1048576),"",INDEX(Main!Q$4:Q$1048576,MATCH(ROW(A6),Main!$D$4:$D$1048576,0))), "yyyy/m/d")</f>
        <v>2023/4/24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99999994001関連</v>
      </c>
      <c r="T8" s="1">
        <f>IF(S8&lt;&gt;"",IF(ROW(G6)&gt;MAX(Main!$D$4:$D$1048576),"",INDEX(Main!N$4:N$1048576,MATCH(ROW(G6),Main!$D$4:$D$1048576,0))),"")</f>
        <v>99999994001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99999994001,
            "date": "2023/4/24",
            "label": "クラスターNo.994\n2023/4/24\n米沢市\n-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99999994002,
            "date": "2023/4/24",
            "label": "クラスターNo.994\n2023/4/24\n米沢市\n-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99999994003,
            "date": "2023/4/24",
            "label": "クラスターNo.994\n2023/4/24\n米沢市\n-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99999994004,
            "date": "2023/4/24",
            "label": "クラスターNo.994\n2023/4/24\n米沢市\n-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99999994005,
            "date": "2023/4/24",
            "label": "クラスターNo.994\n2023/4/24\n米沢市\n-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99999994006,
            "date": "2023/4/24",
            "label": "クラスターNo.994\n2023/4/24\n米沢市\n- ー"
        },
        "classes": ["multiline-manual", "else"]
    }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"99999994001",
            "target": "99999994001",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"99999994002",
            "target": "99999994001",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"99999994003",
            "target": "99999994001",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"99999994004",
            "target": "99999994001",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"99999994005",
            "target": "99999994001",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"99999994006",
            "target": "99999994001",
            "label": "関連"
        }
    }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1" sqref="H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"lastUpdate":"2023/4/24 22:17"}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2023-04-24T13:18:01Z</dcterms:modified>
</cp:coreProperties>
</file>