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EDCB0EC2-9218-4140-810B-A945640FAF72}" xr6:coauthVersionLast="47" xr6:coauthVersionMax="47" xr10:uidLastSave="{00000000-0000-0000-0000-000000000000}"/>
  <bookViews>
    <workbookView xWindow="1950" yWindow="930" windowWidth="26400" windowHeight="131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23" i="1" l="1"/>
  <c r="AB123" i="1" s="1"/>
  <c r="S121" i="1"/>
  <c r="S120" i="1"/>
  <c r="S119" i="1"/>
  <c r="S118" i="1"/>
  <c r="S117" i="1"/>
  <c r="S116" i="1"/>
  <c r="S115" i="1"/>
  <c r="G115" i="1" s="1"/>
  <c r="J115" i="1" s="1"/>
  <c r="S114" i="1"/>
  <c r="S113" i="1"/>
  <c r="S112" i="1"/>
  <c r="G112" i="1" s="1"/>
  <c r="F112" i="1" s="1"/>
  <c r="S111" i="1"/>
  <c r="S110" i="1"/>
  <c r="S109" i="1"/>
  <c r="S108" i="1"/>
  <c r="S107" i="1"/>
  <c r="S106" i="1"/>
  <c r="S105" i="1"/>
  <c r="G105" i="1" s="1"/>
  <c r="F105" i="1" s="1"/>
  <c r="S104" i="1"/>
  <c r="S103" i="1"/>
  <c r="G103" i="1" s="1"/>
  <c r="F103" i="1" s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AB112" i="1"/>
  <c r="AB111" i="1"/>
  <c r="AB100" i="1"/>
  <c r="AB99" i="1"/>
  <c r="AB88" i="1"/>
  <c r="AB87" i="1"/>
  <c r="S82" i="1"/>
  <c r="AB114" i="1" s="1"/>
  <c r="S80" i="1"/>
  <c r="S79" i="1"/>
  <c r="G79" i="1" s="1"/>
  <c r="F79" i="1" s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AB80" i="1" s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AB64" i="1"/>
  <c r="AB62" i="1"/>
  <c r="AB61" i="1"/>
  <c r="AB60" i="1"/>
  <c r="AB59" i="1"/>
  <c r="AB57" i="1"/>
  <c r="AB55" i="1"/>
  <c r="AB54" i="1"/>
  <c r="AB53" i="1"/>
  <c r="AB52" i="1"/>
  <c r="AB50" i="1"/>
  <c r="AB49" i="1"/>
  <c r="AB48" i="1"/>
  <c r="AB47" i="1"/>
  <c r="AB45" i="1"/>
  <c r="S45" i="1"/>
  <c r="AB63" i="1" s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AB36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/>
  <c r="G63" i="1"/>
  <c r="F63" i="1" s="1"/>
  <c r="G62" i="1"/>
  <c r="G61" i="1"/>
  <c r="I61" i="1" s="1"/>
  <c r="G60" i="1"/>
  <c r="J60" i="1" s="1"/>
  <c r="F60" i="1"/>
  <c r="G59" i="1"/>
  <c r="I59" i="1" s="1"/>
  <c r="F59" i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K49" i="1" s="1"/>
  <c r="M49" i="1" s="1" a="1"/>
  <c r="M49" i="1" s="1"/>
  <c r="O49" i="1" s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20" i="1"/>
  <c r="G19" i="1"/>
  <c r="F19" i="1" s="1"/>
  <c r="G18" i="1"/>
  <c r="F18" i="1" s="1"/>
  <c r="G17" i="1"/>
  <c r="H17" i="1" s="1"/>
  <c r="G16" i="1"/>
  <c r="I16" i="1" s="1"/>
  <c r="G15" i="1"/>
  <c r="J15" i="1" s="1"/>
  <c r="G13" i="1"/>
  <c r="G11" i="1"/>
  <c r="I11" i="1" s="1"/>
  <c r="G9" i="1"/>
  <c r="C9" i="1" s="1"/>
  <c r="G200" i="1"/>
  <c r="I200" i="1" s="1"/>
  <c r="AB13" i="1" l="1"/>
  <c r="AB25" i="1"/>
  <c r="AB37" i="1"/>
  <c r="AB69" i="1"/>
  <c r="AB91" i="1"/>
  <c r="AB103" i="1"/>
  <c r="AB115" i="1"/>
  <c r="AB14" i="1"/>
  <c r="AB26" i="1"/>
  <c r="K26" i="1" s="1"/>
  <c r="M26" i="1" s="1" a="1"/>
  <c r="M26" i="1" s="1"/>
  <c r="O26" i="1" s="1"/>
  <c r="AB38" i="1"/>
  <c r="AB70" i="1"/>
  <c r="AB92" i="1"/>
  <c r="AB104" i="1"/>
  <c r="AB116" i="1"/>
  <c r="AB15" i="1"/>
  <c r="AB27" i="1"/>
  <c r="K27" i="1" s="1"/>
  <c r="AB39" i="1"/>
  <c r="K39" i="1" s="1"/>
  <c r="M39" i="1" s="1" a="1"/>
  <c r="M39" i="1" s="1"/>
  <c r="O39" i="1" s="1"/>
  <c r="AB71" i="1"/>
  <c r="AB93" i="1"/>
  <c r="AB105" i="1"/>
  <c r="AB117" i="1"/>
  <c r="AB16" i="1"/>
  <c r="AB28" i="1"/>
  <c r="AB40" i="1"/>
  <c r="AB72" i="1"/>
  <c r="AB82" i="1"/>
  <c r="K82" i="1" s="1"/>
  <c r="AB94" i="1"/>
  <c r="K94" i="1" s="1"/>
  <c r="AB106" i="1"/>
  <c r="AB118" i="1"/>
  <c r="AB17" i="1"/>
  <c r="AB29" i="1"/>
  <c r="AB41" i="1"/>
  <c r="AB56" i="1"/>
  <c r="AB73" i="1"/>
  <c r="K73" i="1" s="1"/>
  <c r="AB83" i="1"/>
  <c r="K83" i="1" s="1"/>
  <c r="AB95" i="1"/>
  <c r="AB107" i="1"/>
  <c r="AB119" i="1"/>
  <c r="K119" i="1" s="1"/>
  <c r="AB18" i="1"/>
  <c r="AB30" i="1"/>
  <c r="AB42" i="1"/>
  <c r="AB74" i="1"/>
  <c r="AB84" i="1"/>
  <c r="AB96" i="1"/>
  <c r="K96" i="1" s="1"/>
  <c r="AB108" i="1"/>
  <c r="AB120" i="1"/>
  <c r="AB19" i="1"/>
  <c r="K19" i="1" s="1"/>
  <c r="M19" i="1" s="1" a="1"/>
  <c r="M19" i="1" s="1"/>
  <c r="O19" i="1" s="1"/>
  <c r="AB31" i="1"/>
  <c r="AB43" i="1"/>
  <c r="AB46" i="1"/>
  <c r="AB58" i="1"/>
  <c r="AB75" i="1"/>
  <c r="AB85" i="1"/>
  <c r="AB97" i="1"/>
  <c r="AB109" i="1"/>
  <c r="AB121" i="1"/>
  <c r="AB20" i="1"/>
  <c r="AB32" i="1"/>
  <c r="K32" i="1" s="1"/>
  <c r="AB76" i="1"/>
  <c r="K76" i="1" s="1"/>
  <c r="AB86" i="1"/>
  <c r="AB98" i="1"/>
  <c r="AB110" i="1"/>
  <c r="AB21" i="1"/>
  <c r="AB33" i="1"/>
  <c r="AB77" i="1"/>
  <c r="AB10" i="1"/>
  <c r="AB22" i="1"/>
  <c r="K22" i="1" s="1"/>
  <c r="L22" i="1" s="1"/>
  <c r="AB34" i="1"/>
  <c r="AB67" i="1"/>
  <c r="AB78" i="1"/>
  <c r="AB11" i="1"/>
  <c r="AB23" i="1"/>
  <c r="AB35" i="1"/>
  <c r="K35" i="1" s="1"/>
  <c r="L35" i="1" s="1"/>
  <c r="AB66" i="1"/>
  <c r="K66" i="1" s="1"/>
  <c r="AB79" i="1"/>
  <c r="AB89" i="1"/>
  <c r="AB101" i="1"/>
  <c r="K101" i="1" s="1"/>
  <c r="AB113" i="1"/>
  <c r="K113" i="1" s="1"/>
  <c r="F80" i="1"/>
  <c r="AB12" i="1"/>
  <c r="AB24" i="1"/>
  <c r="AB51" i="1"/>
  <c r="AB68" i="1"/>
  <c r="AB90" i="1"/>
  <c r="AB102" i="1"/>
  <c r="K102" i="1" s="1"/>
  <c r="K29" i="1"/>
  <c r="K23" i="1"/>
  <c r="K24" i="1"/>
  <c r="M24" i="1" s="1" a="1"/>
  <c r="M24" i="1" s="1"/>
  <c r="O24" i="1" s="1"/>
  <c r="K45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K21" i="1"/>
  <c r="M21" i="1" s="1" a="1"/>
  <c r="M21" i="1" s="1"/>
  <c r="O21" i="1" s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K15" i="1"/>
  <c r="M15" i="1" s="1" a="1"/>
  <c r="M15" i="1" s="1"/>
  <c r="O15" i="1" s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K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N100" i="1" s="1"/>
  <c r="J157" i="1"/>
  <c r="F157" i="1"/>
  <c r="C157" i="1"/>
  <c r="J181" i="1"/>
  <c r="K181" i="1"/>
  <c r="H19" i="1"/>
  <c r="I20" i="1"/>
  <c r="J20" i="1"/>
  <c r="K20" i="1"/>
  <c r="H195" i="1"/>
  <c r="F195" i="1"/>
  <c r="C195" i="1"/>
  <c r="K16" i="1"/>
  <c r="L16" i="1" s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N134" i="1" s="1"/>
  <c r="D134" i="1" s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K17" i="1"/>
  <c r="M17" i="1" s="1" a="1"/>
  <c r="M17" i="1" s="1"/>
  <c r="O17" i="1" s="1"/>
  <c r="J25" i="1"/>
  <c r="K25" i="1"/>
  <c r="M25" i="1" s="1" a="1"/>
  <c r="M25" i="1" s="1"/>
  <c r="O25" i="1" s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18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48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N183" i="1" s="1"/>
  <c r="D183" i="1" s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K41" i="1"/>
  <c r="J41" i="1"/>
  <c r="I41" i="1"/>
  <c r="H41" i="1"/>
  <c r="K44" i="1"/>
  <c r="L49" i="1"/>
  <c r="N49" i="1" s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L113" i="1" l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L36" i="1"/>
  <c r="N36" i="1" s="1"/>
  <c r="L37" i="1"/>
  <c r="N37" i="1" s="1"/>
  <c r="N19" i="1"/>
  <c r="L117" i="1"/>
  <c r="N117" i="1" s="1"/>
  <c r="M9" i="1" a="1"/>
  <c r="M9" i="1" s="1"/>
  <c r="O9" i="1" s="1"/>
  <c r="N113" i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N35" i="1"/>
  <c r="L179" i="1"/>
  <c r="M179" i="1" a="1"/>
  <c r="M179" i="1" s="1"/>
  <c r="O179" i="1" s="1"/>
  <c r="M97" i="1" a="1"/>
  <c r="M97" i="1" s="1"/>
  <c r="O97" i="1" s="1"/>
  <c r="L97" i="1"/>
  <c r="N97" i="1" s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N68" i="1"/>
  <c r="L75" i="1"/>
  <c r="M75" i="1" a="1"/>
  <c r="M75" i="1" s="1"/>
  <c r="O75" i="1" s="1"/>
  <c r="AB5" i="1"/>
  <c r="AB6" i="1"/>
  <c r="N132" i="1" l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C13" i="1"/>
  <c r="D12" i="1"/>
  <c r="C14" i="1" l="1"/>
  <c r="D13" i="1"/>
  <c r="C15" i="1" l="1"/>
  <c r="C16" i="1" s="1"/>
  <c r="D14" i="1"/>
  <c r="D15" i="1"/>
  <c r="C17" i="1"/>
  <c r="C18" i="1" l="1"/>
  <c r="D16" i="1"/>
  <c r="D17" i="1" l="1"/>
  <c r="C19" i="1"/>
  <c r="C20" i="1" l="1"/>
  <c r="D18" i="1"/>
  <c r="C21" i="1" l="1"/>
  <c r="C22" i="1" s="1"/>
  <c r="D19" i="1"/>
  <c r="C23" i="1" l="1"/>
  <c r="D20" i="1"/>
  <c r="C24" i="1"/>
  <c r="C25" i="1" s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R27" i="3"/>
  <c r="R189" i="3"/>
  <c r="R21" i="3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R86" i="3"/>
  <c r="S65" i="3"/>
  <c r="T65" i="3" s="1"/>
  <c r="U65" i="3" s="1"/>
  <c r="R100" i="3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R35" i="3"/>
  <c r="S21" i="3"/>
  <c r="T21" i="3" s="1"/>
  <c r="U21" i="3" s="1"/>
  <c r="S191" i="3"/>
  <c r="T191" i="3" s="1"/>
  <c r="U191" i="3" s="1"/>
  <c r="S71" i="3"/>
  <c r="T71" i="3" s="1"/>
  <c r="U71" i="3" s="1"/>
  <c r="R43" i="3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R10" i="3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R194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R20" i="3"/>
  <c r="M16" i="3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R144" i="3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R37" i="3"/>
  <c r="S16" i="3"/>
  <c r="T16" i="3" s="1"/>
  <c r="U16" i="3" s="1"/>
  <c r="S66" i="3"/>
  <c r="T66" i="3" s="1"/>
  <c r="U66" i="3" s="1"/>
  <c r="S15" i="3"/>
  <c r="T15" i="3" s="1"/>
  <c r="U15" i="3" s="1"/>
  <c r="R36" i="3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R65" i="3"/>
  <c r="M153" i="3"/>
  <c r="N153" i="3" s="1"/>
  <c r="O153" i="3" s="1"/>
  <c r="P153" i="3" s="1"/>
  <c r="Q153" i="3" s="1"/>
  <c r="S173" i="3"/>
  <c r="T173" i="3" s="1"/>
  <c r="U173" i="3" s="1"/>
  <c r="R15" i="3"/>
  <c r="R16" i="3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R188" i="3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R71" i="3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R7" i="3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R190" i="3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R80" i="3"/>
  <c r="M50" i="3"/>
  <c r="N50" i="3" s="1"/>
  <c r="O50" i="3" s="1"/>
  <c r="P50" i="3" s="1"/>
  <c r="Q50" i="3" s="1"/>
  <c r="M9" i="3"/>
  <c r="N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R12" i="3"/>
  <c r="M68" i="3"/>
  <c r="N68" i="3" s="1"/>
  <c r="O68" i="3" s="1"/>
  <c r="P68" i="3" s="1"/>
  <c r="Q68" i="3" s="1"/>
  <c r="S165" i="3"/>
  <c r="T165" i="3" s="1"/>
  <c r="U165" i="3" s="1"/>
  <c r="R141" i="3"/>
  <c r="M60" i="3"/>
  <c r="N60" i="3" s="1"/>
  <c r="O60" i="3" s="1"/>
  <c r="P60" i="3" s="1"/>
  <c r="Q60" i="3" s="1"/>
  <c r="R13" i="3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R4" i="3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R6" i="3"/>
  <c r="M7" i="3"/>
  <c r="N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S45" i="3"/>
  <c r="T45" i="3" s="1"/>
  <c r="U45" i="3" s="1"/>
  <c r="M18" i="3"/>
  <c r="N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R19" i="3"/>
  <c r="M178" i="3"/>
  <c r="M65" i="3"/>
  <c r="N65" i="3" s="1"/>
  <c r="O65" i="3" s="1"/>
  <c r="P65" i="3" s="1"/>
  <c r="Q65" i="3" s="1"/>
  <c r="S152" i="3"/>
  <c r="T152" i="3" s="1"/>
  <c r="U152" i="3" s="1"/>
  <c r="R17" i="3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R90" i="3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R32" i="3"/>
  <c r="R168" i="3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R26" i="3"/>
  <c r="R14" i="3"/>
  <c r="M96" i="3"/>
  <c r="N96" i="3" s="1"/>
  <c r="O96" i="3" s="1"/>
  <c r="P96" i="3" s="1"/>
  <c r="Q96" i="3" s="1"/>
  <c r="R88" i="3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R169" i="3"/>
  <c r="S146" i="3"/>
  <c r="T146" i="3" s="1"/>
  <c r="U146" i="3" s="1"/>
  <c r="R82" i="3"/>
  <c r="S73" i="3"/>
  <c r="T73" i="3" s="1"/>
  <c r="U73" i="3" s="1"/>
  <c r="R39" i="3"/>
  <c r="M158" i="3"/>
  <c r="N158" i="3" s="1"/>
  <c r="O158" i="3" s="1"/>
  <c r="P158" i="3" s="1"/>
  <c r="Q158" i="3" s="1"/>
  <c r="S29" i="3"/>
  <c r="T29" i="3" s="1"/>
  <c r="U29" i="3" s="1"/>
  <c r="R76" i="3"/>
  <c r="R85" i="3"/>
  <c r="M17" i="3"/>
  <c r="N17" i="3" s="1"/>
  <c r="M139" i="3"/>
  <c r="N139" i="3" s="1"/>
  <c r="O139" i="3" s="1"/>
  <c r="P139" i="3" s="1"/>
  <c r="Q139" i="3" s="1"/>
  <c r="U3" i="3"/>
  <c r="S67" i="3"/>
  <c r="T67" i="3" s="1"/>
  <c r="M75" i="3"/>
  <c r="N75" i="3" s="1"/>
  <c r="O75" i="3" s="1"/>
  <c r="P75" i="3" s="1"/>
  <c r="Q75" i="3" s="1"/>
  <c r="R5" i="3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R142" i="3"/>
  <c r="S63" i="3"/>
  <c r="T63" i="3" s="1"/>
  <c r="U63" i="3" s="1"/>
  <c r="S180" i="3"/>
  <c r="T180" i="3" s="1"/>
  <c r="U180" i="3" s="1"/>
  <c r="R176" i="3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R105" i="3"/>
  <c r="R11" i="3"/>
  <c r="S138" i="3"/>
  <c r="T138" i="3" s="1"/>
  <c r="U138" i="3" s="1"/>
  <c r="R40" i="3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R130" i="3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S134" i="3"/>
  <c r="T134" i="3" s="1"/>
  <c r="U134" i="3" s="1"/>
  <c r="S129" i="3"/>
  <c r="T129" i="3" s="1"/>
  <c r="U129" i="3" s="1"/>
  <c r="R18" i="3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R66" i="3"/>
  <c r="U4" i="3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R165" i="3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U67" i="3"/>
  <c r="M12" i="3"/>
  <c r="N12" i="3" s="1"/>
  <c r="R44" i="3"/>
  <c r="M35" i="3"/>
  <c r="N35" i="3" s="1"/>
  <c r="O35" i="3" s="1"/>
  <c r="P35" i="3" s="1"/>
  <c r="Q35" i="3" s="1"/>
  <c r="R74" i="3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R135" i="3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R30" i="3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S183" i="3"/>
  <c r="T183" i="3" s="1"/>
  <c r="U183" i="3" s="1"/>
  <c r="M26" i="3"/>
  <c r="N26" i="3" s="1"/>
  <c r="M10" i="3"/>
  <c r="N10" i="3" s="1"/>
  <c r="S149" i="3"/>
  <c r="T149" i="3" s="1"/>
  <c r="U149" i="3" s="1"/>
  <c r="M41" i="3"/>
  <c r="N41" i="3" s="1"/>
  <c r="O41" i="3" s="1"/>
  <c r="P41" i="3" s="1"/>
  <c r="Q41" i="3" s="1"/>
  <c r="O22" i="3"/>
  <c r="P22" i="3" s="1"/>
  <c r="Q22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R29" i="3"/>
  <c r="S25" i="3"/>
  <c r="T25" i="3" s="1"/>
  <c r="U25" i="3" s="1"/>
  <c r="R154" i="3"/>
  <c r="R9" i="3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R31" i="3"/>
  <c r="O17" i="3"/>
  <c r="P17" i="3" s="1"/>
  <c r="Q17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R75" i="3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R34" i="3"/>
  <c r="S57" i="3"/>
  <c r="T57" i="3" s="1"/>
  <c r="U57" i="3" s="1"/>
  <c r="M115" i="3"/>
  <c r="N115" i="3" s="1"/>
  <c r="O115" i="3" s="1"/>
  <c r="P115" i="3" s="1"/>
  <c r="Q115" i="3" s="1"/>
  <c r="N16" i="3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R95" i="3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R132" i="3"/>
  <c r="S119" i="3"/>
  <c r="T119" i="3" s="1"/>
  <c r="U119" i="3" s="1"/>
  <c r="R113" i="3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R128" i="3"/>
  <c r="N178" i="3"/>
  <c r="O178" i="3" s="1"/>
  <c r="P178" i="3" s="1"/>
  <c r="Q178" i="3" s="1"/>
  <c r="M22" i="3"/>
  <c r="N22" i="3" s="1"/>
  <c r="M180" i="3"/>
  <c r="N180" i="3" s="1"/>
  <c r="O180" i="3" s="1"/>
  <c r="P180" i="3" s="1"/>
  <c r="Q180" i="3" s="1"/>
  <c r="S94" i="3"/>
  <c r="T94" i="3" s="1"/>
  <c r="U94" i="3" s="1"/>
  <c r="R77" i="3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R64" i="3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R47" i="3"/>
  <c r="R94" i="3"/>
  <c r="M150" i="3"/>
  <c r="N150" i="3" s="1"/>
  <c r="O150" i="3" s="1"/>
  <c r="P150" i="3" s="1"/>
  <c r="Q150" i="3" s="1"/>
  <c r="S141" i="3"/>
  <c r="T141" i="3" s="1"/>
  <c r="U141" i="3" s="1"/>
  <c r="R104" i="3"/>
  <c r="S148" i="3"/>
  <c r="T148" i="3" s="1"/>
  <c r="U148" i="3" s="1"/>
  <c r="S164" i="3"/>
  <c r="T164" i="3" s="1"/>
  <c r="U164" i="3" s="1"/>
  <c r="R24" i="3"/>
  <c r="R159" i="3"/>
  <c r="R46" i="3"/>
  <c r="R68" i="3"/>
  <c r="R81" i="3"/>
  <c r="R111" i="3"/>
  <c r="O11" i="3"/>
  <c r="P11" i="3" s="1"/>
  <c r="Q11" i="3" s="1"/>
  <c r="R116" i="3"/>
  <c r="R152" i="3"/>
  <c r="R139" i="3"/>
  <c r="R114" i="3"/>
  <c r="R63" i="3"/>
  <c r="O8" i="3"/>
  <c r="P8" i="3" s="1"/>
  <c r="Q8" i="3" s="1"/>
  <c r="O5" i="3"/>
  <c r="P5" i="3" s="1"/>
  <c r="Q5" i="3" s="1"/>
  <c r="R177" i="3"/>
  <c r="S85" i="3"/>
  <c r="T85" i="3" s="1"/>
  <c r="U85" i="3" s="1"/>
  <c r="R60" i="3"/>
  <c r="R55" i="3"/>
  <c r="S36" i="3"/>
  <c r="T36" i="3" s="1"/>
  <c r="U36" i="3" s="1"/>
  <c r="R52" i="3"/>
  <c r="R79" i="3"/>
  <c r="R151" i="3"/>
  <c r="R193" i="3"/>
  <c r="R184" i="3"/>
  <c r="R50" i="3"/>
  <c r="R182" i="3"/>
  <c r="R56" i="3"/>
  <c r="R72" i="3"/>
  <c r="R101" i="3"/>
  <c r="R102" i="3" s="1"/>
  <c r="R163" i="3"/>
  <c r="R117" i="3"/>
  <c r="M193" i="3"/>
  <c r="N193" i="3" s="1"/>
  <c r="O193" i="3" s="1"/>
  <c r="P193" i="3" s="1"/>
  <c r="Q193" i="3" s="1"/>
  <c r="R93" i="3"/>
  <c r="R197" i="3"/>
  <c r="R103" i="3"/>
  <c r="R183" i="3"/>
  <c r="R137" i="3"/>
  <c r="R33" i="3"/>
  <c r="O13" i="3"/>
  <c r="P13" i="3" s="1"/>
  <c r="Q13" i="3" s="1"/>
  <c r="S186" i="3"/>
  <c r="T186" i="3" s="1"/>
  <c r="U186" i="3" s="1"/>
  <c r="R89" i="3"/>
  <c r="R186" i="3"/>
  <c r="O18" i="3"/>
  <c r="P18" i="3" s="1"/>
  <c r="Q18" i="3" s="1"/>
  <c r="R51" i="3"/>
  <c r="R145" i="3"/>
  <c r="R62" i="3"/>
  <c r="R107" i="3"/>
  <c r="R187" i="3"/>
  <c r="R108" i="3"/>
  <c r="R69" i="3"/>
  <c r="R91" i="3"/>
  <c r="O4" i="3"/>
  <c r="P4" i="3" s="1"/>
  <c r="Q4" i="3" s="1"/>
  <c r="R110" i="3"/>
  <c r="R161" i="3"/>
  <c r="R164" i="3"/>
  <c r="R41" i="3"/>
  <c r="R49" i="3"/>
  <c r="S75" i="3"/>
  <c r="T75" i="3" s="1"/>
  <c r="U75" i="3" s="1"/>
  <c r="R84" i="3"/>
  <c r="O16" i="3"/>
  <c r="P16" i="3" s="1"/>
  <c r="Q16" i="3" s="1"/>
  <c r="M172" i="3"/>
  <c r="N172" i="3" s="1"/>
  <c r="O172" i="3" s="1"/>
  <c r="P172" i="3" s="1"/>
  <c r="Q172" i="3" s="1"/>
  <c r="R179" i="3"/>
  <c r="R45" i="3"/>
  <c r="O20" i="3"/>
  <c r="P20" i="3" s="1"/>
  <c r="Q20" i="3" s="1"/>
  <c r="R73" i="3"/>
  <c r="R42" i="3"/>
  <c r="O14" i="3"/>
  <c r="P14" i="3" s="1"/>
  <c r="Q14" i="3" s="1"/>
  <c r="R122" i="3"/>
  <c r="R167" i="3"/>
  <c r="R98" i="3"/>
  <c r="R83" i="3"/>
  <c r="R136" i="3"/>
  <c r="R61" i="3"/>
  <c r="S33" i="3"/>
  <c r="T33" i="3" s="1"/>
  <c r="U33" i="3" s="1"/>
  <c r="R97" i="3"/>
  <c r="R70" i="3"/>
  <c r="R115" i="3"/>
  <c r="R92" i="3"/>
  <c r="R54" i="3"/>
  <c r="R67" i="3"/>
  <c r="R53" i="3"/>
  <c r="R157" i="3"/>
  <c r="R185" i="3"/>
  <c r="R138" i="3"/>
  <c r="O15" i="3"/>
  <c r="P15" i="3" s="1"/>
  <c r="Q15" i="3" s="1"/>
  <c r="R146" i="3"/>
  <c r="R118" i="3"/>
  <c r="R59" i="3"/>
  <c r="R87" i="3"/>
  <c r="R170" i="3"/>
  <c r="R22" i="3"/>
  <c r="R23" i="3"/>
  <c r="R173" i="3"/>
  <c r="R175" i="3"/>
  <c r="O21" i="3"/>
  <c r="P21" i="3" s="1"/>
  <c r="Q21" i="3" s="1"/>
  <c r="R28" i="3"/>
  <c r="R129" i="3"/>
  <c r="R153" i="3"/>
  <c r="R99" i="3"/>
  <c r="O12" i="3"/>
  <c r="P12" i="3" s="1"/>
  <c r="Q12" i="3" s="1"/>
  <c r="O9" i="3"/>
  <c r="P9" i="3" s="1"/>
  <c r="Q9" i="3" s="1"/>
  <c r="R143" i="3"/>
  <c r="R126" i="3"/>
  <c r="R38" i="3"/>
  <c r="O10" i="3"/>
  <c r="P10" i="3" s="1"/>
  <c r="Q10" i="3" s="1"/>
  <c r="R112" i="3"/>
  <c r="O6" i="3"/>
  <c r="P6" i="3" s="1"/>
  <c r="Q6" i="3" s="1"/>
  <c r="R78" i="3"/>
  <c r="R134" i="3"/>
  <c r="R160" i="3"/>
  <c r="R25" i="3"/>
  <c r="M13" i="3"/>
  <c r="N13" i="3" s="1"/>
  <c r="R199" i="3"/>
  <c r="R8" i="3"/>
  <c r="R158" i="3"/>
  <c r="O19" i="3"/>
  <c r="P19" i="3" s="1"/>
  <c r="Q19" i="3" s="1"/>
  <c r="R58" i="3"/>
  <c r="R124" i="3"/>
  <c r="R127" i="3"/>
  <c r="R57" i="3"/>
  <c r="R192" i="3"/>
  <c r="O7" i="3"/>
  <c r="P7" i="3" s="1"/>
  <c r="Q7" i="3" s="1"/>
  <c r="R48" i="3"/>
  <c r="R106" i="3"/>
  <c r="R191" i="3"/>
  <c r="R96" i="3"/>
  <c r="R109" i="3"/>
  <c r="C50" i="1"/>
  <c r="O25" i="3" l="1"/>
  <c r="P25" i="3" s="1"/>
  <c r="Q25" i="3" s="1"/>
  <c r="R200" i="3"/>
  <c r="R148" i="3"/>
  <c r="R156" i="3"/>
  <c r="A11" i="5"/>
  <c r="O30" i="3"/>
  <c r="P30" i="3" s="1"/>
  <c r="Q30" i="3" s="1"/>
  <c r="R181" i="3"/>
  <c r="O32" i="3"/>
  <c r="P32" i="3" s="1"/>
  <c r="Q32" i="3" s="1"/>
  <c r="O26" i="3"/>
  <c r="P26" i="3" s="1"/>
  <c r="Q26" i="3" s="1"/>
  <c r="O31" i="3"/>
  <c r="P31" i="3" s="1"/>
  <c r="Q31" i="3" s="1"/>
  <c r="R120" i="3"/>
  <c r="R172" i="3"/>
  <c r="R147" i="3"/>
  <c r="R162" i="3"/>
  <c r="R196" i="3"/>
  <c r="O23" i="3"/>
  <c r="P23" i="3" s="1"/>
  <c r="Q23" i="3" s="1"/>
  <c r="R125" i="3"/>
  <c r="R155" i="3"/>
  <c r="R149" i="3"/>
  <c r="O24" i="3"/>
  <c r="P24" i="3" s="1"/>
  <c r="Q24" i="3" s="1"/>
  <c r="O27" i="3"/>
  <c r="P27" i="3" s="1"/>
  <c r="Q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Q28" i="3" s="1"/>
  <c r="R140" i="3"/>
  <c r="R174" i="3"/>
  <c r="R123" i="3"/>
  <c r="R131" i="3"/>
  <c r="O29" i="3"/>
  <c r="P29" i="3" s="1"/>
  <c r="Q29" i="3" s="1"/>
  <c r="C34" i="5" a="1"/>
  <c r="C31" i="5" a="1"/>
  <c r="C25" i="5" a="1"/>
  <c r="C19" i="5" a="1"/>
  <c r="C39" i="5" a="1"/>
  <c r="C15" i="5" a="1"/>
  <c r="C41" i="5" a="1"/>
  <c r="C35" i="5" a="1"/>
  <c r="C40" i="5" a="1"/>
  <c r="C18" i="5" a="1"/>
  <c r="C28" i="5" a="1"/>
  <c r="C32" i="5" a="1"/>
  <c r="C23" i="5" a="1"/>
  <c r="C21" i="5" a="1"/>
  <c r="C30" i="5" a="1"/>
  <c r="C33" i="5" a="1"/>
  <c r="C29" i="5" a="1"/>
  <c r="C36" i="5" a="1"/>
  <c r="C24" i="5" a="1"/>
  <c r="C20" i="5" a="1"/>
  <c r="C14" i="5" a="1"/>
  <c r="C16" i="5" a="1"/>
  <c r="C26" i="5" a="1"/>
  <c r="C12" i="5" a="1"/>
  <c r="C37" i="5" a="1"/>
  <c r="C22" i="5" a="1"/>
  <c r="C42" i="5" a="1"/>
  <c r="C17" i="5" a="1"/>
  <c r="C13" i="5" a="1"/>
  <c r="C38" i="5" a="1"/>
  <c r="C27" i="5" a="1"/>
  <c r="C43" i="5" a="1"/>
  <c r="C27" i="5" l="1"/>
  <c r="C38" i="5"/>
  <c r="C13" i="5"/>
  <c r="C17" i="5"/>
  <c r="C42" i="5"/>
  <c r="C22" i="5"/>
  <c r="C37" i="5"/>
  <c r="C12" i="5"/>
  <c r="C26" i="5"/>
  <c r="C16" i="5"/>
  <c r="C14" i="5"/>
  <c r="C20" i="5"/>
  <c r="C24" i="5"/>
  <c r="C36" i="5"/>
  <c r="C29" i="5"/>
  <c r="C33" i="5"/>
  <c r="C30" i="5"/>
  <c r="C21" i="5"/>
  <c r="C23" i="5"/>
  <c r="C32" i="5"/>
  <c r="C28" i="5"/>
  <c r="C18" i="5"/>
  <c r="C40" i="5"/>
  <c r="C35" i="5"/>
  <c r="C41" i="5"/>
  <c r="C15" i="5"/>
  <c r="C39" i="5"/>
  <c r="C19" i="5"/>
  <c r="C25" i="5"/>
  <c r="C31" i="5"/>
  <c r="C34" i="5"/>
  <c r="C52" i="1"/>
  <c r="C43" i="5"/>
  <c r="C44" i="5" a="1"/>
  <c r="C53" i="1" l="1"/>
  <c r="C54" i="1" s="1"/>
  <c r="C44" i="5"/>
  <c r="C45" i="5" a="1"/>
  <c r="C55" i="1" l="1"/>
  <c r="C56" i="1" s="1"/>
  <c r="C45" i="5"/>
  <c r="C46" i="5" a="1"/>
  <c r="C57" i="1" l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46" i="5"/>
  <c r="C47" i="5" a="1"/>
  <c r="H196" i="3" l="1"/>
  <c r="I196" i="3" s="1"/>
  <c r="J196" i="3" s="1"/>
  <c r="G12" i="3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H76" i="3"/>
  <c r="I76" i="3" s="1"/>
  <c r="J76" i="3" s="1"/>
  <c r="B86" i="3"/>
  <c r="H157" i="3"/>
  <c r="I157" i="3" s="1"/>
  <c r="J157" i="3" s="1"/>
  <c r="G9" i="3"/>
  <c r="H27" i="3"/>
  <c r="I27" i="3" s="1"/>
  <c r="J27" i="3" s="1"/>
  <c r="B196" i="3"/>
  <c r="C196" i="3" s="1"/>
  <c r="K196" i="3" s="1"/>
  <c r="J8" i="3"/>
  <c r="B105" i="3"/>
  <c r="C105" i="3" s="1"/>
  <c r="K105" i="3" s="1"/>
  <c r="B16" i="3"/>
  <c r="C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G181" i="3"/>
  <c r="H142" i="3"/>
  <c r="I142" i="3" s="1"/>
  <c r="J142" i="3" s="1"/>
  <c r="G10" i="3"/>
  <c r="B147" i="3"/>
  <c r="C147" i="3" s="1"/>
  <c r="K147" i="3" s="1"/>
  <c r="H128" i="3"/>
  <c r="I128" i="3" s="1"/>
  <c r="J128" i="3" s="1"/>
  <c r="B17" i="3"/>
  <c r="C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D17" i="3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D40" i="3"/>
  <c r="E40" i="3" s="1"/>
  <c r="F40" i="3" s="1"/>
  <c r="H45" i="3"/>
  <c r="I45" i="3" s="1"/>
  <c r="J45" i="3" s="1"/>
  <c r="B32" i="3"/>
  <c r="C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G16" i="3"/>
  <c r="H124" i="3"/>
  <c r="I124" i="3" s="1"/>
  <c r="J124" i="3" s="1"/>
  <c r="B144" i="3"/>
  <c r="C144" i="3" s="1"/>
  <c r="K144" i="3" s="1"/>
  <c r="H144" i="3"/>
  <c r="I144" i="3" s="1"/>
  <c r="J144" i="3" s="1"/>
  <c r="G13" i="3"/>
  <c r="B155" i="3"/>
  <c r="C155" i="3" s="1"/>
  <c r="K155" i="3" s="1"/>
  <c r="B30" i="3"/>
  <c r="C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J158" i="3"/>
  <c r="H122" i="3"/>
  <c r="I122" i="3" s="1"/>
  <c r="J122" i="3" s="1"/>
  <c r="H4" i="3"/>
  <c r="I4" i="3" s="1"/>
  <c r="J4" i="3" s="1"/>
  <c r="J14" i="3"/>
  <c r="H30" i="3"/>
  <c r="I30" i="3" s="1"/>
  <c r="J30" i="3" s="1"/>
  <c r="B52" i="3"/>
  <c r="C52" i="3" s="1"/>
  <c r="K52" i="3" s="1"/>
  <c r="G198" i="3"/>
  <c r="B14" i="3"/>
  <c r="C14" i="3" s="1"/>
  <c r="B168" i="3"/>
  <c r="G18" i="3"/>
  <c r="H133" i="3"/>
  <c r="I133" i="3" s="1"/>
  <c r="J133" i="3" s="1"/>
  <c r="B175" i="3"/>
  <c r="C175" i="3" s="1"/>
  <c r="K175" i="3" s="1"/>
  <c r="B31" i="3"/>
  <c r="C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B169" i="3"/>
  <c r="C169" i="3" s="1"/>
  <c r="K169" i="3" s="1"/>
  <c r="D144" i="3"/>
  <c r="E144" i="3" s="1"/>
  <c r="F144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H147" i="3"/>
  <c r="I147" i="3" s="1"/>
  <c r="J147" i="3" s="1"/>
  <c r="D77" i="3"/>
  <c r="E77" i="3" s="1"/>
  <c r="F7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D137" i="3"/>
  <c r="E137" i="3" s="1"/>
  <c r="F137" i="3" s="1"/>
  <c r="G4" i="3"/>
  <c r="B157" i="3"/>
  <c r="C157" i="3" s="1"/>
  <c r="K157" i="3" s="1"/>
  <c r="G8" i="3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G7" i="3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D198" i="3"/>
  <c r="E198" i="3" s="1"/>
  <c r="F198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G63" i="3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B26" i="3"/>
  <c r="C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D111" i="3"/>
  <c r="E111" i="3" s="1"/>
  <c r="F111" i="3" s="1"/>
  <c r="B183" i="3"/>
  <c r="C183" i="3" s="1"/>
  <c r="K183" i="3" s="1"/>
  <c r="D37" i="3"/>
  <c r="E37" i="3" s="1"/>
  <c r="F37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C11" i="3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D157" i="3"/>
  <c r="E157" i="3" s="1"/>
  <c r="F1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G20" i="3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J28" i="3"/>
  <c r="G41" i="3"/>
  <c r="B47" i="3"/>
  <c r="C47" i="3" s="1"/>
  <c r="K47" i="3" s="1"/>
  <c r="B10" i="3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C168" i="3"/>
  <c r="K168" i="3" s="1"/>
  <c r="J26" i="3"/>
  <c r="B76" i="3"/>
  <c r="C76" i="3" s="1"/>
  <c r="K76" i="3" s="1"/>
  <c r="G89" i="3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B24" i="3"/>
  <c r="C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J13" i="3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H51" i="3"/>
  <c r="I51" i="3" s="1"/>
  <c r="J51" i="3" s="1"/>
  <c r="H46" i="3"/>
  <c r="I46" i="3" s="1"/>
  <c r="J46" i="3" s="1"/>
  <c r="B12" i="3"/>
  <c r="C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H88" i="3"/>
  <c r="I88" i="3" s="1"/>
  <c r="J88" i="3" s="1"/>
  <c r="H59" i="3"/>
  <c r="I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G21" i="3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B101" i="3"/>
  <c r="C101" i="3" s="1"/>
  <c r="K101" i="3" s="1"/>
  <c r="B135" i="3"/>
  <c r="C135" i="3" s="1"/>
  <c r="K135" i="3" s="1"/>
  <c r="B176" i="3"/>
  <c r="C176" i="3" s="1"/>
  <c r="K176" i="3" s="1"/>
  <c r="G6" i="3"/>
  <c r="H138" i="3"/>
  <c r="I138" i="3" s="1"/>
  <c r="J138" i="3" s="1"/>
  <c r="B197" i="3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G19" i="3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J37" i="3"/>
  <c r="G47" i="3"/>
  <c r="H155" i="3"/>
  <c r="I155" i="3" s="1"/>
  <c r="J155" i="3" s="1"/>
  <c r="H92" i="3"/>
  <c r="I92" i="3" s="1"/>
  <c r="J92" i="3" s="1"/>
  <c r="G57" i="3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G15" i="3"/>
  <c r="D181" i="3"/>
  <c r="E181" i="3" s="1"/>
  <c r="F181" i="3" s="1"/>
  <c r="B156" i="3"/>
  <c r="C156" i="3" s="1"/>
  <c r="K156" i="3" s="1"/>
  <c r="B164" i="3"/>
  <c r="C164" i="3" s="1"/>
  <c r="K164" i="3" s="1"/>
  <c r="D83" i="3"/>
  <c r="E83" i="3" s="1"/>
  <c r="F83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C10" i="3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H103" i="3"/>
  <c r="I103" i="3" s="1"/>
  <c r="J103" i="3" s="1"/>
  <c r="H131" i="3"/>
  <c r="I131" i="3" s="1"/>
  <c r="J131" i="3" s="1"/>
  <c r="D133" i="3"/>
  <c r="E133" i="3" s="1"/>
  <c r="F133" i="3" s="1"/>
  <c r="D81" i="3"/>
  <c r="E81" i="3" s="1"/>
  <c r="F81" i="3" s="1"/>
  <c r="B25" i="3"/>
  <c r="C25" i="3" s="1"/>
  <c r="H94" i="3"/>
  <c r="I94" i="3" s="1"/>
  <c r="J94" i="3" s="1"/>
  <c r="D89" i="3"/>
  <c r="E89" i="3" s="1"/>
  <c r="F89" i="3" s="1"/>
  <c r="D107" i="3"/>
  <c r="E107" i="3" s="1"/>
  <c r="F107" i="3" s="1"/>
  <c r="B61" i="3"/>
  <c r="C61" i="3" s="1"/>
  <c r="K61" i="3" s="1"/>
  <c r="D32" i="3"/>
  <c r="E32" i="3" s="1"/>
  <c r="F32" i="3" s="1"/>
  <c r="E25" i="3"/>
  <c r="D93" i="3"/>
  <c r="E93" i="3" s="1"/>
  <c r="F93" i="3" s="1"/>
  <c r="H23" i="3"/>
  <c r="I23" i="3" s="1"/>
  <c r="J23" i="3" s="1"/>
  <c r="B118" i="3"/>
  <c r="C118" i="3" s="1"/>
  <c r="K118" i="3" s="1"/>
  <c r="B132" i="3"/>
  <c r="C132" i="3" s="1"/>
  <c r="K132" i="3" s="1"/>
  <c r="D193" i="3"/>
  <c r="E193" i="3" s="1"/>
  <c r="F193" i="3" s="1"/>
  <c r="H104" i="3"/>
  <c r="I104" i="3" s="1"/>
  <c r="J104" i="3" s="1"/>
  <c r="B181" i="3"/>
  <c r="C181" i="3" s="1"/>
  <c r="K181" i="3" s="1"/>
  <c r="D7" i="3"/>
  <c r="G150" i="3"/>
  <c r="H6" i="3"/>
  <c r="I6" i="3" s="1"/>
  <c r="J6" i="3" s="1"/>
  <c r="D9" i="3"/>
  <c r="B33" i="3"/>
  <c r="C33" i="3" s="1"/>
  <c r="K33" i="3" s="1"/>
  <c r="J59" i="3"/>
  <c r="D31" i="3"/>
  <c r="E31" i="3" s="1"/>
  <c r="F31" i="3" s="1"/>
  <c r="H54" i="3"/>
  <c r="I54" i="3" s="1"/>
  <c r="J54" i="3" s="1"/>
  <c r="D25" i="3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D85" i="3"/>
  <c r="E85" i="3" s="1"/>
  <c r="F85" i="3" s="1"/>
  <c r="G44" i="3"/>
  <c r="E7" i="3"/>
  <c r="F7" i="3" s="1"/>
  <c r="D187" i="3"/>
  <c r="E187" i="3" s="1"/>
  <c r="F187" i="3" s="1"/>
  <c r="D156" i="3"/>
  <c r="E156" i="3" s="1"/>
  <c r="F156" i="3" s="1"/>
  <c r="D109" i="3"/>
  <c r="E109" i="3" s="1"/>
  <c r="F109" i="3" s="1"/>
  <c r="D134" i="3"/>
  <c r="E134" i="3" s="1"/>
  <c r="F134" i="3" s="1"/>
  <c r="D163" i="3"/>
  <c r="E163" i="3" s="1"/>
  <c r="F163" i="3" s="1"/>
  <c r="G84" i="3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G5" i="3"/>
  <c r="H50" i="3"/>
  <c r="I50" i="3" s="1"/>
  <c r="J50" i="3" s="1"/>
  <c r="D62" i="3"/>
  <c r="E62" i="3" s="1"/>
  <c r="F62" i="3" s="1"/>
  <c r="G90" i="3"/>
  <c r="D73" i="3"/>
  <c r="E73" i="3" s="1"/>
  <c r="F73" i="3" s="1"/>
  <c r="D61" i="3"/>
  <c r="E61" i="3" s="1"/>
  <c r="F61" i="3" s="1"/>
  <c r="D200" i="3"/>
  <c r="E200" i="3" s="1"/>
  <c r="F200" i="3" s="1"/>
  <c r="E18" i="3"/>
  <c r="F18" i="3" s="1"/>
  <c r="D52" i="3"/>
  <c r="E52" i="3" s="1"/>
  <c r="F52" i="3" s="1"/>
  <c r="H186" i="3"/>
  <c r="I186" i="3" s="1"/>
  <c r="J186" i="3" s="1"/>
  <c r="H18" i="3"/>
  <c r="I18" i="3" s="1"/>
  <c r="J18" i="3" s="1"/>
  <c r="D145" i="3"/>
  <c r="E145" i="3" s="1"/>
  <c r="F145" i="3" s="1"/>
  <c r="B113" i="3"/>
  <c r="C113" i="3" s="1"/>
  <c r="D39" i="3"/>
  <c r="E39" i="3" s="1"/>
  <c r="F39" i="3" s="1"/>
  <c r="D118" i="3"/>
  <c r="E118" i="3" s="1"/>
  <c r="F118" i="3" s="1"/>
  <c r="D99" i="3"/>
  <c r="E99" i="3" s="1"/>
  <c r="F99" i="3" s="1"/>
  <c r="D58" i="3"/>
  <c r="E58" i="3" s="1"/>
  <c r="F58" i="3" s="1"/>
  <c r="H49" i="3"/>
  <c r="I49" i="3" s="1"/>
  <c r="J49" i="3" s="1"/>
  <c r="H53" i="3"/>
  <c r="I53" i="3" s="1"/>
  <c r="J53" i="3" s="1"/>
  <c r="H164" i="3"/>
  <c r="I164" i="3" s="1"/>
  <c r="J164" i="3" s="1"/>
  <c r="D63" i="3"/>
  <c r="E63" i="3" s="1"/>
  <c r="F63" i="3" s="1"/>
  <c r="D26" i="3"/>
  <c r="H135" i="3"/>
  <c r="I135" i="3" s="1"/>
  <c r="J135" i="3" s="1"/>
  <c r="H197" i="3"/>
  <c r="I197" i="3" s="1"/>
  <c r="J197" i="3" s="1"/>
  <c r="B99" i="3"/>
  <c r="C99" i="3" s="1"/>
  <c r="K99" i="3" s="1"/>
  <c r="D59" i="3"/>
  <c r="E59" i="3" s="1"/>
  <c r="F59" i="3" s="1"/>
  <c r="D78" i="3"/>
  <c r="E78" i="3" s="1"/>
  <c r="F78" i="3" s="1"/>
  <c r="D20" i="3"/>
  <c r="D170" i="3"/>
  <c r="E170" i="3" s="1"/>
  <c r="F170" i="3" s="1"/>
  <c r="D150" i="3"/>
  <c r="E150" i="3" s="1"/>
  <c r="F150" i="3" s="1"/>
  <c r="G92" i="3"/>
  <c r="D126" i="3"/>
  <c r="E126" i="3" s="1"/>
  <c r="F126" i="3" s="1"/>
  <c r="C66" i="3"/>
  <c r="K66" i="3" s="1"/>
  <c r="B98" i="3"/>
  <c r="C98" i="3" s="1"/>
  <c r="K98" i="3" s="1"/>
  <c r="H102" i="3"/>
  <c r="I102" i="3" s="1"/>
  <c r="J102" i="3" s="1"/>
  <c r="H72" i="3"/>
  <c r="I72" i="3" s="1"/>
  <c r="J72" i="3" s="1"/>
  <c r="G14" i="3"/>
  <c r="B133" i="3"/>
  <c r="C133" i="3" s="1"/>
  <c r="K133" i="3" s="1"/>
  <c r="H65" i="3"/>
  <c r="I65" i="3" s="1"/>
  <c r="J65" i="3" s="1"/>
  <c r="D75" i="3"/>
  <c r="E75" i="3" s="1"/>
  <c r="F75" i="3" s="1"/>
  <c r="D3" i="3"/>
  <c r="D136" i="3"/>
  <c r="E136" i="3" s="1"/>
  <c r="F136" i="3" s="1"/>
  <c r="H47" i="3"/>
  <c r="I47" i="3" s="1"/>
  <c r="J47" i="3" s="1"/>
  <c r="D104" i="3"/>
  <c r="E104" i="3" s="1"/>
  <c r="F104" i="3" s="1"/>
  <c r="D30" i="3"/>
  <c r="E30" i="3" s="1"/>
  <c r="F30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D161" i="3"/>
  <c r="E161" i="3" s="1"/>
  <c r="F161" i="3" s="1"/>
  <c r="D199" i="3"/>
  <c r="E199" i="3" s="1"/>
  <c r="F199" i="3" s="1"/>
  <c r="D96" i="3"/>
  <c r="E96" i="3" s="1"/>
  <c r="F96" i="3" s="1"/>
  <c r="D46" i="3"/>
  <c r="E46" i="3" s="1"/>
  <c r="F46" i="3" s="1"/>
  <c r="D95" i="3"/>
  <c r="E95" i="3" s="1"/>
  <c r="F95" i="3" s="1"/>
  <c r="B170" i="3"/>
  <c r="C170" i="3" s="1"/>
  <c r="K170" i="3" s="1"/>
  <c r="D105" i="3"/>
  <c r="E105" i="3" s="1"/>
  <c r="F105" i="3" s="1"/>
  <c r="H180" i="3"/>
  <c r="I180" i="3" s="1"/>
  <c r="J180" i="3" s="1"/>
  <c r="B188" i="3"/>
  <c r="C188" i="3" s="1"/>
  <c r="K188" i="3" s="1"/>
  <c r="E19" i="3"/>
  <c r="F19" i="3" s="1"/>
  <c r="D66" i="3"/>
  <c r="E66" i="3" s="1"/>
  <c r="F66" i="3" s="1"/>
  <c r="D138" i="3"/>
  <c r="E138" i="3" s="1"/>
  <c r="F138" i="3" s="1"/>
  <c r="D172" i="3"/>
  <c r="E172" i="3" s="1"/>
  <c r="F172" i="3" s="1"/>
  <c r="D42" i="3"/>
  <c r="E42" i="3" s="1"/>
  <c r="F42" i="3" s="1"/>
  <c r="D27" i="3"/>
  <c r="E27" i="3" s="1"/>
  <c r="F27" i="3" s="1"/>
  <c r="H5" i="3"/>
  <c r="I5" i="3" s="1"/>
  <c r="J5" i="3" s="1"/>
  <c r="B96" i="3"/>
  <c r="C96" i="3" s="1"/>
  <c r="K96" i="3" s="1"/>
  <c r="H8" i="3"/>
  <c r="I8" i="3" s="1"/>
  <c r="B19" i="3"/>
  <c r="C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D119" i="3"/>
  <c r="E119" i="3" s="1"/>
  <c r="F119" i="3" s="1"/>
  <c r="D127" i="3"/>
  <c r="E127" i="3" s="1"/>
  <c r="F127" i="3" s="1"/>
  <c r="D195" i="3"/>
  <c r="E195" i="3" s="1"/>
  <c r="F195" i="3" s="1"/>
  <c r="D19" i="3"/>
  <c r="D41" i="3"/>
  <c r="E41" i="3" s="1"/>
  <c r="F41" i="3" s="1"/>
  <c r="D36" i="3"/>
  <c r="E36" i="3" s="1"/>
  <c r="F36" i="3" s="1"/>
  <c r="G103" i="3"/>
  <c r="D21" i="3"/>
  <c r="D82" i="3"/>
  <c r="E82" i="3" s="1"/>
  <c r="F82" i="3" s="1"/>
  <c r="B43" i="3"/>
  <c r="C43" i="3" s="1"/>
  <c r="K43" i="3" s="1"/>
  <c r="D173" i="3"/>
  <c r="E173" i="3" s="1"/>
  <c r="F173" i="3" s="1"/>
  <c r="H195" i="3"/>
  <c r="I195" i="3" s="1"/>
  <c r="J195" i="3" s="1"/>
  <c r="E23" i="3"/>
  <c r="D175" i="3"/>
  <c r="E175" i="3" s="1"/>
  <c r="F175" i="3" s="1"/>
  <c r="H90" i="3"/>
  <c r="I90" i="3" s="1"/>
  <c r="J90" i="3" s="1"/>
  <c r="B87" i="3"/>
  <c r="C87" i="3" s="1"/>
  <c r="K87" i="3" s="1"/>
  <c r="D88" i="3"/>
  <c r="E88" i="3" s="1"/>
  <c r="F88" i="3" s="1"/>
  <c r="D125" i="3"/>
  <c r="E125" i="3" s="1"/>
  <c r="F125" i="3" s="1"/>
  <c r="B68" i="3"/>
  <c r="C68" i="3" s="1"/>
  <c r="K68" i="3" s="1"/>
  <c r="H99" i="3"/>
  <c r="I99" i="3" s="1"/>
  <c r="J99" i="3" s="1"/>
  <c r="H55" i="3"/>
  <c r="I55" i="3" s="1"/>
  <c r="J55" i="3" s="1"/>
  <c r="D47" i="3"/>
  <c r="E47" i="3" s="1"/>
  <c r="F47" i="3" s="1"/>
  <c r="D5" i="3"/>
  <c r="G11" i="3"/>
  <c r="B91" i="3"/>
  <c r="C91" i="3" s="1"/>
  <c r="K91" i="3" s="1"/>
  <c r="H115" i="3"/>
  <c r="I115" i="3" s="1"/>
  <c r="J115" i="3" s="1"/>
  <c r="B71" i="3"/>
  <c r="C71" i="3" s="1"/>
  <c r="K71" i="3" s="1"/>
  <c r="D155" i="3"/>
  <c r="E155" i="3" s="1"/>
  <c r="F155" i="3" s="1"/>
  <c r="D8" i="3"/>
  <c r="G121" i="3"/>
  <c r="E20" i="3"/>
  <c r="F20" i="3" s="1"/>
  <c r="D141" i="3"/>
  <c r="E141" i="3" s="1"/>
  <c r="F141" i="3" s="1"/>
  <c r="B70" i="3"/>
  <c r="C70" i="3" s="1"/>
  <c r="K70" i="3" s="1"/>
  <c r="D166" i="3"/>
  <c r="E166" i="3" s="1"/>
  <c r="F166" i="3" s="1"/>
  <c r="D92" i="3"/>
  <c r="E92" i="3" s="1"/>
  <c r="F92" i="3" s="1"/>
  <c r="D114" i="3"/>
  <c r="E114" i="3" s="1"/>
  <c r="F114" i="3" s="1"/>
  <c r="D55" i="3"/>
  <c r="E55" i="3" s="1"/>
  <c r="F55" i="3" s="1"/>
  <c r="D160" i="3"/>
  <c r="E160" i="3" s="1"/>
  <c r="F160" i="3" s="1"/>
  <c r="D60" i="3"/>
  <c r="E60" i="3" s="1"/>
  <c r="F60" i="3" s="1"/>
  <c r="D196" i="3"/>
  <c r="E196" i="3" s="1"/>
  <c r="F196" i="3" s="1"/>
  <c r="D11" i="3"/>
  <c r="H100" i="3"/>
  <c r="I100" i="3" s="1"/>
  <c r="J100" i="3" s="1"/>
  <c r="H40" i="3"/>
  <c r="I40" i="3" s="1"/>
  <c r="J40" i="3" s="1"/>
  <c r="B187" i="3"/>
  <c r="C187" i="3" s="1"/>
  <c r="K187" i="3" s="1"/>
  <c r="D176" i="3"/>
  <c r="E176" i="3" s="1"/>
  <c r="F176" i="3" s="1"/>
  <c r="G17" i="3"/>
  <c r="G48" i="3"/>
  <c r="D48" i="3"/>
  <c r="E48" i="3" s="1"/>
  <c r="F48" i="3" s="1"/>
  <c r="H64" i="3"/>
  <c r="I64" i="3" s="1"/>
  <c r="J64" i="3" s="1"/>
  <c r="D24" i="3"/>
  <c r="E10" i="3"/>
  <c r="F10" i="3" s="1"/>
  <c r="B28" i="3"/>
  <c r="C28" i="3" s="1"/>
  <c r="H73" i="3"/>
  <c r="I73" i="3" s="1"/>
  <c r="J73" i="3" s="1"/>
  <c r="B9" i="3"/>
  <c r="C9" i="3" s="1"/>
  <c r="D121" i="3"/>
  <c r="E121" i="3" s="1"/>
  <c r="F121" i="3" s="1"/>
  <c r="H136" i="3"/>
  <c r="I136" i="3" s="1"/>
  <c r="J136" i="3" s="1"/>
  <c r="D130" i="3"/>
  <c r="E130" i="3" s="1"/>
  <c r="F130" i="3" s="1"/>
  <c r="B192" i="3"/>
  <c r="C192" i="3" s="1"/>
  <c r="K192" i="3" s="1"/>
  <c r="D132" i="3"/>
  <c r="E132" i="3" s="1"/>
  <c r="F132" i="3" s="1"/>
  <c r="D12" i="3"/>
  <c r="D120" i="3"/>
  <c r="E120" i="3" s="1"/>
  <c r="F120" i="3" s="1"/>
  <c r="B151" i="3"/>
  <c r="C151" i="3" s="1"/>
  <c r="K151" i="3" s="1"/>
  <c r="B34" i="3"/>
  <c r="C34" i="3" s="1"/>
  <c r="K34" i="3" s="1"/>
  <c r="D146" i="3"/>
  <c r="E146" i="3" s="1"/>
  <c r="F146" i="3" s="1"/>
  <c r="D135" i="3"/>
  <c r="E135" i="3" s="1"/>
  <c r="F135" i="3" s="1"/>
  <c r="H178" i="3"/>
  <c r="I178" i="3" s="1"/>
  <c r="J178" i="3" s="1"/>
  <c r="D142" i="3"/>
  <c r="E142" i="3" s="1"/>
  <c r="F142" i="3" s="1"/>
  <c r="E26" i="3"/>
  <c r="B18" i="3"/>
  <c r="C18" i="3" s="1"/>
  <c r="D68" i="3"/>
  <c r="E68" i="3" s="1"/>
  <c r="F68" i="3" s="1"/>
  <c r="D69" i="3"/>
  <c r="E69" i="3" s="1"/>
  <c r="F69" i="3" s="1"/>
  <c r="B11" i="3"/>
  <c r="C197" i="3"/>
  <c r="K197" i="3" s="1"/>
  <c r="G43" i="3"/>
  <c r="H21" i="3"/>
  <c r="I21" i="3" s="1"/>
  <c r="J21" i="3" s="1"/>
  <c r="B127" i="3"/>
  <c r="C127" i="3" s="1"/>
  <c r="K127" i="3" s="1"/>
  <c r="D100" i="3"/>
  <c r="E100" i="3" s="1"/>
  <c r="F100" i="3" s="1"/>
  <c r="B89" i="3"/>
  <c r="C89" i="3" s="1"/>
  <c r="K89" i="3" s="1"/>
  <c r="B8" i="3"/>
  <c r="C8" i="3" s="1"/>
  <c r="D103" i="3"/>
  <c r="E103" i="3" s="1"/>
  <c r="F103" i="3" s="1"/>
  <c r="B5" i="3"/>
  <c r="C5" i="3" s="1"/>
  <c r="D29" i="3"/>
  <c r="E29" i="3" s="1"/>
  <c r="F29" i="3" s="1"/>
  <c r="D124" i="3"/>
  <c r="E124" i="3" s="1"/>
  <c r="F124" i="3" s="1"/>
  <c r="H9" i="3"/>
  <c r="I9" i="3" s="1"/>
  <c r="J9" i="3" s="1"/>
  <c r="G30" i="3"/>
  <c r="D91" i="3"/>
  <c r="E91" i="3" s="1"/>
  <c r="F91" i="3" s="1"/>
  <c r="G100" i="3"/>
  <c r="D50" i="3"/>
  <c r="E50" i="3" s="1"/>
  <c r="F50" i="3" s="1"/>
  <c r="D153" i="3"/>
  <c r="E153" i="3" s="1"/>
  <c r="F153" i="3" s="1"/>
  <c r="E16" i="3"/>
  <c r="F16" i="3" s="1"/>
  <c r="B171" i="3"/>
  <c r="C171" i="3" s="1"/>
  <c r="K171" i="3" s="1"/>
  <c r="D171" i="3"/>
  <c r="E171" i="3" s="1"/>
  <c r="F171" i="3" s="1"/>
  <c r="D169" i="3"/>
  <c r="E169" i="3" s="1"/>
  <c r="F169" i="3" s="1"/>
  <c r="G170" i="3"/>
  <c r="G173" i="3"/>
  <c r="H81" i="3"/>
  <c r="I81" i="3" s="1"/>
  <c r="J81" i="3" s="1"/>
  <c r="G39" i="3"/>
  <c r="E17" i="3"/>
  <c r="F17" i="3" s="1"/>
  <c r="D102" i="3"/>
  <c r="E102" i="3" s="1"/>
  <c r="F102" i="3" s="1"/>
  <c r="B78" i="3"/>
  <c r="C78" i="3" s="1"/>
  <c r="K78" i="3" s="1"/>
  <c r="H118" i="3"/>
  <c r="I118" i="3" s="1"/>
  <c r="J118" i="3" s="1"/>
  <c r="C86" i="3"/>
  <c r="K86" i="3" s="1"/>
  <c r="B73" i="3"/>
  <c r="C73" i="3" s="1"/>
  <c r="K73" i="3" s="1"/>
  <c r="D72" i="3"/>
  <c r="E72" i="3" s="1"/>
  <c r="F72" i="3" s="1"/>
  <c r="D87" i="3"/>
  <c r="E87" i="3" s="1"/>
  <c r="F87" i="3" s="1"/>
  <c r="D106" i="3"/>
  <c r="E106" i="3" s="1"/>
  <c r="F106" i="3" s="1"/>
  <c r="H198" i="3"/>
  <c r="I198" i="3" s="1"/>
  <c r="J198" i="3" s="1"/>
  <c r="B110" i="3"/>
  <c r="C110" i="3" s="1"/>
  <c r="K110" i="3" s="1"/>
  <c r="G40" i="3"/>
  <c r="H78" i="3"/>
  <c r="I78" i="3" s="1"/>
  <c r="J78" i="3" s="1"/>
  <c r="H33" i="3"/>
  <c r="I33" i="3" s="1"/>
  <c r="J33" i="3" s="1"/>
  <c r="D90" i="3"/>
  <c r="E90" i="3" s="1"/>
  <c r="F90" i="3" s="1"/>
  <c r="G78" i="3"/>
  <c r="G157" i="3"/>
  <c r="D154" i="3"/>
  <c r="E154" i="3" s="1"/>
  <c r="F154" i="3" s="1"/>
  <c r="D97" i="3"/>
  <c r="E97" i="3" s="1"/>
  <c r="F97" i="3" s="1"/>
  <c r="D45" i="3"/>
  <c r="E45" i="3" s="1"/>
  <c r="F45" i="3" s="1"/>
  <c r="G97" i="3"/>
  <c r="D84" i="3"/>
  <c r="E84" i="3" s="1"/>
  <c r="F84" i="3" s="1"/>
  <c r="B177" i="3"/>
  <c r="C177" i="3" s="1"/>
  <c r="K177" i="3" s="1"/>
  <c r="E9" i="3"/>
  <c r="F9" i="3" s="1"/>
  <c r="D189" i="3"/>
  <c r="E189" i="3" s="1"/>
  <c r="F189" i="3" s="1"/>
  <c r="D101" i="3"/>
  <c r="E101" i="3" s="1"/>
  <c r="F101" i="3" s="1"/>
  <c r="G114" i="3"/>
  <c r="D98" i="3"/>
  <c r="E98" i="3" s="1"/>
  <c r="F98" i="3" s="1"/>
  <c r="G95" i="3"/>
  <c r="D168" i="3"/>
  <c r="E168" i="3" s="1"/>
  <c r="F168" i="3" s="1"/>
  <c r="D115" i="3"/>
  <c r="E115" i="3" s="1"/>
  <c r="F115" i="3" s="1"/>
  <c r="G69" i="3"/>
  <c r="D6" i="3"/>
  <c r="G110" i="3"/>
  <c r="D74" i="3"/>
  <c r="E74" i="3" s="1"/>
  <c r="F74" i="3" s="1"/>
  <c r="G101" i="3"/>
  <c r="D16" i="3"/>
  <c r="D167" i="3"/>
  <c r="E167" i="3" s="1"/>
  <c r="F167" i="3" s="1"/>
  <c r="D110" i="3"/>
  <c r="E110" i="3" s="1"/>
  <c r="F110" i="3" s="1"/>
  <c r="G42" i="3"/>
  <c r="G83" i="3"/>
  <c r="G59" i="3"/>
  <c r="G35" i="3"/>
  <c r="E21" i="3"/>
  <c r="F21" i="3" s="1"/>
  <c r="G200" i="3"/>
  <c r="D108" i="3"/>
  <c r="E108" i="3" s="1"/>
  <c r="F108" i="3" s="1"/>
  <c r="E14" i="3"/>
  <c r="F14" i="3" s="1"/>
  <c r="D162" i="3"/>
  <c r="E162" i="3" s="1"/>
  <c r="F162" i="3" s="1"/>
  <c r="G182" i="3"/>
  <c r="D54" i="3"/>
  <c r="E54" i="3" s="1"/>
  <c r="F54" i="3" s="1"/>
  <c r="D56" i="3"/>
  <c r="E56" i="3" s="1"/>
  <c r="F56" i="3" s="1"/>
  <c r="G37" i="3"/>
  <c r="D164" i="3"/>
  <c r="E164" i="3" s="1"/>
  <c r="F164" i="3" s="1"/>
  <c r="G72" i="3"/>
  <c r="G55" i="3"/>
  <c r="G32" i="3"/>
  <c r="D43" i="3"/>
  <c r="E43" i="3" s="1"/>
  <c r="F43" i="3" s="1"/>
  <c r="D33" i="3"/>
  <c r="E33" i="3" s="1"/>
  <c r="F33" i="3" s="1"/>
  <c r="G71" i="3"/>
  <c r="G102" i="3"/>
  <c r="E5" i="3"/>
  <c r="F5" i="3" s="1"/>
  <c r="D186" i="3"/>
  <c r="E186" i="3" s="1"/>
  <c r="F186" i="3" s="1"/>
  <c r="G81" i="3"/>
  <c r="G199" i="3"/>
  <c r="G117" i="3"/>
  <c r="D184" i="3"/>
  <c r="E184" i="3" s="1"/>
  <c r="F184" i="3" s="1"/>
  <c r="G54" i="3"/>
  <c r="G34" i="3"/>
  <c r="D182" i="3"/>
  <c r="E182" i="3" s="1"/>
  <c r="F182" i="3" s="1"/>
  <c r="D165" i="3"/>
  <c r="E165" i="3" s="1"/>
  <c r="F165" i="3" s="1"/>
  <c r="G85" i="3"/>
  <c r="D86" i="3"/>
  <c r="E86" i="3" s="1"/>
  <c r="F86" i="3" s="1"/>
  <c r="G105" i="3"/>
  <c r="G91" i="3"/>
  <c r="E8" i="3"/>
  <c r="F8" i="3" s="1"/>
  <c r="G86" i="3"/>
  <c r="D64" i="3"/>
  <c r="E64" i="3" s="1"/>
  <c r="F64" i="3" s="1"/>
  <c r="E6" i="3"/>
  <c r="F6" i="3" s="1"/>
  <c r="G107" i="3"/>
  <c r="G70" i="3"/>
  <c r="G27" i="3"/>
  <c r="D76" i="3"/>
  <c r="E76" i="3" s="1"/>
  <c r="F76" i="3" s="1"/>
  <c r="G96" i="3"/>
  <c r="D35" i="3"/>
  <c r="E35" i="3" s="1"/>
  <c r="F35" i="3" s="1"/>
  <c r="D13" i="3"/>
  <c r="G125" i="3"/>
  <c r="G140" i="3"/>
  <c r="D38" i="3"/>
  <c r="E38" i="3" s="1"/>
  <c r="F38" i="3" s="1"/>
  <c r="G106" i="3"/>
  <c r="G38" i="3"/>
  <c r="G120" i="3"/>
  <c r="G132" i="3"/>
  <c r="G149" i="3"/>
  <c r="G64" i="3"/>
  <c r="G195" i="3"/>
  <c r="G80" i="3"/>
  <c r="G36" i="3"/>
  <c r="D117" i="3"/>
  <c r="E117" i="3" s="1"/>
  <c r="F117" i="3" s="1"/>
  <c r="G98" i="3"/>
  <c r="D53" i="3"/>
  <c r="E53" i="3" s="1"/>
  <c r="F53" i="3" s="1"/>
  <c r="G183" i="3"/>
  <c r="D4" i="3"/>
  <c r="G60" i="3"/>
  <c r="G104" i="3"/>
  <c r="D183" i="3"/>
  <c r="E183" i="3" s="1"/>
  <c r="F183" i="3" s="1"/>
  <c r="G111" i="3"/>
  <c r="G109" i="3"/>
  <c r="G49" i="3"/>
  <c r="G196" i="3"/>
  <c r="D44" i="3"/>
  <c r="E44" i="3" s="1"/>
  <c r="F44" i="3" s="1"/>
  <c r="D80" i="3"/>
  <c r="E80" i="3" s="1"/>
  <c r="F80" i="3" s="1"/>
  <c r="D147" i="3"/>
  <c r="E147" i="3" s="1"/>
  <c r="F147" i="3" s="1"/>
  <c r="E13" i="3"/>
  <c r="F13" i="3" s="1"/>
  <c r="G45" i="3"/>
  <c r="G136" i="3"/>
  <c r="G61" i="3"/>
  <c r="G50" i="3"/>
  <c r="G46" i="3"/>
  <c r="G169" i="3"/>
  <c r="G58" i="3"/>
  <c r="D34" i="3"/>
  <c r="E34" i="3" s="1"/>
  <c r="F34" i="3" s="1"/>
  <c r="E22" i="3"/>
  <c r="G67" i="3"/>
  <c r="E15" i="3"/>
  <c r="F15" i="3" s="1"/>
  <c r="D79" i="3"/>
  <c r="E79" i="3" s="1"/>
  <c r="F79" i="3" s="1"/>
  <c r="G88" i="3"/>
  <c r="E24" i="3"/>
  <c r="D140" i="3"/>
  <c r="E140" i="3" s="1"/>
  <c r="F140" i="3" s="1"/>
  <c r="G79" i="3"/>
  <c r="D49" i="3"/>
  <c r="E49" i="3" s="1"/>
  <c r="F49" i="3" s="1"/>
  <c r="G163" i="3"/>
  <c r="G77" i="3"/>
  <c r="E4" i="3"/>
  <c r="F4" i="3" s="1"/>
  <c r="E11" i="3"/>
  <c r="F11" i="3" s="1"/>
  <c r="G52" i="3"/>
  <c r="G174" i="3"/>
  <c r="G51" i="3"/>
  <c r="G65" i="3"/>
  <c r="G154" i="3"/>
  <c r="D149" i="3"/>
  <c r="E149" i="3" s="1"/>
  <c r="F149" i="3" s="1"/>
  <c r="D10" i="3"/>
  <c r="D28" i="3"/>
  <c r="E28" i="3" s="1"/>
  <c r="F28" i="3" s="1"/>
  <c r="G82" i="3"/>
  <c r="G124" i="3"/>
  <c r="G29" i="3"/>
  <c r="D112" i="3"/>
  <c r="E112" i="3" s="1"/>
  <c r="F112" i="3" s="1"/>
  <c r="D67" i="3"/>
  <c r="E67" i="3" s="1"/>
  <c r="F67" i="3" s="1"/>
  <c r="G197" i="3"/>
  <c r="G94" i="3"/>
  <c r="D158" i="3"/>
  <c r="E158" i="3" s="1"/>
  <c r="F158" i="3" s="1"/>
  <c r="G108" i="3"/>
  <c r="D15" i="3"/>
  <c r="D18" i="3"/>
  <c r="D51" i="3"/>
  <c r="E51" i="3" s="1"/>
  <c r="F51" i="3" s="1"/>
  <c r="G171" i="3"/>
  <c r="G115" i="3"/>
  <c r="G112" i="3"/>
  <c r="D123" i="3"/>
  <c r="E123" i="3" s="1"/>
  <c r="F123" i="3" s="1"/>
  <c r="G53" i="3"/>
  <c r="D70" i="3"/>
  <c r="E70" i="3" s="1"/>
  <c r="F70" i="3" s="1"/>
  <c r="D22" i="3"/>
  <c r="D71" i="3"/>
  <c r="E71" i="3" s="1"/>
  <c r="F71" i="3" s="1"/>
  <c r="G73" i="3"/>
  <c r="D14" i="3"/>
  <c r="G145" i="3"/>
  <c r="D129" i="3"/>
  <c r="E129" i="3" s="1"/>
  <c r="F129" i="3" s="1"/>
  <c r="D197" i="3"/>
  <c r="E197" i="3" s="1"/>
  <c r="F197" i="3" s="1"/>
  <c r="G126" i="3"/>
  <c r="D65" i="3"/>
  <c r="E65" i="3" s="1"/>
  <c r="F65" i="3" s="1"/>
  <c r="G168" i="3"/>
  <c r="G76" i="3"/>
  <c r="G87" i="3"/>
  <c r="G56" i="3"/>
  <c r="G93" i="3"/>
  <c r="G193" i="3"/>
  <c r="G75" i="3"/>
  <c r="G141" i="3"/>
  <c r="E12" i="3"/>
  <c r="F12" i="3" s="1"/>
  <c r="D94" i="3"/>
  <c r="E94" i="3" s="1"/>
  <c r="F94" i="3" s="1"/>
  <c r="G123" i="3"/>
  <c r="G99" i="3"/>
  <c r="G62" i="3"/>
  <c r="G28" i="3"/>
  <c r="D23" i="3"/>
  <c r="G74" i="3"/>
  <c r="D57" i="3"/>
  <c r="E57" i="3" s="1"/>
  <c r="F57" i="3" s="1"/>
  <c r="D174" i="3"/>
  <c r="E174" i="3" s="1"/>
  <c r="F174" i="3" s="1"/>
  <c r="G146" i="3"/>
  <c r="G68" i="3"/>
  <c r="G31" i="3"/>
  <c r="G186" i="3"/>
  <c r="G33" i="3"/>
  <c r="G66" i="3"/>
  <c r="C47" i="5"/>
  <c r="C48" i="5" a="1"/>
  <c r="K113" i="3" l="1"/>
  <c r="D113" i="3"/>
  <c r="E113" i="3" s="1"/>
  <c r="K152" i="3"/>
  <c r="D152" i="3"/>
  <c r="E152" i="3" s="1"/>
  <c r="G26" i="3"/>
  <c r="F26" i="3"/>
  <c r="D139" i="3"/>
  <c r="E139" i="3" s="1"/>
  <c r="G129" i="3"/>
  <c r="G119" i="3"/>
  <c r="G25" i="3"/>
  <c r="F25" i="3"/>
  <c r="A12" i="4"/>
  <c r="K26" i="3"/>
  <c r="G22" i="3"/>
  <c r="F22" i="3"/>
  <c r="G158" i="3"/>
  <c r="D177" i="3"/>
  <c r="E177" i="3" s="1"/>
  <c r="G153" i="3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G166" i="3"/>
  <c r="G147" i="3"/>
  <c r="G144" i="3"/>
  <c r="D194" i="3"/>
  <c r="E194" i="3" s="1"/>
  <c r="K6" i="3"/>
  <c r="K32" i="3"/>
  <c r="G134" i="3"/>
  <c r="G160" i="3"/>
  <c r="G161" i="3"/>
  <c r="G187" i="3"/>
  <c r="G165" i="3"/>
  <c r="K28" i="3"/>
  <c r="K19" i="3"/>
  <c r="D185" i="3"/>
  <c r="E185" i="3" s="1"/>
  <c r="K12" i="3"/>
  <c r="K23" i="3"/>
  <c r="K7" i="3"/>
  <c r="K21" i="3"/>
  <c r="G138" i="3"/>
  <c r="D180" i="3"/>
  <c r="E180" i="3" s="1"/>
  <c r="D188" i="3"/>
  <c r="E188" i="3" s="1"/>
  <c r="D178" i="3"/>
  <c r="E178" i="3" s="1"/>
  <c r="G172" i="3"/>
  <c r="D128" i="3"/>
  <c r="E128" i="3" s="1"/>
  <c r="G175" i="3"/>
  <c r="G162" i="3"/>
  <c r="D143" i="3"/>
  <c r="E143" i="3" s="1"/>
  <c r="G189" i="3"/>
  <c r="D122" i="3"/>
  <c r="E122" i="3" s="1"/>
  <c r="K17" i="3"/>
  <c r="D190" i="3"/>
  <c r="E190" i="3" s="1"/>
  <c r="G130" i="3"/>
  <c r="G137" i="3"/>
  <c r="G176" i="3"/>
  <c r="G184" i="3"/>
  <c r="G155" i="3"/>
  <c r="G142" i="3"/>
  <c r="K29" i="3"/>
  <c r="K20" i="3"/>
  <c r="K8" i="3"/>
  <c r="G135" i="3"/>
  <c r="G24" i="3"/>
  <c r="F24" i="3"/>
  <c r="G127" i="3"/>
  <c r="G118" i="3"/>
  <c r="G167" i="3"/>
  <c r="G164" i="3"/>
  <c r="K25" i="3"/>
  <c r="K10" i="3"/>
  <c r="K3" i="3"/>
  <c r="K22" i="3"/>
  <c r="D116" i="3"/>
  <c r="E116" i="3" s="1"/>
  <c r="G133" i="3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48" i="5"/>
  <c r="C42" i="4" a="1"/>
  <c r="C31" i="4" a="1"/>
  <c r="C27" i="4" a="1"/>
  <c r="C34" i="4" a="1"/>
  <c r="C44" i="4" a="1"/>
  <c r="C15" i="4" a="1"/>
  <c r="C23" i="4" a="1"/>
  <c r="C32" i="4" a="1"/>
  <c r="C26" i="4" a="1"/>
  <c r="C49" i="5" a="1"/>
  <c r="C37" i="4" a="1"/>
  <c r="C16" i="4" a="1"/>
  <c r="C33" i="4" a="1"/>
  <c r="C41" i="4" a="1"/>
  <c r="C25" i="4" a="1"/>
  <c r="C17" i="4" a="1"/>
  <c r="C36" i="4" a="1"/>
  <c r="C18" i="4" a="1"/>
  <c r="C19" i="4" a="1"/>
  <c r="C28" i="4" a="1"/>
  <c r="C40" i="4" a="1"/>
  <c r="C38" i="4" a="1"/>
  <c r="C29" i="4" a="1"/>
  <c r="C20" i="4" a="1"/>
  <c r="C21" i="4" a="1"/>
  <c r="C24" i="4" a="1"/>
  <c r="C43" i="4" a="1"/>
  <c r="C14" i="4" a="1"/>
  <c r="C39" i="4" a="1"/>
  <c r="C13" i="4" a="1"/>
  <c r="C22" i="4" a="1"/>
  <c r="C30" i="4" a="1"/>
  <c r="C35" i="4" a="1"/>
  <c r="C35" i="4" l="1"/>
  <c r="C30" i="4"/>
  <c r="C22" i="4"/>
  <c r="C13" i="4"/>
  <c r="C39" i="4"/>
  <c r="C14" i="4"/>
  <c r="C43" i="4"/>
  <c r="C24" i="4"/>
  <c r="C21" i="4"/>
  <c r="C20" i="4"/>
  <c r="C29" i="4"/>
  <c r="C38" i="4"/>
  <c r="C40" i="4"/>
  <c r="C28" i="4"/>
  <c r="C19" i="4"/>
  <c r="C18" i="4"/>
  <c r="C36" i="4"/>
  <c r="C17" i="4"/>
  <c r="C25" i="4"/>
  <c r="C41" i="4"/>
  <c r="C33" i="4"/>
  <c r="C16" i="4"/>
  <c r="C37" i="4"/>
  <c r="C26" i="4"/>
  <c r="C32" i="4"/>
  <c r="C23" i="4"/>
  <c r="C15" i="4"/>
  <c r="C34" i="4"/>
  <c r="C27" i="4"/>
  <c r="C31" i="4"/>
  <c r="C42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49" i="5"/>
  <c r="C44" i="4"/>
  <c r="C50" i="5" a="1"/>
  <c r="C45" i="4" a="1"/>
  <c r="C45" i="4" l="1"/>
  <c r="C50" i="5"/>
  <c r="C51" i="5" a="1"/>
  <c r="C46" i="4" a="1"/>
  <c r="C51" i="5" l="1"/>
  <c r="C46" i="4"/>
  <c r="C47" i="4" a="1"/>
  <c r="C52" i="5" a="1"/>
  <c r="C47" i="4" l="1"/>
  <c r="C52" i="5"/>
  <c r="C53" i="5" a="1"/>
  <c r="C48" i="4" a="1"/>
  <c r="C53" i="5" l="1"/>
  <c r="C48" i="4"/>
  <c r="C54" i="5" a="1"/>
  <c r="C49" i="4" a="1"/>
  <c r="C49" i="4" l="1"/>
  <c r="C54" i="5"/>
  <c r="C50" i="4" a="1"/>
  <c r="C55" i="5" a="1"/>
  <c r="C55" i="5" l="1"/>
  <c r="C50" i="4"/>
  <c r="C56" i="5" a="1"/>
  <c r="C51" i="4" a="1"/>
  <c r="C51" i="4" l="1"/>
  <c r="C56" i="5"/>
  <c r="C52" i="4" a="1"/>
  <c r="C57" i="5" a="1"/>
  <c r="C57" i="5" l="1"/>
  <c r="C52" i="4"/>
  <c r="C53" i="4" a="1"/>
  <c r="C58" i="5" a="1"/>
  <c r="C53" i="4" l="1"/>
  <c r="C58" i="5"/>
  <c r="C59" i="5" a="1"/>
  <c r="C54" i="4" a="1"/>
  <c r="C59" i="5" l="1"/>
  <c r="C54" i="4"/>
  <c r="C60" i="5" a="1"/>
  <c r="C55" i="4" a="1"/>
  <c r="C55" i="4" l="1"/>
  <c r="C60" i="5"/>
  <c r="C61" i="5" a="1"/>
  <c r="C56" i="4" a="1"/>
  <c r="C61" i="5" l="1"/>
  <c r="C56" i="4"/>
  <c r="C57" i="4" a="1"/>
  <c r="C62" i="5" a="1"/>
  <c r="C57" i="4" l="1"/>
  <c r="C62" i="5"/>
  <c r="C58" i="4" a="1"/>
  <c r="C63" i="5" a="1"/>
  <c r="C63" i="5" l="1"/>
  <c r="C58" i="4"/>
  <c r="C64" i="5" a="1"/>
  <c r="C59" i="4" a="1"/>
  <c r="C59" i="4" l="1"/>
  <c r="C64" i="5"/>
  <c r="C65" i="5" a="1"/>
  <c r="C60" i="4" a="1"/>
  <c r="C65" i="5" l="1"/>
  <c r="C60" i="4"/>
  <c r="C66" i="5" a="1"/>
  <c r="C61" i="4" a="1"/>
  <c r="C61" i="4" l="1"/>
  <c r="C66" i="5"/>
  <c r="C62" i="4" a="1"/>
  <c r="C67" i="5" a="1"/>
  <c r="C67" i="5" l="1"/>
  <c r="C62" i="4"/>
  <c r="C68" i="5" a="1"/>
  <c r="C63" i="4" a="1"/>
  <c r="C63" i="4" l="1"/>
  <c r="C68" i="5"/>
  <c r="C64" i="4" a="1"/>
  <c r="C69" i="5" a="1"/>
  <c r="C69" i="5" l="1"/>
  <c r="C64" i="4"/>
  <c r="C70" i="5" a="1"/>
  <c r="C65" i="4" a="1"/>
  <c r="C65" i="4" l="1"/>
  <c r="C70" i="5"/>
  <c r="C71" i="5" a="1"/>
  <c r="C66" i="4" a="1"/>
  <c r="C71" i="5" l="1"/>
  <c r="C66" i="4"/>
  <c r="C67" i="4" a="1"/>
  <c r="C72" i="5" a="1"/>
  <c r="C67" i="4" l="1"/>
  <c r="C72" i="5"/>
  <c r="C68" i="4" a="1"/>
  <c r="C73" i="5" a="1"/>
  <c r="C73" i="5" l="1"/>
  <c r="C68" i="4"/>
  <c r="C74" i="5" a="1"/>
  <c r="C69" i="4" a="1"/>
  <c r="C69" i="4" l="1"/>
  <c r="C74" i="5"/>
  <c r="C70" i="4" a="1"/>
  <c r="C75" i="5" a="1"/>
  <c r="C75" i="5" l="1"/>
  <c r="C70" i="4"/>
  <c r="C76" i="5" a="1"/>
  <c r="C71" i="4" a="1"/>
  <c r="C71" i="4" l="1"/>
  <c r="C76" i="5"/>
  <c r="C72" i="4" a="1"/>
  <c r="C77" i="5" a="1"/>
  <c r="C77" i="5" l="1"/>
  <c r="C72" i="4"/>
  <c r="C73" i="4" a="1"/>
  <c r="C78" i="5" a="1"/>
  <c r="C73" i="4" l="1"/>
  <c r="C78" i="5"/>
  <c r="C79" i="5" a="1"/>
  <c r="C74" i="4" a="1"/>
  <c r="C79" i="5" l="1"/>
  <c r="C74" i="4"/>
  <c r="C80" i="5" a="1"/>
  <c r="C75" i="4" a="1"/>
  <c r="C75" i="4" l="1"/>
  <c r="C80" i="5"/>
  <c r="C76" i="4" a="1"/>
  <c r="C81" i="5" a="1"/>
  <c r="C81" i="5" l="1"/>
  <c r="C76" i="4"/>
  <c r="C77" i="4" a="1"/>
  <c r="C82" i="5" a="1"/>
  <c r="C77" i="4" l="1"/>
  <c r="C82" i="5"/>
  <c r="C83" i="5" a="1"/>
  <c r="C78" i="4" a="1"/>
  <c r="C83" i="5" l="1"/>
  <c r="C78" i="4"/>
  <c r="C84" i="5" a="1"/>
  <c r="C79" i="4" a="1"/>
  <c r="C79" i="4" l="1"/>
  <c r="C84" i="5"/>
  <c r="C85" i="5" a="1"/>
  <c r="C80" i="4" a="1"/>
  <c r="C85" i="5" l="1"/>
  <c r="C80" i="4"/>
  <c r="C81" i="4" a="1"/>
  <c r="C86" i="5" a="1"/>
  <c r="C81" i="4" l="1"/>
  <c r="C86" i="5"/>
  <c r="C87" i="5" a="1"/>
  <c r="C82" i="4" a="1"/>
  <c r="C87" i="5" l="1"/>
  <c r="C82" i="4"/>
  <c r="C88" i="5" a="1"/>
  <c r="C83" i="4" a="1"/>
  <c r="C83" i="4" l="1"/>
  <c r="C88" i="5"/>
  <c r="C84" i="4" a="1"/>
  <c r="C89" i="5" a="1"/>
  <c r="C89" i="5" l="1"/>
  <c r="C84" i="4"/>
  <c r="C90" i="5" a="1"/>
  <c r="C85" i="4" a="1"/>
  <c r="C85" i="4" l="1"/>
  <c r="C90" i="5"/>
  <c r="C86" i="4" a="1"/>
  <c r="C91" i="5" a="1"/>
  <c r="C91" i="5" l="1"/>
  <c r="C86" i="4"/>
  <c r="C87" i="4" a="1"/>
  <c r="C92" i="5" a="1"/>
  <c r="C87" i="4" l="1"/>
  <c r="C92" i="5"/>
  <c r="C93" i="5" a="1"/>
  <c r="C88" i="4" a="1"/>
  <c r="C93" i="5" l="1"/>
  <c r="C88" i="4"/>
  <c r="C94" i="5" a="1"/>
  <c r="C89" i="4" a="1"/>
  <c r="C89" i="4" l="1"/>
  <c r="C94" i="5"/>
  <c r="C95" i="5" a="1"/>
  <c r="C90" i="4" a="1"/>
  <c r="C95" i="5" l="1"/>
  <c r="C90" i="4"/>
  <c r="C96" i="5" a="1"/>
  <c r="C91" i="4" a="1"/>
  <c r="C91" i="4" l="1"/>
  <c r="C96" i="5"/>
  <c r="C92" i="4" a="1"/>
  <c r="C97" i="5" a="1"/>
  <c r="C97" i="5" l="1"/>
  <c r="C92" i="4"/>
  <c r="C93" i="4" a="1"/>
  <c r="C98" i="5" a="1"/>
  <c r="C93" i="4" l="1"/>
  <c r="C98" i="5"/>
  <c r="C94" i="4" a="1"/>
  <c r="C99" i="5" a="1"/>
  <c r="C99" i="5" l="1"/>
  <c r="C94" i="4"/>
  <c r="C95" i="4" a="1"/>
  <c r="C100" i="5" a="1"/>
  <c r="C95" i="4" l="1"/>
  <c r="C100" i="5"/>
  <c r="C96" i="4" a="1"/>
  <c r="C101" i="5" a="1"/>
  <c r="C101" i="5" l="1"/>
  <c r="C96" i="4"/>
  <c r="C102" i="5" a="1"/>
  <c r="C97" i="4" a="1"/>
  <c r="C102" i="5" l="1"/>
  <c r="C97" i="4"/>
  <c r="C103" i="5" a="1"/>
  <c r="C98" i="4" a="1"/>
  <c r="C98" i="4" l="1"/>
  <c r="C103" i="5"/>
  <c r="C99" i="4" a="1"/>
  <c r="C104" i="5" a="1"/>
  <c r="C104" i="5" l="1"/>
  <c r="C99" i="4"/>
  <c r="C100" i="4" a="1"/>
  <c r="C105" i="5" a="1"/>
  <c r="C100" i="4" l="1"/>
  <c r="C105" i="5"/>
  <c r="C106" i="5" a="1"/>
  <c r="C101" i="4" a="1"/>
  <c r="C106" i="5" l="1"/>
  <c r="C101" i="4"/>
  <c r="C102" i="4" a="1"/>
  <c r="C107" i="5" a="1"/>
  <c r="C102" i="4" l="1"/>
  <c r="C107" i="5"/>
  <c r="C108" i="5" a="1"/>
  <c r="C103" i="4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12" i="5" a="1"/>
  <c r="C107" i="4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0" i="4" a="1"/>
  <c r="C115" i="5" a="1"/>
  <c r="C115" i="5" l="1"/>
  <c r="C110" i="4"/>
  <c r="C116" i="5" a="1"/>
  <c r="C111" i="4" a="1"/>
  <c r="C111" i="4" l="1"/>
  <c r="C116" i="5"/>
  <c r="C117" i="5" a="1"/>
  <c r="C112" i="4" a="1"/>
  <c r="C112" i="4" l="1"/>
  <c r="C117" i="5"/>
  <c r="C113" i="4" a="1"/>
  <c r="C118" i="5" a="1"/>
  <c r="C118" i="5" l="1"/>
  <c r="C113" i="4"/>
  <c r="C119" i="5" a="1"/>
  <c r="C114" i="4" a="1"/>
  <c r="C119" i="5" l="1"/>
  <c r="C114" i="4"/>
  <c r="C120" i="5" a="1"/>
  <c r="C115" i="4" a="1"/>
  <c r="C115" i="4" l="1"/>
  <c r="C120" i="5"/>
  <c r="C116" i="4" a="1"/>
  <c r="C121" i="5" a="1"/>
  <c r="C121" i="5" l="1"/>
  <c r="C116" i="4"/>
  <c r="C122" i="5" a="1"/>
  <c r="C117" i="4" a="1"/>
  <c r="C117" i="4" l="1"/>
  <c r="C122" i="5"/>
  <c r="C118" i="4" a="1"/>
  <c r="C123" i="5" a="1"/>
  <c r="C123" i="5" l="1"/>
  <c r="C118" i="4"/>
  <c r="C124" i="5" a="1"/>
  <c r="C119" i="4" a="1"/>
  <c r="C119" i="4" l="1"/>
  <c r="C124" i="5"/>
  <c r="C125" i="5" a="1"/>
  <c r="C120" i="4" a="1"/>
  <c r="C125" i="5" l="1"/>
  <c r="C120" i="4"/>
  <c r="C121" i="4" a="1"/>
  <c r="C126" i="5" a="1"/>
  <c r="C121" i="4" l="1"/>
  <c r="C126" i="5"/>
  <c r="C127" i="5" a="1"/>
  <c r="C122" i="4" a="1"/>
  <c r="C122" i="4" l="1"/>
  <c r="C127" i="5"/>
  <c r="C123" i="4" a="1"/>
  <c r="C128" i="5" a="1"/>
  <c r="C123" i="4" l="1"/>
  <c r="C128" i="5"/>
  <c r="C129" i="5" a="1"/>
  <c r="C124" i="4" a="1"/>
  <c r="C124" i="4" l="1"/>
  <c r="C129" i="5"/>
  <c r="C130" i="5" a="1"/>
  <c r="C125" i="4" a="1"/>
  <c r="C125" i="4" l="1"/>
  <c r="C130" i="5"/>
  <c r="C126" i="4" a="1"/>
  <c r="C131" i="5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5" i="5" a="1"/>
  <c r="C130" i="4" a="1"/>
  <c r="C135" i="5" l="1"/>
  <c r="C130" i="4"/>
  <c r="C131" i="4" a="1"/>
  <c r="C136" i="5" a="1"/>
  <c r="C136" i="5" l="1"/>
  <c r="C131" i="4"/>
  <c r="C132" i="4" a="1"/>
  <c r="C137" i="5" a="1"/>
  <c r="C132" i="4" l="1"/>
  <c r="C137" i="5"/>
  <c r="C133" i="4" a="1"/>
  <c r="C138" i="5" a="1"/>
  <c r="C138" i="5" l="1"/>
  <c r="C133" i="4"/>
  <c r="C134" i="4" a="1"/>
  <c r="C139" i="5" a="1"/>
  <c r="C139" i="5" l="1"/>
  <c r="C134" i="4"/>
  <c r="C135" i="4" a="1"/>
  <c r="C140" i="5" a="1"/>
  <c r="C135" i="4" l="1"/>
  <c r="C140" i="5"/>
  <c r="C136" i="4" a="1"/>
  <c r="C141" i="5" a="1"/>
  <c r="C136" i="4" l="1"/>
  <c r="C141" i="5"/>
  <c r="C142" i="5" a="1"/>
  <c r="C137" i="4" a="1"/>
  <c r="C137" i="4" l="1"/>
  <c r="C142" i="5"/>
  <c r="C138" i="4" a="1"/>
  <c r="C143" i="5" a="1"/>
  <c r="C143" i="5" l="1"/>
  <c r="C138" i="4"/>
  <c r="C144" i="5" a="1"/>
  <c r="C139" i="4" a="1"/>
  <c r="C139" i="4" l="1"/>
  <c r="C144" i="5"/>
  <c r="C140" i="4" a="1"/>
  <c r="C145" i="5" a="1"/>
  <c r="C145" i="5" l="1"/>
  <c r="C140" i="4"/>
  <c r="C141" i="4" a="1"/>
  <c r="C146" i="5" a="1"/>
  <c r="C141" i="4" l="1"/>
  <c r="C146" i="5"/>
  <c r="C142" i="4" a="1"/>
  <c r="C147" i="5" a="1"/>
  <c r="C147" i="5" l="1"/>
  <c r="C142" i="4"/>
  <c r="C143" i="4" a="1"/>
  <c r="C148" i="5" a="1"/>
  <c r="C143" i="4" l="1"/>
  <c r="C148" i="5"/>
  <c r="C144" i="4" a="1"/>
  <c r="C149" i="5" a="1"/>
  <c r="C149" i="5" l="1"/>
  <c r="C144" i="4"/>
  <c r="C145" i="4" a="1"/>
  <c r="C150" i="5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48" i="4" a="1"/>
  <c r="C153" i="5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6" i="5" a="1"/>
  <c r="C161" i="4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74" i="5" a="1"/>
  <c r="C169" i="4" a="1"/>
  <c r="C169" i="4" l="1"/>
  <c r="C174" i="5"/>
  <c r="C170" i="4" a="1"/>
  <c r="C175" i="5" a="1"/>
  <c r="C175" i="5" l="1"/>
  <c r="C170" i="4"/>
  <c r="C171" i="4" a="1"/>
  <c r="C176" i="5" a="1"/>
  <c r="C171" i="4" l="1"/>
  <c r="C176" i="5"/>
  <c r="C177" i="5" a="1"/>
  <c r="C172" i="4" a="1"/>
  <c r="C177" i="5" l="1"/>
  <c r="C172" i="4"/>
  <c r="C173" i="4" a="1"/>
  <c r="C178" i="5" a="1"/>
  <c r="C173" i="4" l="1"/>
  <c r="C178" i="5"/>
  <c r="C179" i="5" a="1"/>
  <c r="C174" i="4" a="1"/>
  <c r="C179" i="5" l="1"/>
  <c r="C174" i="4"/>
  <c r="C180" i="5" a="1"/>
  <c r="C175" i="4" a="1"/>
  <c r="C175" i="4" l="1"/>
  <c r="C180" i="5"/>
  <c r="C176" i="4" a="1"/>
  <c r="C181" i="5" a="1"/>
  <c r="C181" i="5" l="1"/>
  <c r="C176" i="4"/>
  <c r="C182" i="5" a="1"/>
  <c r="C177" i="4" a="1"/>
  <c r="C177" i="4" l="1"/>
  <c r="C182" i="5"/>
  <c r="C178" i="4" a="1"/>
  <c r="C183" i="5" a="1"/>
  <c r="C183" i="5" l="1"/>
  <c r="C178" i="4"/>
  <c r="C179" i="4" a="1"/>
  <c r="C184" i="5" a="1"/>
  <c r="C179" i="4" l="1"/>
  <c r="C184" i="5"/>
  <c r="C185" i="5" a="1"/>
  <c r="C180" i="4" a="1"/>
  <c r="C185" i="5" l="1"/>
  <c r="C180" i="4"/>
  <c r="C181" i="4" a="1"/>
  <c r="C186" i="5" a="1"/>
  <c r="C181" i="4" l="1"/>
  <c r="C186" i="5"/>
  <c r="C187" i="5" a="1"/>
  <c r="C182" i="4" a="1"/>
  <c r="C187" i="5" l="1"/>
  <c r="C182" i="4"/>
  <c r="C188" i="5" a="1"/>
  <c r="C183" i="4" a="1"/>
  <c r="C183" i="4" l="1"/>
  <c r="C188" i="5"/>
  <c r="C189" i="5" a="1"/>
  <c r="C184" i="4" a="1"/>
  <c r="C189" i="5" l="1"/>
  <c r="C184" i="4"/>
  <c r="C185" i="4" a="1"/>
  <c r="C190" i="5" a="1"/>
  <c r="C185" i="4" l="1"/>
  <c r="C190" i="5"/>
  <c r="C186" i="4" a="1"/>
  <c r="C191" i="5" a="1"/>
  <c r="C191" i="5" l="1"/>
  <c r="C186" i="4"/>
  <c r="C192" i="5" a="1"/>
  <c r="C187" i="4" a="1"/>
  <c r="C187" i="4" l="1"/>
  <c r="C192" i="5"/>
  <c r="C193" i="5" a="1"/>
  <c r="C188" i="4" a="1"/>
  <c r="C193" i="5" l="1"/>
  <c r="C188" i="4"/>
  <c r="C189" i="4" a="1"/>
  <c r="C194" i="5" a="1"/>
  <c r="C189" i="4" l="1"/>
  <c r="C194" i="5"/>
  <c r="C195" i="5" a="1"/>
  <c r="C190" i="4" a="1"/>
  <c r="C195" i="5" l="1"/>
  <c r="C190" i="4"/>
  <c r="C191" i="4" a="1"/>
  <c r="C196" i="5" a="1"/>
  <c r="C191" i="4" l="1"/>
  <c r="C196" i="5"/>
  <c r="C192" i="4" a="1"/>
  <c r="C197" i="5" a="1"/>
  <c r="C197" i="5" l="1"/>
  <c r="C192" i="4"/>
  <c r="C198" i="5" a="1"/>
  <c r="C193" i="4" a="1"/>
  <c r="C193" i="4" l="1"/>
  <c r="C198" i="5"/>
  <c r="C199" i="5" a="1"/>
  <c r="C194" i="4" a="1"/>
  <c r="C199" i="5" l="1"/>
  <c r="C194" i="4"/>
  <c r="C200" i="5" a="1"/>
  <c r="C195" i="4" a="1"/>
  <c r="C195" i="4" l="1"/>
  <c r="C200" i="5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<sst xmlns="http://schemas.openxmlformats.org/spreadsheetml/2006/main" count="1576" uniqueCount="450">
  <si>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</si>
  <si>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</si>
  <si>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</si>
  <si>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</si>
  <si>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</si>
  <si>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</si>
  <si>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</si>
  <si>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</si>
  <si>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</si>
  <si>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</si>
  <si>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</si>
  <si>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</si>
  <si>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</si>
  <si>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</si>
  <si>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</si>
  <si>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</si>
  <si>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</si>
  <si>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</si>
  <si>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</si>
  <si>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</si>
  <si>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</si>
  <si>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</si>
  <si>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</si>
  <si>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</si>
  <si>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</si>
  <si>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</si>
  <si>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</si>
  <si>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</si>
  <si>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</si>
  <si>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</si>
  <si>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</si>
  <si>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</si>
  <si>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</si>
  <si>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</si>
  <si>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</si>
  <si>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</si>
  <si>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</si>
  <si>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</si>
  <si>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</si>
  <si>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</si>
  <si>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</si>
  <si>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</si>
  <si>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</si>
  <si>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</si>
  <si>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</si>
  <si>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</si>
  <si>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</si>
  <si>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</si>
  <si>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</si>
  <si>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</si>
  <si>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</si>
  <si>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</si>
  <si>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</si>
  <si>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</si>
  <si>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</si>
  <si>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</si>
  <si>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</si>
  <si>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</si>
  <si>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</si>
  <si>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</si>
  <si>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</si>
  <si>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</si>
  <si>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</si>
  <si>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</si>
  <si>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</si>
  <si>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</si>
  <si>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</si>
  <si>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</si>
  <si>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</si>
  <si>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</si>
  <si>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</si>
  <si>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</si>
  <si>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</si>
  <si>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</si>
  <si>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</si>
  <si>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</si>
  <si>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</si>
  <si>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</si>
  <si>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</si>
  <si>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</si>
  <si>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</si>
  <si>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</si>
  <si>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</si>
  <si>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</si>
  <si>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</si>
  <si>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</si>
  <si>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</si>
  <si>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</si>
  <si>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</si>
  <si>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</si>
  <si>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</si>
  <si>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</si>
  <si>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</si>
  <si>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</si>
  <si>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</si>
  <si>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</si>
  <si>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</si>
  <si>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</si>
  <si>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</si>
  <si>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</si>
  <si>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</si>
  <si>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</si>
  <si>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</si>
  <si>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</si>
  <si>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</si>
  <si>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</si>
  <si>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</si>
  <si>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</si>
  <si>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</si>
  <si>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</si>
  <si>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</si>
  <si>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</si>
  <si>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</si>
  <si>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</si>
  <si>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</si>
  <si>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</si>
  <si>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</si>
  <si>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</si>
  <si>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</si>
  <si>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</si>
  <si>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</si>
  <si>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</si>
  <si>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</si>
  <si>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</si>
  <si>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</si>
  <si>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</si>
  <si>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</si>
  <si>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</si>
  <si>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</si>
  <si>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</si>
  <si>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</si>
  <si>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</si>
  <si>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</si>
  <si>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</si>
  <si>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</si>
  <si>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</si>
  <si>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</si>
  <si>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</si>
  <si>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</si>
  <si>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</si>
  <si>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</si>
  <si>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</si>
  <si>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</si>
  <si>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</si>
  <si>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</si>
  <si>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</si>
  <si>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</si>
  <si>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</si>
  <si>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</si>
  <si>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</si>
  <si>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</si>
  <si>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</si>
  <si>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</si>
  <si>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</si>
  <si>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</si>
  <si>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</si>
  <si>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</si>
  <si>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</si>
  <si>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</si>
  <si>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</si>
  <si>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</si>
  <si>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</si>
  <si>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</si>
  <si>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</si>
  <si>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</si>
  <si>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</si>
  <si>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</si>
  <si>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</si>
  <si>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</si>
  <si>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</si>
  <si>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</si>
  <si>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</si>
  <si>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</si>
  <si>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</si>
  <si>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</si>
  <si>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</si>
  <si>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</si>
  <si>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</si>
  <si>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</si>
  <si>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</si>
  <si>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</si>
  <si>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</si>
  <si>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</si>
  <si>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</si>
  <si>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</si>
  <si>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</si>
  <si>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</si>
  <si>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</si>
  <si>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</si>
  <si>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</si>
  <si>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</si>
  <si>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</si>
  <si>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</si>
  <si>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</si>
  <si>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</si>
  <si>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</si>
  <si>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</si>
  <si>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</si>
  <si>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</si>
  <si>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</si>
  <si>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</si>
  <si>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</si>
  <si>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</si>
  <si>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</si>
  <si>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</si>
  <si>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</si>
  <si>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</si>
  <si>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</si>
  <si>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</si>
  <si>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</si>
  <si>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</si>
  <si>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</si>
  <si>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</si>
  <si>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</si>
  <si>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</si>
  <si>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</si>
  <si>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</si>
  <si>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</si>
  <si>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</si>
  <si>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</si>
  <si>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</si>
  <si>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</si>
  <si>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</si>
  <si>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</si>
  <si>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</si>
  <si>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</si>
  <si>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</si>
  <si>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</si>
  <si>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</si>
  <si>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</si>
  <si>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</si>
  <si>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</si>
  <si>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</si>
  <si>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</si>
  <si>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</si>
  <si>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</si>
  <si>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</si>
  <si>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</si>
  <si>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</si>
  <si>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</si>
  <si>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</si>
  <si>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</si>
  <si>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</si>
  <si>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</si>
  <si>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</si>
  <si>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</si>
  <si>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</si>
  <si>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</si>
  <si>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</si>
  <si>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</si>
  <si>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</si>
  <si>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</si>
  <si>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</si>
  <si>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</si>
  <si>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</si>
  <si>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</si>
  <si>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</si>
  <si>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</si>
  <si>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</si>
  <si>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</si>
  <si>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</si>
  <si>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</si>
  <si>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</si>
  <si>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</si>
  <si>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</si>
  <si>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</si>
  <si>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</si>
  <si>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</si>
  <si>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</si>
  <si>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</si>
  <si>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</si>
  <si>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</si>
  <si>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</si>
  <si>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</si>
  <si>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</si>
  <si>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</si>
  <si>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</si>
  <si>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</si>
  <si>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</si>
  <si>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</si>
  <si>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</si>
  <si>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</si>
  <si>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</si>
  <si>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</si>
  <si>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</si>
  <si>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</si>
  <si>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</si>
  <si>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</si>
  <si>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</si>
  <si>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</si>
  <si>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</si>
  <si>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</si>
  <si>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</si>
  <si>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</si>
  <si>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</si>
  <si>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</si>
  <si>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</si>
  <si>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</si>
  <si>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</si>
  <si>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</si>
  <si>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</si>
  <si>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</si>
  <si>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</si>
  <si>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</si>
  <si>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</si>
  <si>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</si>
  <si>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</si>
  <si>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</si>
  <si>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</si>
  <si>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</si>
  <si>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</si>
  <si>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</si>
  <si>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</si>
  <si>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</si>
  <si>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</si>
  <si>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</si>
  <si>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</si>
  <si>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</si>
  <si>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</si>
  <si>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</si>
  <si>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</si>
  <si>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</si>
  <si>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</si>
  <si>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</si>
  <si>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</si>
  <si>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</si>
  <si>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</si>
  <si>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</si>
  <si>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</si>
  <si>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</si>
  <si>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</si>
  <si>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</si>
  <si>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</si>
  <si>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</si>
  <si>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</si>
  <si>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</si>
  <si>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</si>
  <si>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</si>
  <si>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</si>
  <si>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</si>
  <si>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</si>
  <si>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</si>
  <si>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</si>
  <si>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</si>
  <si>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</si>
  <si>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</si>
  <si>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</si>
  <si>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</si>
  <si>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</si>
  <si>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</si>
  <si>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</si>
  <si>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</si>
  <si>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</si>
  <si>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</si>
  <si>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</si>
  <si>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</si>
  <si>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</si>
  <si>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</si>
  <si>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</si>
  <si>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</si>
  <si>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</si>
  <si>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</si>
  <si>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</si>
  <si>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</si>
  <si>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</si>
  <si>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</si>
  <si>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</si>
  <si>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</si>
  <si>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</si>
  <si>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</si>
  <si>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</si>
  <si>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</si>
  <si>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</si>
  <si>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</si>
  <si>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</si>
  <si>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</si>
  <si>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</si>
  <si>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</si>
  <si>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</si>
  <si>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</si>
  <si>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</si>
  <si>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</si>
  <si>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</si>
  <si>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</si>
  <si>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</si>
  <si>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</si>
  <si>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</si>
  <si>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</si>
  <si>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</si>
  <si>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</si>
  <si>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</si>
  <si>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</si>
  <si>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</si>
  <si>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</si>
  <si>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</si>
  <si>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</si>
  <si>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</si>
  <si>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</si>
  <si>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</si>
  <si>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</si>
  <si>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</si>
  <si>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</si>
  <si>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</si>
  <si>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</si>
  <si>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</si>
  <si>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</si>
  <si>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</si>
  <si>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</si>
  <si>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</si>
  <si>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</si>
  <si>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</si>
  <si>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</si>
  <si>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</si>
  <si>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</si>
  <si>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</si>
  <si>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</si>
  <si>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</si>
  <si>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</si>
  <si>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</si>
  <si>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</si>
  <si>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</si>
  <si>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</si>
  <si>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</si>
  <si>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</si>
  <si>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</si>
  <si>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</si>
  <si>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</si>
  <si>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</si>
  <si>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</si>
  <si>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</si>
  <si>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</si>
  <si>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</si>
  <si>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</si>
  <si>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</si>
  <si>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</si>
  <si>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</si>
  <si>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</si>
  <si>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</si>
  <si>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</si>
  <si>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</si>
  <si>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</si>
  <si>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</si>
  <si>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</si>
  <si>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</si>
  <si>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</si>
  <si>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</si>
  <si>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鶴岡市</t>
  </si>
  <si>
    <t>庄内町</t>
  </si>
  <si>
    <t>遊佐町</t>
  </si>
  <si>
    <t>山形市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</si>
</sst>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112" activePane="bottomLeft" state="frozen"/>
      <selection activeCell="E20" sqref="E20"/>
      <selection pane="bottomLeft" activeCell="S125" sqref="S125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99999856001</v>
      </c>
      <c r="G10" s="29">
        <f t="shared" si="2"/>
        <v>99999856001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鶴岡市</v>
      </c>
      <c r="K10" s="31" t="str">
        <f t="shared" si="6"/>
        <v>99999856001医療機関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99999856001</v>
      </c>
      <c r="N10">
        <f>IF(L10&lt;&gt;"○",M10,INDEX(G$4:G9,MATCH(L10&amp;M10,F$4:F9,0)))</f>
        <v>99999856001</v>
      </c>
      <c r="O10" t="str">
        <f t="shared" si="8"/>
        <v>医療機関</v>
      </c>
      <c r="Q10" s="4">
        <v>44910</v>
      </c>
      <c r="S10" t="str">
        <f>$O$1&amp;
856&amp;
REPT("0",3-LEN(ROW($S1)))&amp;ROW($S1)</f>
        <v>99999856001</v>
      </c>
      <c r="T10" t="s">
        <v>50</v>
      </c>
      <c r="U10" t="s">
        <v>50</v>
      </c>
      <c r="V10" t="s">
        <v>446</v>
      </c>
      <c r="AB10" t="str">
        <f>$S$10&amp;"医療機関"</f>
        <v>99999856001医療機関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99999856002</v>
      </c>
      <c r="G11" s="29">
        <f t="shared" si="2"/>
        <v>99999856002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鶴岡市</v>
      </c>
      <c r="K11" s="31" t="str">
        <f t="shared" si="6"/>
        <v>99999856001関連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99999856001</v>
      </c>
      <c r="N11">
        <f>IF(L11&lt;&gt;"○",M11,INDEX(G$4:G10,MATCH(L11&amp;M11,F$4:F10,0)))</f>
        <v>99999856001</v>
      </c>
      <c r="O11" t="str">
        <f t="shared" si="8"/>
        <v>関連</v>
      </c>
      <c r="Q11" s="4">
        <v>44910</v>
      </c>
      <c r="S11" t="str">
        <f t="shared" ref="S11:S43" si="9">$O$1&amp;
856&amp;
REPT("0",3-LEN(ROW($S2)))&amp;ROW($S2)</f>
        <v>99999856002</v>
      </c>
      <c r="T11" t="s">
        <v>50</v>
      </c>
      <c r="U11" t="s">
        <v>50</v>
      </c>
      <c r="V11" t="s">
        <v>446</v>
      </c>
      <c r="AB11" t="str">
        <f>$S$10&amp;"関連"</f>
        <v>99999856001関連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99999856003</v>
      </c>
      <c r="G12" s="29">
        <f t="shared" si="2"/>
        <v>99999856003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鶴岡市</v>
      </c>
      <c r="K12" s="31" t="str">
        <f t="shared" si="6"/>
        <v>99999856001関連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99999856001</v>
      </c>
      <c r="N12">
        <f>IF(L12&lt;&gt;"○",M12,INDEX(G$4:G11,MATCH(L12&amp;M12,F$4:F11,0)))</f>
        <v>99999856001</v>
      </c>
      <c r="O12" t="str">
        <f t="shared" si="8"/>
        <v>関連</v>
      </c>
      <c r="Q12" s="4">
        <v>44910</v>
      </c>
      <c r="S12" t="str">
        <f t="shared" si="9"/>
        <v>99999856003</v>
      </c>
      <c r="T12" t="s">
        <v>50</v>
      </c>
      <c r="U12" t="s">
        <v>50</v>
      </c>
      <c r="V12" t="s">
        <v>446</v>
      </c>
      <c r="AB12" t="str">
        <f t="shared" ref="AB12:AB43" si="10">$S$10&amp;"関連"</f>
        <v>99999856001関連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99999856004</v>
      </c>
      <c r="G13" s="29">
        <f t="shared" si="2"/>
        <v>99999856004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鶴岡市</v>
      </c>
      <c r="K13" s="31" t="str">
        <f t="shared" si="6"/>
        <v>99999856001関連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99999856001</v>
      </c>
      <c r="N13">
        <f>IF(L13&lt;&gt;"○",M13,INDEX(G$4:G12,MATCH(L13&amp;M13,F$4:F12,0)))</f>
        <v>99999856001</v>
      </c>
      <c r="O13" t="str">
        <f t="shared" si="8"/>
        <v>関連</v>
      </c>
      <c r="Q13" s="4">
        <v>44910</v>
      </c>
      <c r="S13" t="str">
        <f t="shared" si="9"/>
        <v>99999856004</v>
      </c>
      <c r="T13" t="s">
        <v>50</v>
      </c>
      <c r="U13" t="s">
        <v>50</v>
      </c>
      <c r="V13" t="s">
        <v>446</v>
      </c>
      <c r="AB13" t="str">
        <f t="shared" si="10"/>
        <v>99999856001関連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99999856005</v>
      </c>
      <c r="G14" s="29">
        <f t="shared" si="2"/>
        <v>99999856005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鶴岡市</v>
      </c>
      <c r="K14" s="31" t="str">
        <f t="shared" si="6"/>
        <v>99999856001関連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99999856001</v>
      </c>
      <c r="N14">
        <f>IF(L14&lt;&gt;"○",M14,INDEX(G$4:G13,MATCH(L14&amp;M14,F$4:F13,0)))</f>
        <v>99999856001</v>
      </c>
      <c r="O14" t="str">
        <f t="shared" si="8"/>
        <v>関連</v>
      </c>
      <c r="Q14" s="4">
        <v>44910</v>
      </c>
      <c r="S14" t="str">
        <f t="shared" si="9"/>
        <v>99999856005</v>
      </c>
      <c r="T14" t="s">
        <v>50</v>
      </c>
      <c r="U14" t="s">
        <v>50</v>
      </c>
      <c r="V14" t="s">
        <v>446</v>
      </c>
      <c r="AB14" t="str">
        <f t="shared" si="10"/>
        <v>99999856001関連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99999856006</v>
      </c>
      <c r="G15" s="29">
        <f t="shared" si="2"/>
        <v>99999856006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鶴岡市</v>
      </c>
      <c r="K15" s="31" t="str">
        <f t="shared" si="6"/>
        <v>99999856001関連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99999856001</v>
      </c>
      <c r="N15">
        <f>IF(L15&lt;&gt;"○",M15,INDEX(G$4:G14,MATCH(L15&amp;M15,F$4:F14,0)))</f>
        <v>99999856001</v>
      </c>
      <c r="O15" t="str">
        <f t="shared" si="8"/>
        <v>関連</v>
      </c>
      <c r="Q15" s="4">
        <v>44910</v>
      </c>
      <c r="S15" t="str">
        <f t="shared" si="9"/>
        <v>99999856006</v>
      </c>
      <c r="T15" t="s">
        <v>50</v>
      </c>
      <c r="U15" t="s">
        <v>50</v>
      </c>
      <c r="V15" t="s">
        <v>446</v>
      </c>
      <c r="AB15" t="str">
        <f t="shared" si="10"/>
        <v>99999856001関連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99999856007</v>
      </c>
      <c r="G16" s="29">
        <f t="shared" si="2"/>
        <v>99999856007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鶴岡市</v>
      </c>
      <c r="K16" s="31" t="str">
        <f t="shared" si="6"/>
        <v>99999856001関連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99999856001</v>
      </c>
      <c r="N16">
        <f>IF(L16&lt;&gt;"○",M16,INDEX(G$4:G15,MATCH(L16&amp;M16,F$4:F15,0)))</f>
        <v>99999856001</v>
      </c>
      <c r="O16" t="str">
        <f t="shared" si="8"/>
        <v>関連</v>
      </c>
      <c r="Q16" s="4">
        <v>44910</v>
      </c>
      <c r="S16" t="str">
        <f t="shared" si="9"/>
        <v>99999856007</v>
      </c>
      <c r="T16" t="s">
        <v>50</v>
      </c>
      <c r="U16" t="s">
        <v>50</v>
      </c>
      <c r="V16" t="s">
        <v>446</v>
      </c>
      <c r="AB16" t="str">
        <f t="shared" si="10"/>
        <v>99999856001関連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99999856008</v>
      </c>
      <c r="G17" s="29">
        <f t="shared" si="2"/>
        <v>99999856008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鶴岡市</v>
      </c>
      <c r="K17" s="31" t="str">
        <f t="shared" si="6"/>
        <v>99999856001関連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99999856001</v>
      </c>
      <c r="N17">
        <f>IF(L17&lt;&gt;"○",M17,INDEX(G$4:G16,MATCH(L17&amp;M17,F$4:F16,0)))</f>
        <v>99999856001</v>
      </c>
      <c r="O17" t="str">
        <f t="shared" si="8"/>
        <v>関連</v>
      </c>
      <c r="Q17" s="4">
        <v>44910</v>
      </c>
      <c r="S17" t="str">
        <f t="shared" si="9"/>
        <v>99999856008</v>
      </c>
      <c r="T17" t="s">
        <v>50</v>
      </c>
      <c r="U17" t="s">
        <v>50</v>
      </c>
      <c r="V17" t="s">
        <v>446</v>
      </c>
      <c r="AB17" t="str">
        <f t="shared" si="10"/>
        <v>99999856001関連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99999856009</v>
      </c>
      <c r="G18" s="29">
        <f t="shared" si="2"/>
        <v>99999856009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鶴岡市</v>
      </c>
      <c r="K18" s="31" t="str">
        <f t="shared" si="6"/>
        <v>99999856001関連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99999856001</v>
      </c>
      <c r="N18">
        <f>IF(L18&lt;&gt;"○",M18,INDEX(G$4:G17,MATCH(L18&amp;M18,F$4:F17,0)))</f>
        <v>99999856001</v>
      </c>
      <c r="O18" t="str">
        <f t="shared" si="8"/>
        <v>関連</v>
      </c>
      <c r="Q18" s="4">
        <v>44910</v>
      </c>
      <c r="S18" t="str">
        <f t="shared" si="9"/>
        <v>99999856009</v>
      </c>
      <c r="T18" t="s">
        <v>50</v>
      </c>
      <c r="U18" t="s">
        <v>50</v>
      </c>
      <c r="V18" t="s">
        <v>446</v>
      </c>
      <c r="AB18" t="str">
        <f t="shared" si="10"/>
        <v>99999856001関連</v>
      </c>
    </row>
    <row r="19" spans="2:28" x14ac:dyDescent="0.4">
      <c r="B19" t="s">
        <v>21</v>
      </c>
      <c r="C19">
        <f>IF(G19="","",MAX(C$4:C18)+1)</f>
        <v>10</v>
      </c>
      <c r="D19">
        <f>IF(AND(N19=""),"",MAX(D$4:D18)+1)</f>
        <v>10</v>
      </c>
      <c r="F19" s="26" t="str">
        <f t="shared" si="1"/>
        <v>99999856010</v>
      </c>
      <c r="G19" s="29">
        <f t="shared" si="2"/>
        <v>99999856010</v>
      </c>
      <c r="H19" s="20" t="str">
        <f t="shared" si="3"/>
        <v>-</v>
      </c>
      <c r="I19" s="20" t="str">
        <f t="shared" si="4"/>
        <v>ー</v>
      </c>
      <c r="J19" s="20" t="str">
        <f t="shared" si="5"/>
        <v>鶴岡市</v>
      </c>
      <c r="K19" s="31" t="str">
        <f t="shared" si="6"/>
        <v>99999856001関連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99999856001</v>
      </c>
      <c r="N19">
        <f>IF(L19&lt;&gt;"○",M19,INDEX(G$4:G18,MATCH(L19&amp;M19,F$4:F18,0)))</f>
        <v>99999856001</v>
      </c>
      <c r="O19" t="str">
        <f t="shared" si="8"/>
        <v>関連</v>
      </c>
      <c r="Q19" s="4">
        <v>44910</v>
      </c>
      <c r="S19" t="str">
        <f t="shared" si="9"/>
        <v>99999856010</v>
      </c>
      <c r="T19" t="s">
        <v>50</v>
      </c>
      <c r="U19" t="s">
        <v>50</v>
      </c>
      <c r="V19" t="s">
        <v>446</v>
      </c>
      <c r="AB19" t="str">
        <f t="shared" si="10"/>
        <v>99999856001関連</v>
      </c>
    </row>
    <row r="20" spans="2:28" x14ac:dyDescent="0.4">
      <c r="B20" t="s">
        <v>21</v>
      </c>
      <c r="C20">
        <f>IF(G20="","",MAX(C$4:C19)+1)</f>
        <v>11</v>
      </c>
      <c r="D20">
        <f>IF(AND(N20=""),"",MAX(D$4:D19)+1)</f>
        <v>11</v>
      </c>
      <c r="F20" s="26" t="str">
        <f t="shared" si="1"/>
        <v>99999856011</v>
      </c>
      <c r="G20" s="29">
        <f t="shared" si="2"/>
        <v>99999856011</v>
      </c>
      <c r="H20" s="20" t="str">
        <f t="shared" si="3"/>
        <v>-</v>
      </c>
      <c r="I20" s="20" t="str">
        <f t="shared" si="4"/>
        <v>ー</v>
      </c>
      <c r="J20" s="20" t="str">
        <f t="shared" si="5"/>
        <v>鶴岡市</v>
      </c>
      <c r="K20" s="31" t="str">
        <f t="shared" si="6"/>
        <v>99999856001関連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99999856001</v>
      </c>
      <c r="N20">
        <f>IF(L20&lt;&gt;"○",M20,INDEX(G$4:G19,MATCH(L20&amp;M20,F$4:F19,0)))</f>
        <v>99999856001</v>
      </c>
      <c r="O20" t="str">
        <f t="shared" si="8"/>
        <v>関連</v>
      </c>
      <c r="Q20" s="4">
        <v>44910</v>
      </c>
      <c r="S20" t="str">
        <f t="shared" si="9"/>
        <v>99999856011</v>
      </c>
      <c r="T20" t="s">
        <v>50</v>
      </c>
      <c r="U20" t="s">
        <v>50</v>
      </c>
      <c r="V20" t="s">
        <v>446</v>
      </c>
      <c r="AB20" t="str">
        <f t="shared" si="10"/>
        <v>99999856001関連</v>
      </c>
    </row>
    <row r="21" spans="2:28" x14ac:dyDescent="0.4">
      <c r="B21" t="s">
        <v>21</v>
      </c>
      <c r="C21">
        <f>IF(G21="","",MAX(C$4:C20)+1)</f>
        <v>12</v>
      </c>
      <c r="D21">
        <f>IF(AND(N21=""),"",MAX(D$4:D20)+1)</f>
        <v>12</v>
      </c>
      <c r="F21" s="26" t="str">
        <f t="shared" si="1"/>
        <v>99999856012</v>
      </c>
      <c r="G21" s="29">
        <f t="shared" si="2"/>
        <v>99999856012</v>
      </c>
      <c r="H21" s="20" t="str">
        <f t="shared" si="3"/>
        <v>-</v>
      </c>
      <c r="I21" s="20" t="str">
        <f t="shared" si="4"/>
        <v>ー</v>
      </c>
      <c r="J21" s="20" t="str">
        <f t="shared" si="5"/>
        <v>鶴岡市</v>
      </c>
      <c r="K21" s="31" t="str">
        <f t="shared" si="6"/>
        <v>99999856001関連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99999856001</v>
      </c>
      <c r="N21">
        <f>IF(L21&lt;&gt;"○",M21,INDEX(G$4:G20,MATCH(L21&amp;M21,F$4:F20,0)))</f>
        <v>99999856001</v>
      </c>
      <c r="O21" t="str">
        <f t="shared" si="8"/>
        <v>関連</v>
      </c>
      <c r="Q21" s="4">
        <v>44910</v>
      </c>
      <c r="S21" t="str">
        <f t="shared" si="9"/>
        <v>99999856012</v>
      </c>
      <c r="T21" t="s">
        <v>50</v>
      </c>
      <c r="U21" t="s">
        <v>50</v>
      </c>
      <c r="V21" t="s">
        <v>446</v>
      </c>
      <c r="AB21" t="str">
        <f t="shared" si="10"/>
        <v>99999856001関連</v>
      </c>
    </row>
    <row r="22" spans="2:28" x14ac:dyDescent="0.4">
      <c r="B22" t="s">
        <v>21</v>
      </c>
      <c r="C22">
        <f>IF(G22="","",MAX(C$4:C21)+1)</f>
        <v>13</v>
      </c>
      <c r="D22">
        <f>IF(AND(N22=""),"",MAX(D$4:D21)+1)</f>
        <v>13</v>
      </c>
      <c r="F22" s="26" t="str">
        <f t="shared" si="1"/>
        <v>99999856013</v>
      </c>
      <c r="G22" s="29">
        <f t="shared" si="2"/>
        <v>99999856013</v>
      </c>
      <c r="H22" s="20" t="str">
        <f t="shared" si="3"/>
        <v>-</v>
      </c>
      <c r="I22" s="20" t="str">
        <f t="shared" si="4"/>
        <v>ー</v>
      </c>
      <c r="J22" s="20" t="str">
        <f t="shared" si="5"/>
        <v>鶴岡市</v>
      </c>
      <c r="K22" s="31" t="str">
        <f t="shared" si="6"/>
        <v>99999856001関連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99999856001</v>
      </c>
      <c r="N22">
        <f>IF(L22&lt;&gt;"○",M22,INDEX(G$4:G21,MATCH(L22&amp;M22,F$4:F21,0)))</f>
        <v>99999856001</v>
      </c>
      <c r="O22" t="str">
        <f t="shared" si="8"/>
        <v>関連</v>
      </c>
      <c r="Q22" s="4">
        <v>44910</v>
      </c>
      <c r="S22" t="str">
        <f t="shared" si="9"/>
        <v>99999856013</v>
      </c>
      <c r="T22" t="s">
        <v>50</v>
      </c>
      <c r="U22" t="s">
        <v>50</v>
      </c>
      <c r="V22" t="s">
        <v>446</v>
      </c>
      <c r="AB22" t="str">
        <f t="shared" si="10"/>
        <v>99999856001関連</v>
      </c>
    </row>
    <row r="23" spans="2:28" x14ac:dyDescent="0.4">
      <c r="B23" t="s">
        <v>21</v>
      </c>
      <c r="C23">
        <f>IF(G23="","",MAX(C$4:C22)+1)</f>
        <v>14</v>
      </c>
      <c r="D23">
        <f>IF(AND(N23=""),"",MAX(D$4:D22)+1)</f>
        <v>14</v>
      </c>
      <c r="F23" s="26" t="str">
        <f t="shared" si="1"/>
        <v>99999856014</v>
      </c>
      <c r="G23" s="29">
        <f t="shared" si="2"/>
        <v>99999856014</v>
      </c>
      <c r="H23" s="20" t="str">
        <f t="shared" si="3"/>
        <v>-</v>
      </c>
      <c r="I23" s="20" t="str">
        <f t="shared" si="4"/>
        <v>ー</v>
      </c>
      <c r="J23" s="20" t="str">
        <f t="shared" si="5"/>
        <v>鶴岡市</v>
      </c>
      <c r="K23" s="31" t="str">
        <f t="shared" si="6"/>
        <v>99999856001関連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99999856001</v>
      </c>
      <c r="N23">
        <f>IF(L23&lt;&gt;"○",M23,INDEX(G$4:G22,MATCH(L23&amp;M23,F$4:F22,0)))</f>
        <v>99999856001</v>
      </c>
      <c r="O23" t="str">
        <f t="shared" si="8"/>
        <v>関連</v>
      </c>
      <c r="Q23" s="4">
        <v>44910</v>
      </c>
      <c r="S23" t="str">
        <f t="shared" si="9"/>
        <v>99999856014</v>
      </c>
      <c r="T23" t="s">
        <v>50</v>
      </c>
      <c r="U23" t="s">
        <v>50</v>
      </c>
      <c r="V23" t="s">
        <v>446</v>
      </c>
      <c r="AB23" t="str">
        <f t="shared" si="10"/>
        <v>99999856001関連</v>
      </c>
    </row>
    <row r="24" spans="2:28" x14ac:dyDescent="0.4">
      <c r="B24" t="s">
        <v>21</v>
      </c>
      <c r="C24">
        <f>IF(G24="","",MAX(C$4:C23)+1)</f>
        <v>15</v>
      </c>
      <c r="D24">
        <f>IF(AND(N24=""),"",MAX(D$4:D23)+1)</f>
        <v>15</v>
      </c>
      <c r="F24" s="26" t="str">
        <f t="shared" si="1"/>
        <v>99999856015</v>
      </c>
      <c r="G24" s="29">
        <f t="shared" si="2"/>
        <v>99999856015</v>
      </c>
      <c r="H24" s="20" t="str">
        <f t="shared" si="3"/>
        <v>-</v>
      </c>
      <c r="I24" s="20" t="str">
        <f t="shared" si="4"/>
        <v>ー</v>
      </c>
      <c r="J24" s="20" t="str">
        <f t="shared" si="5"/>
        <v>鶴岡市</v>
      </c>
      <c r="K24" s="31" t="str">
        <f t="shared" si="6"/>
        <v>99999856001関連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99999856001</v>
      </c>
      <c r="N24">
        <f>IF(L24&lt;&gt;"○",M24,INDEX(G$4:G23,MATCH(L24&amp;M24,F$4:F23,0)))</f>
        <v>99999856001</v>
      </c>
      <c r="O24" t="str">
        <f t="shared" si="8"/>
        <v>関連</v>
      </c>
      <c r="Q24" s="4">
        <v>44910</v>
      </c>
      <c r="S24" t="str">
        <f t="shared" si="9"/>
        <v>99999856015</v>
      </c>
      <c r="T24" t="s">
        <v>50</v>
      </c>
      <c r="U24" t="s">
        <v>50</v>
      </c>
      <c r="V24" t="s">
        <v>446</v>
      </c>
      <c r="AB24" t="str">
        <f t="shared" si="10"/>
        <v>99999856001関連</v>
      </c>
    </row>
    <row r="25" spans="2:28" x14ac:dyDescent="0.4">
      <c r="B25" t="s">
        <v>21</v>
      </c>
      <c r="C25">
        <f>IF(G25="","",MAX(C$4:C24)+1)</f>
        <v>16</v>
      </c>
      <c r="D25">
        <f>IF(AND(N25=""),"",MAX(D$4:D24)+1)</f>
        <v>16</v>
      </c>
      <c r="F25" s="26" t="str">
        <f t="shared" si="1"/>
        <v>99999856016</v>
      </c>
      <c r="G25" s="29">
        <f t="shared" si="2"/>
        <v>99999856016</v>
      </c>
      <c r="H25" s="20" t="str">
        <f t="shared" si="3"/>
        <v>-</v>
      </c>
      <c r="I25" s="20" t="str">
        <f t="shared" si="4"/>
        <v>ー</v>
      </c>
      <c r="J25" s="20" t="str">
        <f t="shared" si="5"/>
        <v>鶴岡市</v>
      </c>
      <c r="K25" s="31" t="str">
        <f t="shared" si="6"/>
        <v>99999856001関連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99999856001</v>
      </c>
      <c r="N25">
        <f>IF(L25&lt;&gt;"○",M25,INDEX(G$4:G24,MATCH(L25&amp;M25,F$4:F24,0)))</f>
        <v>99999856001</v>
      </c>
      <c r="O25" t="str">
        <f t="shared" si="8"/>
        <v>関連</v>
      </c>
      <c r="Q25" s="4">
        <v>44910</v>
      </c>
      <c r="S25" t="str">
        <f t="shared" si="9"/>
        <v>99999856016</v>
      </c>
      <c r="T25" t="s">
        <v>50</v>
      </c>
      <c r="U25" t="s">
        <v>50</v>
      </c>
      <c r="V25" t="s">
        <v>446</v>
      </c>
      <c r="AB25" t="str">
        <f t="shared" si="10"/>
        <v>99999856001関連</v>
      </c>
    </row>
    <row r="26" spans="2:28" x14ac:dyDescent="0.4">
      <c r="B26" t="s">
        <v>21</v>
      </c>
      <c r="C26">
        <f>IF(G26="","",MAX(C$4:C25)+1)</f>
        <v>17</v>
      </c>
      <c r="D26">
        <f>IF(AND(N26=""),"",MAX(D$4:D25)+1)</f>
        <v>17</v>
      </c>
      <c r="F26" s="26" t="str">
        <f t="shared" si="1"/>
        <v>99999856017</v>
      </c>
      <c r="G26" s="29">
        <f t="shared" si="2"/>
        <v>99999856017</v>
      </c>
      <c r="H26" s="20" t="str">
        <f t="shared" si="3"/>
        <v>-</v>
      </c>
      <c r="I26" s="20" t="str">
        <f t="shared" si="4"/>
        <v>ー</v>
      </c>
      <c r="J26" s="20" t="str">
        <f t="shared" si="5"/>
        <v>鶴岡市</v>
      </c>
      <c r="K26" s="31" t="str">
        <f t="shared" si="6"/>
        <v>99999856001関連</v>
      </c>
      <c r="L26" s="23" t="str">
        <f t="shared" si="7"/>
        <v/>
      </c>
      <c r="M26" cm="1">
        <f t="array" ref="M26">IF(COUNT(INDEX(FIND(ROW($1:$10)-1,K26),)),VALUE(MID(K26,MIN(SEARCH({1,2,3,4,5,6,7,8,9,0},K26&amp;1234567890)),LEN(K26)-(LENB(K26)-LEN(K26)))),"")</f>
        <v>99999856001</v>
      </c>
      <c r="N26">
        <f>IF(L26&lt;&gt;"○",M26,INDEX(G$4:G25,MATCH(L26&amp;M26,F$4:F25,0)))</f>
        <v>99999856001</v>
      </c>
      <c r="O26" t="str">
        <f t="shared" si="8"/>
        <v>関連</v>
      </c>
      <c r="Q26" s="4">
        <v>44910</v>
      </c>
      <c r="S26" t="str">
        <f t="shared" si="9"/>
        <v>99999856017</v>
      </c>
      <c r="T26" t="s">
        <v>50</v>
      </c>
      <c r="U26" t="s">
        <v>50</v>
      </c>
      <c r="V26" t="s">
        <v>446</v>
      </c>
      <c r="AB26" t="str">
        <f t="shared" si="10"/>
        <v>99999856001関連</v>
      </c>
    </row>
    <row r="27" spans="2:28" x14ac:dyDescent="0.4">
      <c r="B27" t="s">
        <v>21</v>
      </c>
      <c r="C27">
        <f>IF(G27="","",MAX(C$4:C26)+1)</f>
        <v>18</v>
      </c>
      <c r="D27">
        <f>IF(AND(N27=""),"",MAX(D$4:D26)+1)</f>
        <v>18</v>
      </c>
      <c r="F27" s="26" t="str">
        <f t="shared" si="1"/>
        <v>99999856018</v>
      </c>
      <c r="G27" s="29">
        <f t="shared" si="2"/>
        <v>99999856018</v>
      </c>
      <c r="H27" s="20" t="str">
        <f t="shared" si="3"/>
        <v>-</v>
      </c>
      <c r="I27" s="20" t="str">
        <f t="shared" si="4"/>
        <v>ー</v>
      </c>
      <c r="J27" s="20" t="str">
        <f t="shared" si="5"/>
        <v>鶴岡市</v>
      </c>
      <c r="K27" s="31" t="str">
        <f t="shared" si="6"/>
        <v>99999856001関連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99999856001</v>
      </c>
      <c r="N27">
        <f>IF(L27&lt;&gt;"○",M27,INDEX(G$4:G26,MATCH(L27&amp;M27,F$4:F26,0)))</f>
        <v>99999856001</v>
      </c>
      <c r="O27" t="str">
        <f t="shared" si="8"/>
        <v>関連</v>
      </c>
      <c r="Q27" s="4">
        <v>44910</v>
      </c>
      <c r="S27" t="str">
        <f t="shared" si="9"/>
        <v>99999856018</v>
      </c>
      <c r="T27" t="s">
        <v>50</v>
      </c>
      <c r="U27" t="s">
        <v>50</v>
      </c>
      <c r="V27" t="s">
        <v>446</v>
      </c>
      <c r="AB27" t="str">
        <f t="shared" si="10"/>
        <v>99999856001関連</v>
      </c>
    </row>
    <row r="28" spans="2:28" x14ac:dyDescent="0.4">
      <c r="B28" t="s">
        <v>21</v>
      </c>
      <c r="C28">
        <f>IF(G28="","",MAX(C$4:C27)+1)</f>
        <v>19</v>
      </c>
      <c r="D28">
        <f>IF(AND(N28=""),"",MAX(D$4:D27)+1)</f>
        <v>19</v>
      </c>
      <c r="F28" s="26" t="str">
        <f t="shared" si="1"/>
        <v>99999856019</v>
      </c>
      <c r="G28" s="29">
        <f t="shared" si="2"/>
        <v>99999856019</v>
      </c>
      <c r="H28" s="20" t="str">
        <f t="shared" si="3"/>
        <v>-</v>
      </c>
      <c r="I28" s="20" t="str">
        <f t="shared" si="4"/>
        <v>ー</v>
      </c>
      <c r="J28" s="20" t="str">
        <f t="shared" si="5"/>
        <v>鶴岡市</v>
      </c>
      <c r="K28" s="31" t="str">
        <f t="shared" si="6"/>
        <v>99999856001関連</v>
      </c>
      <c r="L28" s="23" t="str">
        <f t="shared" si="7"/>
        <v/>
      </c>
      <c r="M28" cm="1">
        <f t="array" ref="M28">IF(COUNT(INDEX(FIND(ROW($1:$10)-1,K28),)),VALUE(MID(K28,MIN(SEARCH({1,2,3,4,5,6,7,8,9,0},K28&amp;1234567890)),LEN(K28)-(LENB(K28)-LEN(K28)))),"")</f>
        <v>99999856001</v>
      </c>
      <c r="N28">
        <f>IF(L28&lt;&gt;"○",M28,INDEX(G$4:G27,MATCH(L28&amp;M28,F$4:F27,0)))</f>
        <v>99999856001</v>
      </c>
      <c r="O28" t="str">
        <f t="shared" si="8"/>
        <v>関連</v>
      </c>
      <c r="Q28" s="4">
        <v>44910</v>
      </c>
      <c r="S28" t="str">
        <f t="shared" si="9"/>
        <v>99999856019</v>
      </c>
      <c r="T28" t="s">
        <v>50</v>
      </c>
      <c r="U28" t="s">
        <v>50</v>
      </c>
      <c r="V28" t="s">
        <v>446</v>
      </c>
      <c r="AB28" t="str">
        <f t="shared" si="10"/>
        <v>99999856001関連</v>
      </c>
    </row>
    <row r="29" spans="2:28" x14ac:dyDescent="0.4">
      <c r="B29" t="s">
        <v>21</v>
      </c>
      <c r="C29">
        <f>IF(G29="","",MAX(C$4:C28)+1)</f>
        <v>20</v>
      </c>
      <c r="D29">
        <f>IF(AND(N29=""),"",MAX(D$4:D28)+1)</f>
        <v>20</v>
      </c>
      <c r="F29" s="26" t="str">
        <f t="shared" si="1"/>
        <v>99999856020</v>
      </c>
      <c r="G29" s="29">
        <f t="shared" si="2"/>
        <v>99999856020</v>
      </c>
      <c r="H29" s="20" t="str">
        <f t="shared" si="3"/>
        <v>-</v>
      </c>
      <c r="I29" s="20" t="str">
        <f t="shared" si="4"/>
        <v>ー</v>
      </c>
      <c r="J29" s="20" t="str">
        <f t="shared" si="5"/>
        <v>鶴岡市</v>
      </c>
      <c r="K29" s="31" t="str">
        <f t="shared" si="6"/>
        <v>99999856001関連</v>
      </c>
      <c r="L29" s="23" t="str">
        <f t="shared" si="7"/>
        <v/>
      </c>
      <c r="M29" cm="1">
        <f t="array" ref="M29">IF(COUNT(INDEX(FIND(ROW($1:$10)-1,K29),)),VALUE(MID(K29,MIN(SEARCH({1,2,3,4,5,6,7,8,9,0},K29&amp;1234567890)),LEN(K29)-(LENB(K29)-LEN(K29)))),"")</f>
        <v>99999856001</v>
      </c>
      <c r="N29">
        <f>IF(L29&lt;&gt;"○",M29,INDEX(G$4:G28,MATCH(L29&amp;M29,F$4:F28,0)))</f>
        <v>99999856001</v>
      </c>
      <c r="O29" t="str">
        <f t="shared" si="8"/>
        <v>関連</v>
      </c>
      <c r="Q29" s="4">
        <v>44910</v>
      </c>
      <c r="S29" t="str">
        <f t="shared" si="9"/>
        <v>99999856020</v>
      </c>
      <c r="T29" t="s">
        <v>50</v>
      </c>
      <c r="U29" t="s">
        <v>50</v>
      </c>
      <c r="V29" t="s">
        <v>446</v>
      </c>
      <c r="AB29" t="str">
        <f t="shared" si="10"/>
        <v>99999856001関連</v>
      </c>
    </row>
    <row r="30" spans="2:28" x14ac:dyDescent="0.4">
      <c r="B30" t="s">
        <v>21</v>
      </c>
      <c r="C30">
        <f>IF(G30="","",MAX(C$4:C29)+1)</f>
        <v>21</v>
      </c>
      <c r="D30">
        <f>IF(AND(N30=""),"",MAX(D$4:D29)+1)</f>
        <v>21</v>
      </c>
      <c r="F30" s="26" t="str">
        <f t="shared" si="1"/>
        <v>99999856021</v>
      </c>
      <c r="G30" s="29">
        <f t="shared" si="2"/>
        <v>99999856021</v>
      </c>
      <c r="H30" s="20" t="str">
        <f t="shared" si="3"/>
        <v>-</v>
      </c>
      <c r="I30" s="20" t="str">
        <f t="shared" si="4"/>
        <v>ー</v>
      </c>
      <c r="J30" s="20" t="str">
        <f t="shared" si="5"/>
        <v>鶴岡市</v>
      </c>
      <c r="K30" s="31" t="str">
        <f t="shared" si="6"/>
        <v>99999856001関連</v>
      </c>
      <c r="L30" s="23" t="str">
        <f t="shared" si="7"/>
        <v/>
      </c>
      <c r="M30" cm="1">
        <f t="array" ref="M30">IF(COUNT(INDEX(FIND(ROW($1:$10)-1,K30),)),VALUE(MID(K30,MIN(SEARCH({1,2,3,4,5,6,7,8,9,0},K30&amp;1234567890)),LEN(K30)-(LENB(K30)-LEN(K30)))),"")</f>
        <v>99999856001</v>
      </c>
      <c r="N30">
        <f>IF(L30&lt;&gt;"○",M30,INDEX(G$4:G29,MATCH(L30&amp;M30,F$4:F29,0)))</f>
        <v>99999856001</v>
      </c>
      <c r="O30" t="str">
        <f t="shared" si="8"/>
        <v>関連</v>
      </c>
      <c r="Q30" s="4">
        <v>44910</v>
      </c>
      <c r="S30" t="str">
        <f t="shared" si="9"/>
        <v>99999856021</v>
      </c>
      <c r="T30" t="s">
        <v>50</v>
      </c>
      <c r="U30" t="s">
        <v>50</v>
      </c>
      <c r="V30" t="s">
        <v>446</v>
      </c>
      <c r="AB30" t="str">
        <f t="shared" si="10"/>
        <v>99999856001関連</v>
      </c>
    </row>
    <row r="31" spans="2:28" x14ac:dyDescent="0.4">
      <c r="B31" t="s">
        <v>21</v>
      </c>
      <c r="C31">
        <f>IF(G31="","",MAX(C$4:C30)+1)</f>
        <v>22</v>
      </c>
      <c r="D31">
        <f>IF(AND(N31=""),"",MAX(D$4:D30)+1)</f>
        <v>22</v>
      </c>
      <c r="F31" s="26" t="str">
        <f t="shared" si="1"/>
        <v>99999856022</v>
      </c>
      <c r="G31" s="29">
        <f t="shared" si="2"/>
        <v>99999856022</v>
      </c>
      <c r="H31" s="20" t="str">
        <f t="shared" si="3"/>
        <v>-</v>
      </c>
      <c r="I31" s="20" t="str">
        <f t="shared" si="4"/>
        <v>ー</v>
      </c>
      <c r="J31" s="20" t="str">
        <f t="shared" si="5"/>
        <v>鶴岡市</v>
      </c>
      <c r="K31" s="31" t="str">
        <f t="shared" si="6"/>
        <v>99999856001関連</v>
      </c>
      <c r="L31" s="23" t="str">
        <f t="shared" si="7"/>
        <v/>
      </c>
      <c r="M31" cm="1">
        <f t="array" ref="M31">IF(COUNT(INDEX(FIND(ROW($1:$10)-1,K31),)),VALUE(MID(K31,MIN(SEARCH({1,2,3,4,5,6,7,8,9,0},K31&amp;1234567890)),LEN(K31)-(LENB(K31)-LEN(K31)))),"")</f>
        <v>99999856001</v>
      </c>
      <c r="N31">
        <f>IF(L31&lt;&gt;"○",M31,INDEX(G$4:G30,MATCH(L31&amp;M31,F$4:F30,0)))</f>
        <v>99999856001</v>
      </c>
      <c r="O31" t="str">
        <f t="shared" si="8"/>
        <v>関連</v>
      </c>
      <c r="Q31" s="4">
        <v>44910</v>
      </c>
      <c r="S31" t="str">
        <f t="shared" si="9"/>
        <v>99999856022</v>
      </c>
      <c r="T31" t="s">
        <v>50</v>
      </c>
      <c r="U31" t="s">
        <v>50</v>
      </c>
      <c r="V31" t="s">
        <v>446</v>
      </c>
      <c r="AB31" t="str">
        <f t="shared" si="10"/>
        <v>99999856001関連</v>
      </c>
    </row>
    <row r="32" spans="2:28" x14ac:dyDescent="0.4">
      <c r="B32" t="s">
        <v>21</v>
      </c>
      <c r="C32">
        <f>IF(G32="","",MAX(C$4:C31)+1)</f>
        <v>23</v>
      </c>
      <c r="D32">
        <f>IF(AND(N32=""),"",MAX(D$4:D31)+1)</f>
        <v>23</v>
      </c>
      <c r="F32" s="26" t="str">
        <f t="shared" si="1"/>
        <v>99999856023</v>
      </c>
      <c r="G32" s="29">
        <f t="shared" si="2"/>
        <v>99999856023</v>
      </c>
      <c r="H32" s="20" t="str">
        <f t="shared" si="3"/>
        <v>-</v>
      </c>
      <c r="I32" s="20" t="str">
        <f t="shared" si="4"/>
        <v>ー</v>
      </c>
      <c r="J32" s="20" t="str">
        <f t="shared" si="5"/>
        <v>鶴岡市</v>
      </c>
      <c r="K32" s="31" t="str">
        <f t="shared" si="6"/>
        <v>99999856001関連</v>
      </c>
      <c r="L32" s="23" t="str">
        <f t="shared" si="7"/>
        <v/>
      </c>
      <c r="M32" cm="1">
        <f t="array" ref="M32">IF(COUNT(INDEX(FIND(ROW($1:$10)-1,K32),)),VALUE(MID(K32,MIN(SEARCH({1,2,3,4,5,6,7,8,9,0},K32&amp;1234567890)),LEN(K32)-(LENB(K32)-LEN(K32)))),"")</f>
        <v>99999856001</v>
      </c>
      <c r="N32">
        <f>IF(L32&lt;&gt;"○",M32,INDEX(G$4:G31,MATCH(L32&amp;M32,F$4:F31,0)))</f>
        <v>99999856001</v>
      </c>
      <c r="O32" t="str">
        <f t="shared" si="8"/>
        <v>関連</v>
      </c>
      <c r="Q32" s="4">
        <v>44910</v>
      </c>
      <c r="S32" t="str">
        <f t="shared" si="9"/>
        <v>99999856023</v>
      </c>
      <c r="T32" t="s">
        <v>50</v>
      </c>
      <c r="U32" t="s">
        <v>50</v>
      </c>
      <c r="V32" t="s">
        <v>446</v>
      </c>
      <c r="AB32" t="str">
        <f t="shared" si="10"/>
        <v>99999856001関連</v>
      </c>
    </row>
    <row r="33" spans="2:28" x14ac:dyDescent="0.4">
      <c r="B33" t="s">
        <v>21</v>
      </c>
      <c r="C33">
        <f>IF(G33="","",MAX(C$4:C32)+1)</f>
        <v>24</v>
      </c>
      <c r="D33">
        <f>IF(AND(N33=""),"",MAX(D$4:D32)+1)</f>
        <v>24</v>
      </c>
      <c r="F33" s="26" t="str">
        <f t="shared" si="1"/>
        <v>99999856024</v>
      </c>
      <c r="G33" s="29">
        <f t="shared" si="2"/>
        <v>99999856024</v>
      </c>
      <c r="H33" s="20" t="str">
        <f t="shared" si="3"/>
        <v>-</v>
      </c>
      <c r="I33" s="20" t="str">
        <f t="shared" si="4"/>
        <v>ー</v>
      </c>
      <c r="J33" s="20" t="str">
        <f t="shared" si="5"/>
        <v>鶴岡市</v>
      </c>
      <c r="K33" s="31" t="str">
        <f t="shared" si="6"/>
        <v>99999856001関連</v>
      </c>
      <c r="L33" s="23" t="str">
        <f t="shared" si="7"/>
        <v/>
      </c>
      <c r="M33" cm="1">
        <f t="array" ref="M33">IF(COUNT(INDEX(FIND(ROW($1:$10)-1,K33),)),VALUE(MID(K33,MIN(SEARCH({1,2,3,4,5,6,7,8,9,0},K33&amp;1234567890)),LEN(K33)-(LENB(K33)-LEN(K33)))),"")</f>
        <v>99999856001</v>
      </c>
      <c r="N33">
        <f>IF(L33&lt;&gt;"○",M33,INDEX(G$4:G32,MATCH(L33&amp;M33,F$4:F32,0)))</f>
        <v>99999856001</v>
      </c>
      <c r="O33" t="str">
        <f t="shared" si="8"/>
        <v>関連</v>
      </c>
      <c r="Q33" s="4">
        <v>44910</v>
      </c>
      <c r="S33" t="str">
        <f t="shared" si="9"/>
        <v>99999856024</v>
      </c>
      <c r="T33" t="s">
        <v>50</v>
      </c>
      <c r="U33" t="s">
        <v>50</v>
      </c>
      <c r="V33" t="s">
        <v>446</v>
      </c>
      <c r="AB33" t="str">
        <f t="shared" si="10"/>
        <v>99999856001関連</v>
      </c>
    </row>
    <row r="34" spans="2:28" x14ac:dyDescent="0.4">
      <c r="B34" t="s">
        <v>21</v>
      </c>
      <c r="C34">
        <f>IF(G34="","",MAX(C$4:C33)+1)</f>
        <v>25</v>
      </c>
      <c r="D34">
        <f>IF(AND(N34=""),"",MAX(D$4:D33)+1)</f>
        <v>25</v>
      </c>
      <c r="F34" s="26" t="str">
        <f t="shared" si="1"/>
        <v>99999856025</v>
      </c>
      <c r="G34" s="29">
        <f t="shared" si="2"/>
        <v>99999856025</v>
      </c>
      <c r="H34" s="20" t="str">
        <f t="shared" si="3"/>
        <v>-</v>
      </c>
      <c r="I34" s="20" t="str">
        <f t="shared" si="4"/>
        <v>ー</v>
      </c>
      <c r="J34" s="20" t="str">
        <f t="shared" si="5"/>
        <v>鶴岡市</v>
      </c>
      <c r="K34" s="31" t="str">
        <f t="shared" si="6"/>
        <v>99999856001関連</v>
      </c>
      <c r="L34" s="23" t="str">
        <f t="shared" si="7"/>
        <v/>
      </c>
      <c r="M34" cm="1">
        <f t="array" ref="M34">IF(COUNT(INDEX(FIND(ROW($1:$10)-1,K34),)),VALUE(MID(K34,MIN(SEARCH({1,2,3,4,5,6,7,8,9,0},K34&amp;1234567890)),LEN(K34)-(LENB(K34)-LEN(K34)))),"")</f>
        <v>99999856001</v>
      </c>
      <c r="N34">
        <f>IF(L34&lt;&gt;"○",M34,INDEX(G$4:G33,MATCH(L34&amp;M34,F$4:F33,0)))</f>
        <v>99999856001</v>
      </c>
      <c r="O34" t="str">
        <f t="shared" si="8"/>
        <v>関連</v>
      </c>
      <c r="Q34" s="4">
        <v>44910</v>
      </c>
      <c r="S34" t="str">
        <f t="shared" si="9"/>
        <v>99999856025</v>
      </c>
      <c r="T34" t="s">
        <v>50</v>
      </c>
      <c r="U34" t="s">
        <v>50</v>
      </c>
      <c r="V34" t="s">
        <v>446</v>
      </c>
      <c r="AB34" t="str">
        <f t="shared" si="10"/>
        <v>99999856001関連</v>
      </c>
    </row>
    <row r="35" spans="2:28" x14ac:dyDescent="0.4">
      <c r="B35" t="s">
        <v>21</v>
      </c>
      <c r="C35">
        <f>IF(G35="","",MAX(C$4:C34)+1)</f>
        <v>26</v>
      </c>
      <c r="D35">
        <f>IF(AND(N35=""),"",MAX(D$4:D34)+1)</f>
        <v>26</v>
      </c>
      <c r="F35" s="26" t="str">
        <f t="shared" si="1"/>
        <v>99999856026</v>
      </c>
      <c r="G35" s="29">
        <f t="shared" si="2"/>
        <v>99999856026</v>
      </c>
      <c r="H35" s="20" t="str">
        <f t="shared" si="3"/>
        <v>-</v>
      </c>
      <c r="I35" s="20" t="str">
        <f t="shared" si="4"/>
        <v>ー</v>
      </c>
      <c r="J35" s="20" t="str">
        <f t="shared" si="5"/>
        <v>鶴岡市</v>
      </c>
      <c r="K35" s="31" t="str">
        <f t="shared" si="6"/>
        <v>99999856001関連</v>
      </c>
      <c r="L35" s="23" t="str">
        <f t="shared" si="7"/>
        <v/>
      </c>
      <c r="M35" cm="1">
        <f t="array" ref="M35">IF(COUNT(INDEX(FIND(ROW($1:$10)-1,K35),)),VALUE(MID(K35,MIN(SEARCH({1,2,3,4,5,6,7,8,9,0},K35&amp;1234567890)),LEN(K35)-(LENB(K35)-LEN(K35)))),"")</f>
        <v>99999856001</v>
      </c>
      <c r="N35">
        <f>IF(L35&lt;&gt;"○",M35,INDEX(G$4:G34,MATCH(L35&amp;M35,F$4:F34,0)))</f>
        <v>99999856001</v>
      </c>
      <c r="O35" t="str">
        <f t="shared" si="8"/>
        <v>関連</v>
      </c>
      <c r="Q35" s="4">
        <v>44910</v>
      </c>
      <c r="S35" t="str">
        <f t="shared" si="9"/>
        <v>99999856026</v>
      </c>
      <c r="T35" t="s">
        <v>50</v>
      </c>
      <c r="U35" t="s">
        <v>50</v>
      </c>
      <c r="V35" t="s">
        <v>446</v>
      </c>
      <c r="AB35" t="str">
        <f t="shared" si="10"/>
        <v>99999856001関連</v>
      </c>
    </row>
    <row r="36" spans="2:28" x14ac:dyDescent="0.4">
      <c r="B36" t="s">
        <v>21</v>
      </c>
      <c r="C36">
        <f>IF(G36="","",MAX(C$4:C35)+1)</f>
        <v>27</v>
      </c>
      <c r="D36">
        <f>IF(AND(N36=""),"",MAX(D$4:D35)+1)</f>
        <v>27</v>
      </c>
      <c r="F36" s="26" t="str">
        <f t="shared" si="1"/>
        <v>99999856027</v>
      </c>
      <c r="G36" s="29">
        <f t="shared" si="2"/>
        <v>99999856027</v>
      </c>
      <c r="H36" s="20" t="str">
        <f t="shared" si="3"/>
        <v>-</v>
      </c>
      <c r="I36" s="20" t="str">
        <f t="shared" si="4"/>
        <v>ー</v>
      </c>
      <c r="J36" s="20" t="str">
        <f t="shared" si="5"/>
        <v>鶴岡市</v>
      </c>
      <c r="K36" s="31" t="str">
        <f t="shared" si="6"/>
        <v>99999856001関連</v>
      </c>
      <c r="L36" s="23" t="str">
        <f t="shared" si="7"/>
        <v/>
      </c>
      <c r="M36" cm="1">
        <f t="array" ref="M36">IF(COUNT(INDEX(FIND(ROW($1:$10)-1,K36),)),VALUE(MID(K36,MIN(SEARCH({1,2,3,4,5,6,7,8,9,0},K36&amp;1234567890)),LEN(K36)-(LENB(K36)-LEN(K36)))),"")</f>
        <v>99999856001</v>
      </c>
      <c r="N36">
        <f>IF(L36&lt;&gt;"○",M36,INDEX(G$4:G35,MATCH(L36&amp;M36,F$4:F35,0)))</f>
        <v>99999856001</v>
      </c>
      <c r="O36" t="str">
        <f t="shared" si="8"/>
        <v>関連</v>
      </c>
      <c r="Q36" s="4">
        <v>44910</v>
      </c>
      <c r="S36" t="str">
        <f t="shared" si="9"/>
        <v>99999856027</v>
      </c>
      <c r="T36" t="s">
        <v>50</v>
      </c>
      <c r="U36" t="s">
        <v>50</v>
      </c>
      <c r="V36" t="s">
        <v>446</v>
      </c>
      <c r="AB36" t="str">
        <f t="shared" si="10"/>
        <v>99999856001関連</v>
      </c>
    </row>
    <row r="37" spans="2:28" x14ac:dyDescent="0.4">
      <c r="B37" t="s">
        <v>21</v>
      </c>
      <c r="C37">
        <f>IF(G37="","",MAX(C$4:C36)+1)</f>
        <v>28</v>
      </c>
      <c r="D37">
        <f>IF(AND(N37=""),"",MAX(D$4:D36)+1)</f>
        <v>28</v>
      </c>
      <c r="F37" s="26" t="str">
        <f t="shared" si="1"/>
        <v>99999856028</v>
      </c>
      <c r="G37" s="29">
        <f t="shared" si="2"/>
        <v>99999856028</v>
      </c>
      <c r="H37" s="20" t="str">
        <f t="shared" si="3"/>
        <v>-</v>
      </c>
      <c r="I37" s="20" t="str">
        <f t="shared" si="4"/>
        <v>ー</v>
      </c>
      <c r="J37" s="20" t="str">
        <f t="shared" si="5"/>
        <v>鶴岡市</v>
      </c>
      <c r="K37" s="31" t="str">
        <f t="shared" si="6"/>
        <v>99999856001関連</v>
      </c>
      <c r="L37" s="23" t="str">
        <f t="shared" si="7"/>
        <v/>
      </c>
      <c r="M37" cm="1">
        <f t="array" ref="M37">IF(COUNT(INDEX(FIND(ROW($1:$10)-1,K37),)),VALUE(MID(K37,MIN(SEARCH({1,2,3,4,5,6,7,8,9,0},K37&amp;1234567890)),LEN(K37)-(LENB(K37)-LEN(K37)))),"")</f>
        <v>99999856001</v>
      </c>
      <c r="N37">
        <f>IF(L37&lt;&gt;"○",M37,INDEX(G$4:G36,MATCH(L37&amp;M37,F$4:F36,0)))</f>
        <v>99999856001</v>
      </c>
      <c r="O37" t="str">
        <f t="shared" si="8"/>
        <v>関連</v>
      </c>
      <c r="Q37" s="4">
        <v>44910</v>
      </c>
      <c r="S37" t="str">
        <f t="shared" si="9"/>
        <v>99999856028</v>
      </c>
      <c r="T37" t="s">
        <v>50</v>
      </c>
      <c r="U37" t="s">
        <v>50</v>
      </c>
      <c r="V37" t="s">
        <v>446</v>
      </c>
      <c r="AB37" t="str">
        <f t="shared" si="10"/>
        <v>99999856001関連</v>
      </c>
    </row>
    <row r="38" spans="2:28" x14ac:dyDescent="0.4">
      <c r="B38" t="s">
        <v>21</v>
      </c>
      <c r="C38">
        <f>IF(G38="","",MAX(C$4:C37)+1)</f>
        <v>29</v>
      </c>
      <c r="D38">
        <f>IF(AND(N38=""),"",MAX(D$4:D37)+1)</f>
        <v>29</v>
      </c>
      <c r="F38" s="26" t="str">
        <f t="shared" si="1"/>
        <v>99999856029</v>
      </c>
      <c r="G38" s="29">
        <f t="shared" si="2"/>
        <v>99999856029</v>
      </c>
      <c r="H38" s="20" t="str">
        <f t="shared" si="3"/>
        <v>-</v>
      </c>
      <c r="I38" s="20" t="str">
        <f t="shared" si="4"/>
        <v>ー</v>
      </c>
      <c r="J38" s="20" t="str">
        <f t="shared" si="5"/>
        <v>鶴岡市</v>
      </c>
      <c r="K38" s="31" t="str">
        <f t="shared" si="6"/>
        <v>99999856001関連</v>
      </c>
      <c r="L38" s="23" t="str">
        <f t="shared" si="7"/>
        <v/>
      </c>
      <c r="M38" cm="1">
        <f t="array" ref="M38">IF(COUNT(INDEX(FIND(ROW($1:$10)-1,K38),)),VALUE(MID(K38,MIN(SEARCH({1,2,3,4,5,6,7,8,9,0},K38&amp;1234567890)),LEN(K38)-(LENB(K38)-LEN(K38)))),"")</f>
        <v>99999856001</v>
      </c>
      <c r="N38">
        <f>IF(L38&lt;&gt;"○",M38,INDEX(G$4:G37,MATCH(L38&amp;M38,F$4:F37,0)))</f>
        <v>99999856001</v>
      </c>
      <c r="O38" t="str">
        <f t="shared" si="8"/>
        <v>関連</v>
      </c>
      <c r="Q38" s="4">
        <v>44910</v>
      </c>
      <c r="S38" t="str">
        <f t="shared" si="9"/>
        <v>99999856029</v>
      </c>
      <c r="T38" t="s">
        <v>50</v>
      </c>
      <c r="U38" t="s">
        <v>50</v>
      </c>
      <c r="V38" t="s">
        <v>446</v>
      </c>
      <c r="AB38" t="str">
        <f t="shared" si="10"/>
        <v>99999856001関連</v>
      </c>
    </row>
    <row r="39" spans="2:28" x14ac:dyDescent="0.4">
      <c r="B39" t="s">
        <v>21</v>
      </c>
      <c r="C39">
        <f>IF(G39="","",MAX(C$4:C38)+1)</f>
        <v>30</v>
      </c>
      <c r="D39">
        <f>IF(AND(N39=""),"",MAX(D$4:D38)+1)</f>
        <v>30</v>
      </c>
      <c r="F39" s="26" t="str">
        <f t="shared" si="1"/>
        <v>99999856030</v>
      </c>
      <c r="G39" s="29">
        <f t="shared" si="2"/>
        <v>99999856030</v>
      </c>
      <c r="H39" s="20" t="str">
        <f t="shared" si="3"/>
        <v>-</v>
      </c>
      <c r="I39" s="20" t="str">
        <f t="shared" si="4"/>
        <v>ー</v>
      </c>
      <c r="J39" s="20" t="str">
        <f t="shared" si="5"/>
        <v>鶴岡市</v>
      </c>
      <c r="K39" s="31" t="str">
        <f t="shared" si="6"/>
        <v>99999856001関連</v>
      </c>
      <c r="L39" s="23" t="str">
        <f t="shared" si="7"/>
        <v/>
      </c>
      <c r="M39" cm="1">
        <f t="array" ref="M39">IF(COUNT(INDEX(FIND(ROW($1:$10)-1,K39),)),VALUE(MID(K39,MIN(SEARCH({1,2,3,4,5,6,7,8,9,0},K39&amp;1234567890)),LEN(K39)-(LENB(K39)-LEN(K39)))),"")</f>
        <v>99999856001</v>
      </c>
      <c r="N39">
        <f>IF(L39&lt;&gt;"○",M39,INDEX(G$4:G38,MATCH(L39&amp;M39,F$4:F38,0)))</f>
        <v>99999856001</v>
      </c>
      <c r="O39" t="str">
        <f t="shared" si="8"/>
        <v>関連</v>
      </c>
      <c r="Q39" s="4">
        <v>44910</v>
      </c>
      <c r="S39" t="str">
        <f t="shared" si="9"/>
        <v>99999856030</v>
      </c>
      <c r="T39" t="s">
        <v>50</v>
      </c>
      <c r="U39" t="s">
        <v>50</v>
      </c>
      <c r="V39" t="s">
        <v>446</v>
      </c>
      <c r="AB39" t="str">
        <f t="shared" si="10"/>
        <v>99999856001関連</v>
      </c>
    </row>
    <row r="40" spans="2:28" x14ac:dyDescent="0.4">
      <c r="B40" t="s">
        <v>21</v>
      </c>
      <c r="C40">
        <f>IF(G40="","",MAX(C$4:C39)+1)</f>
        <v>31</v>
      </c>
      <c r="D40">
        <f>IF(AND(N40=""),"",MAX(D$4:D39)+1)</f>
        <v>31</v>
      </c>
      <c r="F40" s="26" t="str">
        <f t="shared" si="1"/>
        <v>99999856031</v>
      </c>
      <c r="G40" s="29">
        <f t="shared" si="2"/>
        <v>99999856031</v>
      </c>
      <c r="H40" s="20" t="str">
        <f t="shared" si="3"/>
        <v>-</v>
      </c>
      <c r="I40" s="20" t="str">
        <f t="shared" si="4"/>
        <v>ー</v>
      </c>
      <c r="J40" s="20" t="str">
        <f t="shared" si="5"/>
        <v>鶴岡市</v>
      </c>
      <c r="K40" s="31" t="str">
        <f t="shared" si="6"/>
        <v>99999856001関連</v>
      </c>
      <c r="L40" s="23" t="str">
        <f t="shared" si="7"/>
        <v/>
      </c>
      <c r="M40" cm="1">
        <f t="array" ref="M40">IF(COUNT(INDEX(FIND(ROW($1:$10)-1,K40),)),VALUE(MID(K40,MIN(SEARCH({1,2,3,4,5,6,7,8,9,0},K40&amp;1234567890)),LEN(K40)-(LENB(K40)-LEN(K40)))),"")</f>
        <v>99999856001</v>
      </c>
      <c r="N40">
        <f>IF(L40&lt;&gt;"○",M40,INDEX(G$4:G39,MATCH(L40&amp;M40,F$4:F39,0)))</f>
        <v>99999856001</v>
      </c>
      <c r="O40" t="str">
        <f t="shared" si="8"/>
        <v>関連</v>
      </c>
      <c r="Q40" s="4">
        <v>44910</v>
      </c>
      <c r="S40" t="str">
        <f t="shared" si="9"/>
        <v>99999856031</v>
      </c>
      <c r="T40" t="s">
        <v>50</v>
      </c>
      <c r="U40" t="s">
        <v>50</v>
      </c>
      <c r="V40" t="s">
        <v>446</v>
      </c>
      <c r="AB40" t="str">
        <f t="shared" si="10"/>
        <v>99999856001関連</v>
      </c>
    </row>
    <row r="41" spans="2:28" x14ac:dyDescent="0.4">
      <c r="B41" t="s">
        <v>21</v>
      </c>
      <c r="C41">
        <f>IF(G41="","",MAX(C$4:C40)+1)</f>
        <v>32</v>
      </c>
      <c r="D41">
        <f>IF(AND(N41=""),"",MAX(D$4:D40)+1)</f>
        <v>32</v>
      </c>
      <c r="F41" s="26" t="str">
        <f t="shared" si="1"/>
        <v>99999856032</v>
      </c>
      <c r="G41" s="29">
        <f t="shared" si="2"/>
        <v>99999856032</v>
      </c>
      <c r="H41" s="20" t="str">
        <f t="shared" si="3"/>
        <v>-</v>
      </c>
      <c r="I41" s="20" t="str">
        <f t="shared" si="4"/>
        <v>ー</v>
      </c>
      <c r="J41" s="20" t="str">
        <f t="shared" si="5"/>
        <v>鶴岡市</v>
      </c>
      <c r="K41" s="31" t="str">
        <f t="shared" si="6"/>
        <v>99999856001関連</v>
      </c>
      <c r="L41" s="23" t="str">
        <f t="shared" si="7"/>
        <v/>
      </c>
      <c r="M41" cm="1">
        <f t="array" ref="M41">IF(COUNT(INDEX(FIND(ROW($1:$10)-1,K41),)),VALUE(MID(K41,MIN(SEARCH({1,2,3,4,5,6,7,8,9,0},K41&amp;1234567890)),LEN(K41)-(LENB(K41)-LEN(K41)))),"")</f>
        <v>99999856001</v>
      </c>
      <c r="N41">
        <f>IF(L41&lt;&gt;"○",M41,INDEX(G$4:G40,MATCH(L41&amp;M41,F$4:F40,0)))</f>
        <v>99999856001</v>
      </c>
      <c r="O41" t="str">
        <f t="shared" si="8"/>
        <v>関連</v>
      </c>
      <c r="Q41" s="4">
        <v>44910</v>
      </c>
      <c r="S41" t="str">
        <f t="shared" si="9"/>
        <v>99999856032</v>
      </c>
      <c r="T41" t="s">
        <v>50</v>
      </c>
      <c r="U41" t="s">
        <v>50</v>
      </c>
      <c r="V41" t="s">
        <v>446</v>
      </c>
      <c r="AB41" t="str">
        <f t="shared" si="10"/>
        <v>99999856001関連</v>
      </c>
    </row>
    <row r="42" spans="2:28" x14ac:dyDescent="0.4">
      <c r="B42" t="s">
        <v>21</v>
      </c>
      <c r="C42">
        <f>IF(G42="","",MAX(C$4:C41)+1)</f>
        <v>33</v>
      </c>
      <c r="D42">
        <f>IF(AND(N42=""),"",MAX(D$4:D41)+1)</f>
        <v>33</v>
      </c>
      <c r="F42" s="26" t="str">
        <f t="shared" si="1"/>
        <v>99999856033</v>
      </c>
      <c r="G42" s="29">
        <f t="shared" si="2"/>
        <v>99999856033</v>
      </c>
      <c r="H42" s="20" t="str">
        <f t="shared" si="3"/>
        <v>-</v>
      </c>
      <c r="I42" s="20" t="str">
        <f t="shared" si="4"/>
        <v>ー</v>
      </c>
      <c r="J42" s="20" t="str">
        <f t="shared" si="5"/>
        <v>鶴岡市</v>
      </c>
      <c r="K42" s="31" t="str">
        <f t="shared" si="6"/>
        <v>99999856001関連</v>
      </c>
      <c r="L42" s="23" t="str">
        <f t="shared" si="7"/>
        <v/>
      </c>
      <c r="M42" cm="1">
        <f t="array" ref="M42">IF(COUNT(INDEX(FIND(ROW($1:$10)-1,K42),)),VALUE(MID(K42,MIN(SEARCH({1,2,3,4,5,6,7,8,9,0},K42&amp;1234567890)),LEN(K42)-(LENB(K42)-LEN(K42)))),"")</f>
        <v>99999856001</v>
      </c>
      <c r="N42">
        <f>IF(L42&lt;&gt;"○",M42,INDEX(G$4:G41,MATCH(L42&amp;M42,F$4:F41,0)))</f>
        <v>99999856001</v>
      </c>
      <c r="O42" t="str">
        <f t="shared" si="8"/>
        <v>関連</v>
      </c>
      <c r="Q42" s="4">
        <v>44910</v>
      </c>
      <c r="S42" t="str">
        <f t="shared" si="9"/>
        <v>99999856033</v>
      </c>
      <c r="T42" t="s">
        <v>50</v>
      </c>
      <c r="U42" t="s">
        <v>50</v>
      </c>
      <c r="V42" t="s">
        <v>446</v>
      </c>
      <c r="AB42" t="str">
        <f t="shared" si="10"/>
        <v>99999856001関連</v>
      </c>
    </row>
    <row r="43" spans="2:28" x14ac:dyDescent="0.4">
      <c r="B43" t="s">
        <v>21</v>
      </c>
      <c r="C43">
        <f>IF(G43="","",MAX(C$4:C42)+1)</f>
        <v>34</v>
      </c>
      <c r="D43">
        <f>IF(AND(N43=""),"",MAX(D$4:D42)+1)</f>
        <v>34</v>
      </c>
      <c r="F43" s="26" t="str">
        <f t="shared" si="1"/>
        <v>99999856034</v>
      </c>
      <c r="G43" s="29">
        <f t="shared" si="2"/>
        <v>99999856034</v>
      </c>
      <c r="H43" s="20" t="str">
        <f t="shared" si="3"/>
        <v>-</v>
      </c>
      <c r="I43" s="20" t="str">
        <f t="shared" si="4"/>
        <v>ー</v>
      </c>
      <c r="J43" s="20" t="str">
        <f t="shared" si="5"/>
        <v>鶴岡市</v>
      </c>
      <c r="K43" s="31" t="str">
        <f t="shared" si="6"/>
        <v>99999856001関連</v>
      </c>
      <c r="L43" s="23" t="str">
        <f t="shared" si="7"/>
        <v/>
      </c>
      <c r="M43" cm="1">
        <f t="array" ref="M43">IF(COUNT(INDEX(FIND(ROW($1:$10)-1,K43),)),VALUE(MID(K43,MIN(SEARCH({1,2,3,4,5,6,7,8,9,0},K43&amp;1234567890)),LEN(K43)-(LENB(K43)-LEN(K43)))),"")</f>
        <v>99999856001</v>
      </c>
      <c r="N43">
        <f>IF(L43&lt;&gt;"○",M43,INDEX(G$4:G42,MATCH(L43&amp;M43,F$4:F42,0)))</f>
        <v>99999856001</v>
      </c>
      <c r="O43" t="str">
        <f t="shared" si="8"/>
        <v>関連</v>
      </c>
      <c r="Q43" s="4">
        <v>44910</v>
      </c>
      <c r="S43" t="str">
        <f t="shared" si="9"/>
        <v>99999856034</v>
      </c>
      <c r="T43" t="s">
        <v>50</v>
      </c>
      <c r="U43" t="s">
        <v>50</v>
      </c>
      <c r="V43" t="s">
        <v>446</v>
      </c>
      <c r="AB43" t="str">
        <f t="shared" si="10"/>
        <v>99999856001関連</v>
      </c>
    </row>
    <row r="44" spans="2:28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28" x14ac:dyDescent="0.4">
      <c r="B45" t="s">
        <v>21</v>
      </c>
      <c r="C45">
        <f>IF(G45="","",MAX(C$4:C44)+1)</f>
        <v>35</v>
      </c>
      <c r="D45">
        <f>IF(AND(N45=""),"",MAX(D$4:D44)+1)</f>
        <v>35</v>
      </c>
      <c r="F45" s="26" t="str">
        <f t="shared" si="1"/>
        <v>99999857001</v>
      </c>
      <c r="G45" s="29">
        <f t="shared" si="2"/>
        <v>99999857001</v>
      </c>
      <c r="H45" s="20" t="str">
        <f t="shared" si="3"/>
        <v>-</v>
      </c>
      <c r="I45" s="20" t="str">
        <f t="shared" si="4"/>
        <v>ー</v>
      </c>
      <c r="J45" s="20" t="str">
        <f t="shared" si="5"/>
        <v>庄内町</v>
      </c>
      <c r="K45" s="31" t="str">
        <f t="shared" si="6"/>
        <v>99999857001介護施設</v>
      </c>
      <c r="L45" s="23" t="str">
        <f t="shared" si="7"/>
        <v/>
      </c>
      <c r="M45" cm="1">
        <f t="array" ref="M45">IF(COUNT(INDEX(FIND(ROW($1:$10)-1,K45),)),VALUE(MID(K45,MIN(SEARCH({1,2,3,4,5,6,7,8,9,0},K45&amp;1234567890)),LEN(K45)-(LENB(K45)-LEN(K45)))),"")</f>
        <v>99999857001</v>
      </c>
      <c r="N45">
        <f>IF(L45&lt;&gt;"○",M45,INDEX(G$4:G44,MATCH(L45&amp;M45,F$4:F44,0)))</f>
        <v>99999857001</v>
      </c>
      <c r="O45" t="str">
        <f t="shared" si="8"/>
        <v>介護施設</v>
      </c>
      <c r="Q45" s="4">
        <v>44910</v>
      </c>
      <c r="S45" t="str">
        <f>$O$1&amp;
857&amp;
REPT("0",3-LEN(ROW($S1)))&amp;ROW($S1)</f>
        <v>99999857001</v>
      </c>
      <c r="T45" t="s">
        <v>50</v>
      </c>
      <c r="U45" t="s">
        <v>50</v>
      </c>
      <c r="V45" t="s">
        <v>447</v>
      </c>
      <c r="AB45" t="str">
        <f>$S$45&amp;"介護施設"</f>
        <v>99999857001介護施設</v>
      </c>
    </row>
    <row r="46" spans="2:28" x14ac:dyDescent="0.4">
      <c r="B46" t="s">
        <v>21</v>
      </c>
      <c r="C46">
        <f>IF(G46="","",MAX(C$4:C45)+1)</f>
        <v>36</v>
      </c>
      <c r="D46">
        <f>IF(AND(N46=""),"",MAX(D$4:D45)+1)</f>
        <v>36</v>
      </c>
      <c r="F46" s="26" t="str">
        <f t="shared" si="1"/>
        <v>99999857002</v>
      </c>
      <c r="G46" s="29">
        <f t="shared" si="2"/>
        <v>99999857002</v>
      </c>
      <c r="H46" s="20" t="str">
        <f t="shared" si="3"/>
        <v>-</v>
      </c>
      <c r="I46" s="20" t="str">
        <f t="shared" si="4"/>
        <v>ー</v>
      </c>
      <c r="J46" s="20" t="str">
        <f t="shared" si="5"/>
        <v>庄内町</v>
      </c>
      <c r="K46" s="31" t="str">
        <f t="shared" si="6"/>
        <v>99999857001関連</v>
      </c>
      <c r="L46" s="23" t="str">
        <f t="shared" si="7"/>
        <v/>
      </c>
      <c r="M46" cm="1">
        <f t="array" ref="M46">IF(COUNT(INDEX(FIND(ROW($1:$10)-1,K46),)),VALUE(MID(K46,MIN(SEARCH({1,2,3,4,5,6,7,8,9,0},K46&amp;1234567890)),LEN(K46)-(LENB(K46)-LEN(K46)))),"")</f>
        <v>99999857001</v>
      </c>
      <c r="N46">
        <f>IF(L46&lt;&gt;"○",M46,INDEX(G$4:G45,MATCH(L46&amp;M46,F$4:F45,0)))</f>
        <v>99999857001</v>
      </c>
      <c r="O46" t="str">
        <f t="shared" si="8"/>
        <v>関連</v>
      </c>
      <c r="Q46" s="4">
        <v>44910</v>
      </c>
      <c r="S46" t="str">
        <f t="shared" ref="S46:S64" si="11">$O$1&amp;
857&amp;
REPT("0",3-LEN(ROW($S2)))&amp;ROW($S2)</f>
        <v>99999857002</v>
      </c>
      <c r="T46" t="s">
        <v>50</v>
      </c>
      <c r="U46" t="s">
        <v>50</v>
      </c>
      <c r="V46" t="s">
        <v>447</v>
      </c>
      <c r="AB46" t="str">
        <f>$S$45&amp;"関連"</f>
        <v>99999857001関連</v>
      </c>
    </row>
    <row r="47" spans="2:28" x14ac:dyDescent="0.4">
      <c r="B47" t="s">
        <v>21</v>
      </c>
      <c r="C47">
        <f>IF(G47="","",MAX(C$4:C46)+1)</f>
        <v>37</v>
      </c>
      <c r="D47">
        <f>IF(AND(N47=""),"",MAX(D$4:D46)+1)</f>
        <v>37</v>
      </c>
      <c r="F47" s="26" t="str">
        <f t="shared" si="1"/>
        <v>99999857003</v>
      </c>
      <c r="G47" s="29">
        <f t="shared" si="2"/>
        <v>99999857003</v>
      </c>
      <c r="H47" s="20" t="str">
        <f t="shared" si="3"/>
        <v>-</v>
      </c>
      <c r="I47" s="20" t="str">
        <f t="shared" si="4"/>
        <v>ー</v>
      </c>
      <c r="J47" s="20" t="str">
        <f t="shared" si="5"/>
        <v>庄内町</v>
      </c>
      <c r="K47" s="31" t="str">
        <f t="shared" si="6"/>
        <v>99999857001関連</v>
      </c>
      <c r="L47" s="23" t="str">
        <f t="shared" si="7"/>
        <v/>
      </c>
      <c r="M47" cm="1">
        <f t="array" ref="M47">IF(COUNT(INDEX(FIND(ROW($1:$10)-1,K47),)),VALUE(MID(K47,MIN(SEARCH({1,2,3,4,5,6,7,8,9,0},K47&amp;1234567890)),LEN(K47)-(LENB(K47)-LEN(K47)))),"")</f>
        <v>99999857001</v>
      </c>
      <c r="N47">
        <f>IF(L47&lt;&gt;"○",M47,INDEX(G$4:G46,MATCH(L47&amp;M47,F$4:F46,0)))</f>
        <v>99999857001</v>
      </c>
      <c r="O47" t="str">
        <f t="shared" si="8"/>
        <v>関連</v>
      </c>
      <c r="Q47" s="4">
        <v>44910</v>
      </c>
      <c r="S47" t="str">
        <f t="shared" si="11"/>
        <v>99999857003</v>
      </c>
      <c r="T47" t="s">
        <v>50</v>
      </c>
      <c r="U47" t="s">
        <v>50</v>
      </c>
      <c r="V47" t="s">
        <v>447</v>
      </c>
      <c r="AB47" t="str">
        <f t="shared" ref="AB47:AB65" si="12">$S$45&amp;"関連"</f>
        <v>99999857001関連</v>
      </c>
    </row>
    <row r="48" spans="2:28" x14ac:dyDescent="0.4">
      <c r="B48" t="s">
        <v>21</v>
      </c>
      <c r="C48">
        <f>IF(G48="","",MAX(C$4:C47)+1)</f>
        <v>38</v>
      </c>
      <c r="D48">
        <f>IF(AND(N48=""),"",MAX(D$4:D47)+1)</f>
        <v>38</v>
      </c>
      <c r="F48" s="26" t="str">
        <f t="shared" si="1"/>
        <v>99999857004</v>
      </c>
      <c r="G48" s="29">
        <f t="shared" si="2"/>
        <v>99999857004</v>
      </c>
      <c r="H48" s="20" t="str">
        <f t="shared" si="3"/>
        <v>-</v>
      </c>
      <c r="I48" s="20" t="str">
        <f t="shared" si="4"/>
        <v>ー</v>
      </c>
      <c r="J48" s="20" t="str">
        <f t="shared" si="5"/>
        <v>庄内町</v>
      </c>
      <c r="K48" s="31" t="str">
        <f t="shared" si="6"/>
        <v>99999857001関連</v>
      </c>
      <c r="L48" s="23" t="str">
        <f t="shared" si="7"/>
        <v/>
      </c>
      <c r="M48" cm="1">
        <f t="array" ref="M48">IF(COUNT(INDEX(FIND(ROW($1:$10)-1,K48),)),VALUE(MID(K48,MIN(SEARCH({1,2,3,4,5,6,7,8,9,0},K48&amp;1234567890)),LEN(K48)-(LENB(K48)-LEN(K48)))),"")</f>
        <v>99999857001</v>
      </c>
      <c r="N48">
        <f>IF(L48&lt;&gt;"○",M48,INDEX(G$4:G47,MATCH(L48&amp;M48,F$4:F47,0)))</f>
        <v>99999857001</v>
      </c>
      <c r="O48" t="str">
        <f t="shared" si="8"/>
        <v>関連</v>
      </c>
      <c r="Q48" s="4">
        <v>44910</v>
      </c>
      <c r="S48" t="str">
        <f t="shared" si="11"/>
        <v>99999857004</v>
      </c>
      <c r="T48" t="s">
        <v>50</v>
      </c>
      <c r="U48" t="s">
        <v>50</v>
      </c>
      <c r="V48" t="s">
        <v>447</v>
      </c>
      <c r="AB48" t="str">
        <f t="shared" si="12"/>
        <v>99999857001関連</v>
      </c>
    </row>
    <row r="49" spans="2:28" x14ac:dyDescent="0.4">
      <c r="B49" t="s">
        <v>21</v>
      </c>
      <c r="C49">
        <f>IF(G49="","",MAX(C$4:C48)+1)</f>
        <v>39</v>
      </c>
      <c r="D49">
        <f>IF(AND(N49=""),"",MAX(D$4:D48)+1)</f>
        <v>39</v>
      </c>
      <c r="F49" s="26" t="str">
        <f t="shared" si="1"/>
        <v>99999857005</v>
      </c>
      <c r="G49" s="29">
        <f t="shared" si="2"/>
        <v>99999857005</v>
      </c>
      <c r="H49" s="20" t="str">
        <f t="shared" si="3"/>
        <v>-</v>
      </c>
      <c r="I49" s="20" t="str">
        <f t="shared" si="4"/>
        <v>ー</v>
      </c>
      <c r="J49" s="20" t="str">
        <f t="shared" si="5"/>
        <v>庄内町</v>
      </c>
      <c r="K49" s="31" t="str">
        <f t="shared" si="6"/>
        <v>99999857001関連</v>
      </c>
      <c r="L49" s="23" t="str">
        <f t="shared" si="7"/>
        <v/>
      </c>
      <c r="M49" cm="1">
        <f t="array" ref="M49">IF(COUNT(INDEX(FIND(ROW($1:$10)-1,K49),)),VALUE(MID(K49,MIN(SEARCH({1,2,3,4,5,6,7,8,9,0},K49&amp;1234567890)),LEN(K49)-(LENB(K49)-LEN(K49)))),"")</f>
        <v>99999857001</v>
      </c>
      <c r="N49">
        <f>IF(L49&lt;&gt;"○",M49,INDEX(G$4:G48,MATCH(L49&amp;M49,F$4:F48,0)))</f>
        <v>99999857001</v>
      </c>
      <c r="O49" t="str">
        <f t="shared" si="8"/>
        <v>関連</v>
      </c>
      <c r="Q49" s="4">
        <v>44910</v>
      </c>
      <c r="S49" t="str">
        <f t="shared" si="11"/>
        <v>99999857005</v>
      </c>
      <c r="T49" t="s">
        <v>50</v>
      </c>
      <c r="U49" t="s">
        <v>50</v>
      </c>
      <c r="V49" t="s">
        <v>447</v>
      </c>
      <c r="AB49" t="str">
        <f t="shared" si="12"/>
        <v>99999857001関連</v>
      </c>
    </row>
    <row r="50" spans="2:28" x14ac:dyDescent="0.4">
      <c r="B50" t="s">
        <v>21</v>
      </c>
      <c r="C50">
        <f>IF(G50="","",MAX(C$4:C49)+1)</f>
        <v>40</v>
      </c>
      <c r="D50">
        <f>IF(AND(N50=""),"",MAX(D$4:D49)+1)</f>
        <v>40</v>
      </c>
      <c r="F50" s="26" t="str">
        <f t="shared" si="1"/>
        <v>99999857006</v>
      </c>
      <c r="G50" s="29">
        <f t="shared" si="2"/>
        <v>99999857006</v>
      </c>
      <c r="H50" s="20" t="str">
        <f t="shared" si="3"/>
        <v>-</v>
      </c>
      <c r="I50" s="20" t="str">
        <f t="shared" si="4"/>
        <v>ー</v>
      </c>
      <c r="J50" s="20" t="str">
        <f t="shared" si="5"/>
        <v>庄内町</v>
      </c>
      <c r="K50" s="31" t="str">
        <f t="shared" si="6"/>
        <v>99999857001関連</v>
      </c>
      <c r="L50" s="23" t="str">
        <f t="shared" si="7"/>
        <v/>
      </c>
      <c r="M50" cm="1">
        <f t="array" ref="M50">IF(COUNT(INDEX(FIND(ROW($1:$10)-1,K50),)),VALUE(MID(K50,MIN(SEARCH({1,2,3,4,5,6,7,8,9,0},K50&amp;1234567890)),LEN(K50)-(LENB(K50)-LEN(K50)))),"")</f>
        <v>99999857001</v>
      </c>
      <c r="N50">
        <f>IF(L50&lt;&gt;"○",M50,INDEX(G$4:G49,MATCH(L50&amp;M50,F$4:F49,0)))</f>
        <v>99999857001</v>
      </c>
      <c r="O50" t="str">
        <f t="shared" si="8"/>
        <v>関連</v>
      </c>
      <c r="Q50" s="4">
        <v>44910</v>
      </c>
      <c r="S50" t="str">
        <f t="shared" si="11"/>
        <v>99999857006</v>
      </c>
      <c r="T50" t="s">
        <v>50</v>
      </c>
      <c r="U50" t="s">
        <v>50</v>
      </c>
      <c r="V50" t="s">
        <v>447</v>
      </c>
      <c r="AB50" t="str">
        <f t="shared" si="12"/>
        <v>99999857001関連</v>
      </c>
    </row>
    <row r="51" spans="2:28" x14ac:dyDescent="0.4">
      <c r="B51" t="s">
        <v>21</v>
      </c>
      <c r="C51">
        <f>IF(G51="","",MAX(C$4:C50)+1)</f>
        <v>41</v>
      </c>
      <c r="D51">
        <f>IF(AND(N51=""),"",MAX(D$4:D50)+1)</f>
        <v>41</v>
      </c>
      <c r="F51" s="26" t="str">
        <f t="shared" si="1"/>
        <v>99999857007</v>
      </c>
      <c r="G51" s="29">
        <f t="shared" si="2"/>
        <v>99999857007</v>
      </c>
      <c r="H51" s="20" t="str">
        <f t="shared" si="3"/>
        <v>-</v>
      </c>
      <c r="I51" s="20" t="str">
        <f t="shared" si="4"/>
        <v>ー</v>
      </c>
      <c r="J51" s="20" t="str">
        <f t="shared" si="5"/>
        <v>庄内町</v>
      </c>
      <c r="K51" s="31" t="str">
        <f t="shared" si="6"/>
        <v>99999857001関連</v>
      </c>
      <c r="L51" s="23" t="str">
        <f t="shared" si="7"/>
        <v/>
      </c>
      <c r="M51" cm="1">
        <f t="array" ref="M51">IF(COUNT(INDEX(FIND(ROW($1:$10)-1,K51),)),VALUE(MID(K51,MIN(SEARCH({1,2,3,4,5,6,7,8,9,0},K51&amp;1234567890)),LEN(K51)-(LENB(K51)-LEN(K51)))),"")</f>
        <v>99999857001</v>
      </c>
      <c r="N51">
        <f>IF(L51&lt;&gt;"○",M51,INDEX(G$4:G50,MATCH(L51&amp;M51,F$4:F50,0)))</f>
        <v>99999857001</v>
      </c>
      <c r="O51" t="str">
        <f t="shared" si="8"/>
        <v>関連</v>
      </c>
      <c r="Q51" s="4">
        <v>44910</v>
      </c>
      <c r="S51" t="str">
        <f t="shared" si="11"/>
        <v>99999857007</v>
      </c>
      <c r="T51" t="s">
        <v>50</v>
      </c>
      <c r="U51" t="s">
        <v>50</v>
      </c>
      <c r="V51" t="s">
        <v>447</v>
      </c>
      <c r="AB51" t="str">
        <f t="shared" si="12"/>
        <v>99999857001関連</v>
      </c>
    </row>
    <row r="52" spans="2:28" x14ac:dyDescent="0.4">
      <c r="B52" t="s">
        <v>21</v>
      </c>
      <c r="C52">
        <f>IF(G52="","",MAX(C$4:C51)+1)</f>
        <v>42</v>
      </c>
      <c r="D52">
        <f>IF(AND(N52=""),"",MAX(D$4:D51)+1)</f>
        <v>42</v>
      </c>
      <c r="F52" s="26" t="str">
        <f t="shared" si="1"/>
        <v>99999857008</v>
      </c>
      <c r="G52" s="29">
        <f t="shared" si="2"/>
        <v>99999857008</v>
      </c>
      <c r="H52" s="20" t="str">
        <f t="shared" si="3"/>
        <v>-</v>
      </c>
      <c r="I52" s="20" t="str">
        <f t="shared" si="4"/>
        <v>ー</v>
      </c>
      <c r="J52" s="20" t="str">
        <f t="shared" si="5"/>
        <v>庄内町</v>
      </c>
      <c r="K52" s="31" t="str">
        <f t="shared" si="6"/>
        <v>99999857001関連</v>
      </c>
      <c r="L52" s="23" t="str">
        <f t="shared" si="7"/>
        <v/>
      </c>
      <c r="M52" cm="1">
        <f t="array" ref="M52">IF(COUNT(INDEX(FIND(ROW($1:$10)-1,K52),)),VALUE(MID(K52,MIN(SEARCH({1,2,3,4,5,6,7,8,9,0},K52&amp;1234567890)),LEN(K52)-(LENB(K52)-LEN(K52)))),"")</f>
        <v>99999857001</v>
      </c>
      <c r="N52">
        <f>IF(L52&lt;&gt;"○",M52,INDEX(G$4:G51,MATCH(L52&amp;M52,F$4:F51,0)))</f>
        <v>99999857001</v>
      </c>
      <c r="O52" t="str">
        <f t="shared" si="8"/>
        <v>関連</v>
      </c>
      <c r="Q52" s="4">
        <v>44910</v>
      </c>
      <c r="S52" t="str">
        <f t="shared" si="11"/>
        <v>99999857008</v>
      </c>
      <c r="T52" t="s">
        <v>50</v>
      </c>
      <c r="U52" t="s">
        <v>50</v>
      </c>
      <c r="V52" t="s">
        <v>447</v>
      </c>
      <c r="AB52" t="str">
        <f t="shared" si="12"/>
        <v>99999857001関連</v>
      </c>
    </row>
    <row r="53" spans="2:28" x14ac:dyDescent="0.4">
      <c r="B53" t="s">
        <v>21</v>
      </c>
      <c r="C53">
        <f>IF(G53="","",MAX(C$4:C52)+1)</f>
        <v>43</v>
      </c>
      <c r="D53">
        <f>IF(AND(N53=""),"",MAX(D$4:D52)+1)</f>
        <v>43</v>
      </c>
      <c r="F53" s="26" t="str">
        <f t="shared" si="1"/>
        <v>99999857009</v>
      </c>
      <c r="G53" s="29">
        <f t="shared" si="2"/>
        <v>99999857009</v>
      </c>
      <c r="H53" s="20" t="str">
        <f t="shared" si="3"/>
        <v>-</v>
      </c>
      <c r="I53" s="20" t="str">
        <f t="shared" si="4"/>
        <v>ー</v>
      </c>
      <c r="J53" s="20" t="str">
        <f t="shared" si="5"/>
        <v>庄内町</v>
      </c>
      <c r="K53" s="31" t="str">
        <f t="shared" si="6"/>
        <v>99999857001関連</v>
      </c>
      <c r="L53" s="23" t="str">
        <f t="shared" si="7"/>
        <v/>
      </c>
      <c r="M53" cm="1">
        <f t="array" ref="M53">IF(COUNT(INDEX(FIND(ROW($1:$10)-1,K53),)),VALUE(MID(K53,MIN(SEARCH({1,2,3,4,5,6,7,8,9,0},K53&amp;1234567890)),LEN(K53)-(LENB(K53)-LEN(K53)))),"")</f>
        <v>99999857001</v>
      </c>
      <c r="N53">
        <f>IF(L53&lt;&gt;"○",M53,INDEX(G$4:G52,MATCH(L53&amp;M53,F$4:F52,0)))</f>
        <v>99999857001</v>
      </c>
      <c r="O53" t="str">
        <f t="shared" si="8"/>
        <v>関連</v>
      </c>
      <c r="Q53" s="4">
        <v>44910</v>
      </c>
      <c r="S53" t="str">
        <f t="shared" si="11"/>
        <v>99999857009</v>
      </c>
      <c r="T53" t="s">
        <v>50</v>
      </c>
      <c r="U53" t="s">
        <v>50</v>
      </c>
      <c r="V53" t="s">
        <v>447</v>
      </c>
      <c r="AB53" t="str">
        <f t="shared" si="12"/>
        <v>99999857001関連</v>
      </c>
    </row>
    <row r="54" spans="2:28" x14ac:dyDescent="0.4">
      <c r="B54" t="s">
        <v>21</v>
      </c>
      <c r="C54">
        <f>IF(G54="","",MAX(C$4:C53)+1)</f>
        <v>44</v>
      </c>
      <c r="D54">
        <f>IF(AND(N54=""),"",MAX(D$4:D53)+1)</f>
        <v>44</v>
      </c>
      <c r="F54" s="26" t="str">
        <f t="shared" si="1"/>
        <v>99999857010</v>
      </c>
      <c r="G54" s="29">
        <f t="shared" si="2"/>
        <v>99999857010</v>
      </c>
      <c r="H54" s="20" t="str">
        <f t="shared" si="3"/>
        <v>-</v>
      </c>
      <c r="I54" s="20" t="str">
        <f t="shared" si="4"/>
        <v>ー</v>
      </c>
      <c r="J54" s="20" t="str">
        <f t="shared" si="5"/>
        <v>庄内町</v>
      </c>
      <c r="K54" s="31" t="str">
        <f t="shared" si="6"/>
        <v>99999857001関連</v>
      </c>
      <c r="L54" s="23" t="str">
        <f t="shared" si="7"/>
        <v/>
      </c>
      <c r="M54" cm="1">
        <f t="array" ref="M54">IF(COUNT(INDEX(FIND(ROW($1:$10)-1,K54),)),VALUE(MID(K54,MIN(SEARCH({1,2,3,4,5,6,7,8,9,0},K54&amp;1234567890)),LEN(K54)-(LENB(K54)-LEN(K54)))),"")</f>
        <v>99999857001</v>
      </c>
      <c r="N54">
        <f>IF(L54&lt;&gt;"○",M54,INDEX(G$4:G53,MATCH(L54&amp;M54,F$4:F53,0)))</f>
        <v>99999857001</v>
      </c>
      <c r="O54" t="str">
        <f t="shared" si="8"/>
        <v>関連</v>
      </c>
      <c r="Q54" s="4">
        <v>44910</v>
      </c>
      <c r="S54" t="str">
        <f t="shared" si="11"/>
        <v>99999857010</v>
      </c>
      <c r="T54" t="s">
        <v>50</v>
      </c>
      <c r="U54" t="s">
        <v>50</v>
      </c>
      <c r="V54" t="s">
        <v>447</v>
      </c>
      <c r="AB54" t="str">
        <f t="shared" si="12"/>
        <v>99999857001関連</v>
      </c>
    </row>
    <row r="55" spans="2:28" x14ac:dyDescent="0.4">
      <c r="B55" t="s">
        <v>21</v>
      </c>
      <c r="C55">
        <f>IF(G55="","",MAX(C$4:C54)+1)</f>
        <v>45</v>
      </c>
      <c r="D55">
        <f>IF(AND(N55=""),"",MAX(D$4:D54)+1)</f>
        <v>45</v>
      </c>
      <c r="F55" s="26" t="str">
        <f t="shared" si="1"/>
        <v>99999857011</v>
      </c>
      <c r="G55" s="29">
        <f t="shared" si="2"/>
        <v>99999857011</v>
      </c>
      <c r="H55" s="20" t="str">
        <f t="shared" si="3"/>
        <v>-</v>
      </c>
      <c r="I55" s="20" t="str">
        <f t="shared" si="4"/>
        <v>ー</v>
      </c>
      <c r="J55" s="20" t="str">
        <f t="shared" si="5"/>
        <v>庄内町</v>
      </c>
      <c r="K55" s="31" t="str">
        <f t="shared" si="6"/>
        <v>99999857001関連</v>
      </c>
      <c r="L55" s="23" t="str">
        <f t="shared" si="7"/>
        <v/>
      </c>
      <c r="M55" cm="1">
        <f t="array" ref="M55">IF(COUNT(INDEX(FIND(ROW($1:$10)-1,K55),)),VALUE(MID(K55,MIN(SEARCH({1,2,3,4,5,6,7,8,9,0},K55&amp;1234567890)),LEN(K55)-(LENB(K55)-LEN(K55)))),"")</f>
        <v>99999857001</v>
      </c>
      <c r="N55">
        <f>IF(L55&lt;&gt;"○",M55,INDEX(G$4:G54,MATCH(L55&amp;M55,F$4:F54,0)))</f>
        <v>99999857001</v>
      </c>
      <c r="O55" t="str">
        <f t="shared" si="8"/>
        <v>関連</v>
      </c>
      <c r="Q55" s="4">
        <v>44910</v>
      </c>
      <c r="S55" t="str">
        <f t="shared" si="11"/>
        <v>99999857011</v>
      </c>
      <c r="T55" t="s">
        <v>50</v>
      </c>
      <c r="U55" t="s">
        <v>50</v>
      </c>
      <c r="V55" t="s">
        <v>447</v>
      </c>
      <c r="AB55" t="str">
        <f t="shared" si="12"/>
        <v>99999857001関連</v>
      </c>
    </row>
    <row r="56" spans="2:28" x14ac:dyDescent="0.4">
      <c r="B56" t="s">
        <v>21</v>
      </c>
      <c r="C56">
        <f>IF(G56="","",MAX(C$4:C55)+1)</f>
        <v>46</v>
      </c>
      <c r="D56">
        <f>IF(AND(N56=""),"",MAX(D$4:D55)+1)</f>
        <v>46</v>
      </c>
      <c r="F56" s="26" t="str">
        <f t="shared" si="1"/>
        <v>99999857012</v>
      </c>
      <c r="G56" s="29">
        <f t="shared" si="2"/>
        <v>99999857012</v>
      </c>
      <c r="H56" s="20" t="str">
        <f t="shared" si="3"/>
        <v>-</v>
      </c>
      <c r="I56" s="20" t="str">
        <f t="shared" si="4"/>
        <v>ー</v>
      </c>
      <c r="J56" s="20" t="str">
        <f t="shared" si="5"/>
        <v>庄内町</v>
      </c>
      <c r="K56" s="31" t="str">
        <f t="shared" si="6"/>
        <v>99999857001関連</v>
      </c>
      <c r="L56" s="23" t="str">
        <f t="shared" si="7"/>
        <v/>
      </c>
      <c r="M56" cm="1">
        <f t="array" ref="M56">IF(COUNT(INDEX(FIND(ROW($1:$10)-1,K56),)),VALUE(MID(K56,MIN(SEARCH({1,2,3,4,5,6,7,8,9,0},K56&amp;1234567890)),LEN(K56)-(LENB(K56)-LEN(K56)))),"")</f>
        <v>99999857001</v>
      </c>
      <c r="N56">
        <f>IF(L56&lt;&gt;"○",M56,INDEX(G$4:G55,MATCH(L56&amp;M56,F$4:F55,0)))</f>
        <v>99999857001</v>
      </c>
      <c r="O56" t="str">
        <f t="shared" si="8"/>
        <v>関連</v>
      </c>
      <c r="Q56" s="4">
        <v>44910</v>
      </c>
      <c r="S56" t="str">
        <f t="shared" si="11"/>
        <v>99999857012</v>
      </c>
      <c r="T56" t="s">
        <v>50</v>
      </c>
      <c r="U56" t="s">
        <v>50</v>
      </c>
      <c r="V56" t="s">
        <v>447</v>
      </c>
      <c r="AB56" t="str">
        <f t="shared" si="12"/>
        <v>99999857001関連</v>
      </c>
    </row>
    <row r="57" spans="2:28" x14ac:dyDescent="0.4">
      <c r="B57" t="s">
        <v>21</v>
      </c>
      <c r="C57">
        <f>IF(G57="","",MAX(C$4:C56)+1)</f>
        <v>47</v>
      </c>
      <c r="D57">
        <f>IF(AND(N57=""),"",MAX(D$4:D56)+1)</f>
        <v>47</v>
      </c>
      <c r="F57" s="26" t="str">
        <f t="shared" si="1"/>
        <v>99999857013</v>
      </c>
      <c r="G57" s="29">
        <f t="shared" si="2"/>
        <v>99999857013</v>
      </c>
      <c r="H57" s="20" t="str">
        <f t="shared" si="3"/>
        <v>-</v>
      </c>
      <c r="I57" s="20" t="str">
        <f t="shared" si="4"/>
        <v>ー</v>
      </c>
      <c r="J57" s="20" t="str">
        <f t="shared" si="5"/>
        <v>庄内町</v>
      </c>
      <c r="K57" s="31" t="str">
        <f t="shared" si="6"/>
        <v>99999857001関連</v>
      </c>
      <c r="L57" s="23" t="str">
        <f t="shared" si="7"/>
        <v/>
      </c>
      <c r="M57" cm="1">
        <f t="array" ref="M57">IF(COUNT(INDEX(FIND(ROW($1:$10)-1,K57),)),VALUE(MID(K57,MIN(SEARCH({1,2,3,4,5,6,7,8,9,0},K57&amp;1234567890)),LEN(K57)-(LENB(K57)-LEN(K57)))),"")</f>
        <v>99999857001</v>
      </c>
      <c r="N57">
        <f>IF(L57&lt;&gt;"○",M57,INDEX(G$4:G56,MATCH(L57&amp;M57,F$4:F56,0)))</f>
        <v>99999857001</v>
      </c>
      <c r="O57" t="str">
        <f t="shared" si="8"/>
        <v>関連</v>
      </c>
      <c r="Q57" s="4">
        <v>44910</v>
      </c>
      <c r="S57" t="str">
        <f t="shared" si="11"/>
        <v>99999857013</v>
      </c>
      <c r="T57" t="s">
        <v>50</v>
      </c>
      <c r="U57" t="s">
        <v>50</v>
      </c>
      <c r="V57" t="s">
        <v>447</v>
      </c>
      <c r="AB57" t="str">
        <f t="shared" si="12"/>
        <v>99999857001関連</v>
      </c>
    </row>
    <row r="58" spans="2:28" x14ac:dyDescent="0.4">
      <c r="B58" t="s">
        <v>21</v>
      </c>
      <c r="C58">
        <f>IF(G58="","",MAX(C$4:C57)+1)</f>
        <v>48</v>
      </c>
      <c r="D58">
        <f>IF(AND(N58=""),"",MAX(D$4:D57)+1)</f>
        <v>48</v>
      </c>
      <c r="F58" s="26" t="str">
        <f t="shared" si="1"/>
        <v>99999857014</v>
      </c>
      <c r="G58" s="29">
        <f t="shared" si="2"/>
        <v>99999857014</v>
      </c>
      <c r="H58" s="20" t="str">
        <f t="shared" si="3"/>
        <v>-</v>
      </c>
      <c r="I58" s="20" t="str">
        <f t="shared" si="4"/>
        <v>ー</v>
      </c>
      <c r="J58" s="20" t="str">
        <f t="shared" si="5"/>
        <v>庄内町</v>
      </c>
      <c r="K58" s="31" t="str">
        <f t="shared" si="6"/>
        <v>99999857001関連</v>
      </c>
      <c r="L58" s="23" t="str">
        <f t="shared" si="7"/>
        <v/>
      </c>
      <c r="M58" cm="1">
        <f t="array" ref="M58">IF(COUNT(INDEX(FIND(ROW($1:$10)-1,K58),)),VALUE(MID(K58,MIN(SEARCH({1,2,3,4,5,6,7,8,9,0},K58&amp;1234567890)),LEN(K58)-(LENB(K58)-LEN(K58)))),"")</f>
        <v>99999857001</v>
      </c>
      <c r="N58">
        <f>IF(L58&lt;&gt;"○",M58,INDEX(G$4:G57,MATCH(L58&amp;M58,F$4:F57,0)))</f>
        <v>99999857001</v>
      </c>
      <c r="O58" t="str">
        <f t="shared" si="8"/>
        <v>関連</v>
      </c>
      <c r="Q58" s="4">
        <v>44910</v>
      </c>
      <c r="S58" t="str">
        <f t="shared" si="11"/>
        <v>99999857014</v>
      </c>
      <c r="T58" t="s">
        <v>50</v>
      </c>
      <c r="U58" t="s">
        <v>50</v>
      </c>
      <c r="V58" t="s">
        <v>447</v>
      </c>
      <c r="AB58" t="str">
        <f t="shared" si="12"/>
        <v>99999857001関連</v>
      </c>
    </row>
    <row r="59" spans="2:28" x14ac:dyDescent="0.4">
      <c r="B59" t="s">
        <v>21</v>
      </c>
      <c r="C59">
        <f>IF(G59="","",MAX(C$4:C58)+1)</f>
        <v>49</v>
      </c>
      <c r="D59">
        <f>IF(AND(N59=""),"",MAX(D$4:D58)+1)</f>
        <v>49</v>
      </c>
      <c r="F59" s="26" t="str">
        <f t="shared" si="1"/>
        <v>99999857015</v>
      </c>
      <c r="G59" s="29">
        <f t="shared" si="2"/>
        <v>99999857015</v>
      </c>
      <c r="H59" s="20" t="str">
        <f t="shared" si="3"/>
        <v>-</v>
      </c>
      <c r="I59" s="20" t="str">
        <f t="shared" si="4"/>
        <v>ー</v>
      </c>
      <c r="J59" s="20" t="str">
        <f t="shared" si="5"/>
        <v>庄内町</v>
      </c>
      <c r="K59" s="31" t="str">
        <f t="shared" si="6"/>
        <v>99999857001関連</v>
      </c>
      <c r="L59" s="23" t="str">
        <f t="shared" si="7"/>
        <v/>
      </c>
      <c r="M59" cm="1">
        <f t="array" ref="M59">IF(COUNT(INDEX(FIND(ROW($1:$10)-1,K59),)),VALUE(MID(K59,MIN(SEARCH({1,2,3,4,5,6,7,8,9,0},K59&amp;1234567890)),LEN(K59)-(LENB(K59)-LEN(K59)))),"")</f>
        <v>99999857001</v>
      </c>
      <c r="N59">
        <f>IF(L59&lt;&gt;"○",M59,INDEX(G$4:G58,MATCH(L59&amp;M59,F$4:F58,0)))</f>
        <v>99999857001</v>
      </c>
      <c r="O59" t="str">
        <f t="shared" si="8"/>
        <v>関連</v>
      </c>
      <c r="Q59" s="4">
        <v>44910</v>
      </c>
      <c r="S59" t="str">
        <f t="shared" si="11"/>
        <v>99999857015</v>
      </c>
      <c r="T59" t="s">
        <v>50</v>
      </c>
      <c r="U59" t="s">
        <v>50</v>
      </c>
      <c r="V59" t="s">
        <v>447</v>
      </c>
      <c r="AB59" t="str">
        <f t="shared" si="12"/>
        <v>99999857001関連</v>
      </c>
    </row>
    <row r="60" spans="2:28" x14ac:dyDescent="0.4">
      <c r="B60" t="s">
        <v>21</v>
      </c>
      <c r="C60">
        <f>IF(G60="","",MAX(C$4:C59)+1)</f>
        <v>50</v>
      </c>
      <c r="D60">
        <f>IF(AND(N60=""),"",MAX(D$4:D59)+1)</f>
        <v>50</v>
      </c>
      <c r="F60" s="26" t="str">
        <f t="shared" si="1"/>
        <v>99999857016</v>
      </c>
      <c r="G60" s="29">
        <f t="shared" si="2"/>
        <v>99999857016</v>
      </c>
      <c r="H60" s="20" t="str">
        <f t="shared" si="3"/>
        <v>-</v>
      </c>
      <c r="I60" s="20" t="str">
        <f t="shared" si="4"/>
        <v>ー</v>
      </c>
      <c r="J60" s="20" t="str">
        <f t="shared" si="5"/>
        <v>庄内町</v>
      </c>
      <c r="K60" s="31" t="str">
        <f t="shared" si="6"/>
        <v>99999857001関連</v>
      </c>
      <c r="L60" s="23" t="str">
        <f t="shared" si="7"/>
        <v/>
      </c>
      <c r="M60" cm="1">
        <f t="array" ref="M60">IF(COUNT(INDEX(FIND(ROW($1:$10)-1,K60),)),VALUE(MID(K60,MIN(SEARCH({1,2,3,4,5,6,7,8,9,0},K60&amp;1234567890)),LEN(K60)-(LENB(K60)-LEN(K60)))),"")</f>
        <v>99999857001</v>
      </c>
      <c r="N60">
        <f>IF(L60&lt;&gt;"○",M60,INDEX(G$4:G59,MATCH(L60&amp;M60,F$4:F59,0)))</f>
        <v>99999857001</v>
      </c>
      <c r="O60" t="str">
        <f t="shared" si="8"/>
        <v>関連</v>
      </c>
      <c r="Q60" s="4">
        <v>44910</v>
      </c>
      <c r="S60" t="str">
        <f t="shared" si="11"/>
        <v>99999857016</v>
      </c>
      <c r="T60" t="s">
        <v>50</v>
      </c>
      <c r="U60" t="s">
        <v>50</v>
      </c>
      <c r="V60" t="s">
        <v>447</v>
      </c>
      <c r="AB60" t="str">
        <f t="shared" si="12"/>
        <v>99999857001関連</v>
      </c>
    </row>
    <row r="61" spans="2:28" x14ac:dyDescent="0.4">
      <c r="B61" t="s">
        <v>21</v>
      </c>
      <c r="C61">
        <f>IF(G61="","",MAX(C$4:C60)+1)</f>
        <v>51</v>
      </c>
      <c r="D61">
        <f>IF(AND(N61=""),"",MAX(D$4:D60)+1)</f>
        <v>51</v>
      </c>
      <c r="F61" s="26" t="str">
        <f t="shared" si="1"/>
        <v>99999857017</v>
      </c>
      <c r="G61" s="29">
        <f t="shared" si="2"/>
        <v>99999857017</v>
      </c>
      <c r="H61" s="20" t="str">
        <f t="shared" si="3"/>
        <v>-</v>
      </c>
      <c r="I61" s="20" t="str">
        <f t="shared" si="4"/>
        <v>ー</v>
      </c>
      <c r="J61" s="20" t="str">
        <f t="shared" si="5"/>
        <v>庄内町</v>
      </c>
      <c r="K61" s="31" t="str">
        <f t="shared" si="6"/>
        <v>99999857001関連</v>
      </c>
      <c r="L61" s="23" t="str">
        <f t="shared" si="7"/>
        <v/>
      </c>
      <c r="M61" cm="1">
        <f t="array" ref="M61">IF(COUNT(INDEX(FIND(ROW($1:$10)-1,K61),)),VALUE(MID(K61,MIN(SEARCH({1,2,3,4,5,6,7,8,9,0},K61&amp;1234567890)),LEN(K61)-(LENB(K61)-LEN(K61)))),"")</f>
        <v>99999857001</v>
      </c>
      <c r="N61">
        <f>IF(L61&lt;&gt;"○",M61,INDEX(G$4:G60,MATCH(L61&amp;M61,F$4:F60,0)))</f>
        <v>99999857001</v>
      </c>
      <c r="O61" t="str">
        <f t="shared" si="8"/>
        <v>関連</v>
      </c>
      <c r="Q61" s="4">
        <v>44910</v>
      </c>
      <c r="S61" t="str">
        <f t="shared" si="11"/>
        <v>99999857017</v>
      </c>
      <c r="T61" t="s">
        <v>50</v>
      </c>
      <c r="U61" t="s">
        <v>50</v>
      </c>
      <c r="V61" t="s">
        <v>447</v>
      </c>
      <c r="AB61" t="str">
        <f t="shared" si="12"/>
        <v>99999857001関連</v>
      </c>
    </row>
    <row r="62" spans="2:28" x14ac:dyDescent="0.4">
      <c r="B62" t="s">
        <v>21</v>
      </c>
      <c r="C62">
        <f>IF(G62="","",MAX(C$4:C61)+1)</f>
        <v>52</v>
      </c>
      <c r="D62">
        <f>IF(AND(N62=""),"",MAX(D$4:D61)+1)</f>
        <v>52</v>
      </c>
      <c r="F62" s="26" t="str">
        <f t="shared" si="1"/>
        <v>99999857018</v>
      </c>
      <c r="G62" s="29">
        <f t="shared" si="2"/>
        <v>99999857018</v>
      </c>
      <c r="H62" s="20" t="str">
        <f t="shared" si="3"/>
        <v>-</v>
      </c>
      <c r="I62" s="20" t="str">
        <f t="shared" si="4"/>
        <v>ー</v>
      </c>
      <c r="J62" s="20" t="str">
        <f t="shared" si="5"/>
        <v>庄内町</v>
      </c>
      <c r="K62" s="31" t="str">
        <f t="shared" si="6"/>
        <v>99999857001関連</v>
      </c>
      <c r="L62" s="23" t="str">
        <f t="shared" si="7"/>
        <v/>
      </c>
      <c r="M62" cm="1">
        <f t="array" ref="M62">IF(COUNT(INDEX(FIND(ROW($1:$10)-1,K62),)),VALUE(MID(K62,MIN(SEARCH({1,2,3,4,5,6,7,8,9,0},K62&amp;1234567890)),LEN(K62)-(LENB(K62)-LEN(K62)))),"")</f>
        <v>99999857001</v>
      </c>
      <c r="N62">
        <f>IF(L62&lt;&gt;"○",M62,INDEX(G$4:G61,MATCH(L62&amp;M62,F$4:F61,0)))</f>
        <v>99999857001</v>
      </c>
      <c r="O62" t="str">
        <f t="shared" si="8"/>
        <v>関連</v>
      </c>
      <c r="Q62" s="4">
        <v>44910</v>
      </c>
      <c r="S62" t="str">
        <f t="shared" si="11"/>
        <v>99999857018</v>
      </c>
      <c r="T62" t="s">
        <v>50</v>
      </c>
      <c r="U62" t="s">
        <v>50</v>
      </c>
      <c r="V62" t="s">
        <v>447</v>
      </c>
      <c r="AB62" t="str">
        <f t="shared" si="12"/>
        <v>99999857001関連</v>
      </c>
    </row>
    <row r="63" spans="2:28" x14ac:dyDescent="0.4">
      <c r="B63" t="s">
        <v>21</v>
      </c>
      <c r="C63">
        <f>IF(G63="","",MAX(C$4:C62)+1)</f>
        <v>53</v>
      </c>
      <c r="D63">
        <f>IF(AND(N63=""),"",MAX(D$4:D62)+1)</f>
        <v>53</v>
      </c>
      <c r="F63" s="26" t="str">
        <f t="shared" si="1"/>
        <v>99999857019</v>
      </c>
      <c r="G63" s="29">
        <f t="shared" si="2"/>
        <v>99999857019</v>
      </c>
      <c r="H63" s="20" t="str">
        <f t="shared" si="3"/>
        <v>-</v>
      </c>
      <c r="I63" s="20" t="str">
        <f t="shared" si="4"/>
        <v>ー</v>
      </c>
      <c r="J63" s="20" t="str">
        <f t="shared" si="5"/>
        <v>庄内町</v>
      </c>
      <c r="K63" s="31" t="str">
        <f t="shared" si="6"/>
        <v>99999857001関連</v>
      </c>
      <c r="L63" s="23" t="str">
        <f t="shared" si="7"/>
        <v/>
      </c>
      <c r="M63" cm="1">
        <f t="array" ref="M63">IF(COUNT(INDEX(FIND(ROW($1:$10)-1,K63),)),VALUE(MID(K63,MIN(SEARCH({1,2,3,4,5,6,7,8,9,0},K63&amp;1234567890)),LEN(K63)-(LENB(K63)-LEN(K63)))),"")</f>
        <v>99999857001</v>
      </c>
      <c r="N63">
        <f>IF(L63&lt;&gt;"○",M63,INDEX(G$4:G62,MATCH(L63&amp;M63,F$4:F62,0)))</f>
        <v>99999857001</v>
      </c>
      <c r="O63" t="str">
        <f t="shared" si="8"/>
        <v>関連</v>
      </c>
      <c r="Q63" s="4">
        <v>44910</v>
      </c>
      <c r="S63" t="str">
        <f t="shared" si="11"/>
        <v>99999857019</v>
      </c>
      <c r="T63" t="s">
        <v>50</v>
      </c>
      <c r="U63" t="s">
        <v>50</v>
      </c>
      <c r="V63" t="s">
        <v>447</v>
      </c>
      <c r="AB63" t="str">
        <f t="shared" si="12"/>
        <v>99999857001関連</v>
      </c>
    </row>
    <row r="64" spans="2:28" x14ac:dyDescent="0.4">
      <c r="B64" t="s">
        <v>21</v>
      </c>
      <c r="C64">
        <f>IF(G64="","",MAX(C$4:C63)+1)</f>
        <v>54</v>
      </c>
      <c r="D64">
        <f>IF(AND(N64=""),"",MAX(D$4:D63)+1)</f>
        <v>54</v>
      </c>
      <c r="F64" s="26" t="str">
        <f t="shared" si="1"/>
        <v>99999857020</v>
      </c>
      <c r="G64" s="29">
        <f t="shared" si="2"/>
        <v>99999857020</v>
      </c>
      <c r="H64" s="20" t="str">
        <f t="shared" si="3"/>
        <v>-</v>
      </c>
      <c r="I64" s="20" t="str">
        <f t="shared" si="4"/>
        <v>ー</v>
      </c>
      <c r="J64" s="20" t="str">
        <f t="shared" si="5"/>
        <v>庄内町</v>
      </c>
      <c r="K64" s="31" t="str">
        <f t="shared" si="6"/>
        <v>99999857001関連</v>
      </c>
      <c r="L64" s="23" t="str">
        <f t="shared" si="7"/>
        <v/>
      </c>
      <c r="M64" cm="1">
        <f t="array" ref="M64">IF(COUNT(INDEX(FIND(ROW($1:$10)-1,K64),)),VALUE(MID(K64,MIN(SEARCH({1,2,3,4,5,6,7,8,9,0},K64&amp;1234567890)),LEN(K64)-(LENB(K64)-LEN(K64)))),"")</f>
        <v>99999857001</v>
      </c>
      <c r="N64">
        <f>IF(L64&lt;&gt;"○",M64,INDEX(G$4:G63,MATCH(L64&amp;M64,F$4:F63,0)))</f>
        <v>99999857001</v>
      </c>
      <c r="O64" t="str">
        <f t="shared" si="8"/>
        <v>関連</v>
      </c>
      <c r="Q64" s="4">
        <v>44910</v>
      </c>
      <c r="S64" t="str">
        <f t="shared" si="11"/>
        <v>99999857020</v>
      </c>
      <c r="T64" t="s">
        <v>50</v>
      </c>
      <c r="U64" t="s">
        <v>50</v>
      </c>
      <c r="V64" t="s">
        <v>447</v>
      </c>
      <c r="AB64" t="str">
        <f t="shared" si="12"/>
        <v>99999857001関連</v>
      </c>
    </row>
    <row r="65" spans="2:28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28" x14ac:dyDescent="0.4">
      <c r="B66" t="s">
        <v>21</v>
      </c>
      <c r="C66">
        <f>IF(G66="","",MAX(C$4:C65)+1)</f>
        <v>55</v>
      </c>
      <c r="D66">
        <f>IF(AND(N66=""),"",MAX(D$4:D65)+1)</f>
        <v>55</v>
      </c>
      <c r="F66" s="26" t="str">
        <f t="shared" si="1"/>
        <v>99999858001</v>
      </c>
      <c r="G66" s="29">
        <f t="shared" si="2"/>
        <v>99999858001</v>
      </c>
      <c r="H66" s="20" t="str">
        <f t="shared" si="3"/>
        <v>-</v>
      </c>
      <c r="I66" s="20" t="str">
        <f t="shared" si="4"/>
        <v>ー</v>
      </c>
      <c r="J66" s="20" t="str">
        <f t="shared" si="5"/>
        <v>遊佐町</v>
      </c>
      <c r="K66" s="31" t="str">
        <f t="shared" si="6"/>
        <v>99999858001介護施設</v>
      </c>
      <c r="L66" s="23" t="str">
        <f t="shared" si="7"/>
        <v/>
      </c>
      <c r="M66" cm="1">
        <f t="array" ref="M66">IF(COUNT(INDEX(FIND(ROW($1:$10)-1,K66),)),VALUE(MID(K66,MIN(SEARCH({1,2,3,4,5,6,7,8,9,0},K66&amp;1234567890)),LEN(K66)-(LENB(K66)-LEN(K66)))),"")</f>
        <v>99999858001</v>
      </c>
      <c r="N66">
        <f>IF(L66&lt;&gt;"○",M66,INDEX(G$4:G65,MATCH(L66&amp;M66,F$4:F65,0)))</f>
        <v>99999858001</v>
      </c>
      <c r="O66" t="str">
        <f t="shared" si="8"/>
        <v>介護施設</v>
      </c>
      <c r="Q66" s="4">
        <v>44910</v>
      </c>
      <c r="S66" t="str">
        <f>$O$1&amp;
858&amp;
REPT("0",3-LEN(ROW($S1)))&amp;ROW($S1)</f>
        <v>99999858001</v>
      </c>
      <c r="T66" t="s">
        <v>50</v>
      </c>
      <c r="U66" t="s">
        <v>50</v>
      </c>
      <c r="V66" t="s">
        <v>448</v>
      </c>
      <c r="AB66" t="str">
        <f>$S$66&amp;"介護施設"</f>
        <v>99999858001介護施設</v>
      </c>
    </row>
    <row r="67" spans="2:28" x14ac:dyDescent="0.4">
      <c r="B67" t="s">
        <v>21</v>
      </c>
      <c r="C67">
        <f>IF(G67="","",MAX(C$4:C66)+1)</f>
        <v>56</v>
      </c>
      <c r="D67">
        <f>IF(AND(N67=""),"",MAX(D$4:D66)+1)</f>
        <v>56</v>
      </c>
      <c r="F67" s="26" t="str">
        <f t="shared" si="1"/>
        <v>99999858002</v>
      </c>
      <c r="G67" s="29">
        <f t="shared" si="2"/>
        <v>99999858002</v>
      </c>
      <c r="H67" s="20" t="str">
        <f t="shared" si="3"/>
        <v>-</v>
      </c>
      <c r="I67" s="20" t="str">
        <f t="shared" si="4"/>
        <v>ー</v>
      </c>
      <c r="J67" s="20" t="str">
        <f t="shared" si="5"/>
        <v>遊佐町</v>
      </c>
      <c r="K67" s="31" t="str">
        <f t="shared" si="6"/>
        <v>99999858001関連</v>
      </c>
      <c r="L67" s="23" t="str">
        <f t="shared" si="7"/>
        <v/>
      </c>
      <c r="M67" cm="1">
        <f t="array" ref="M67">IF(COUNT(INDEX(FIND(ROW($1:$10)-1,K67),)),VALUE(MID(K67,MIN(SEARCH({1,2,3,4,5,6,7,8,9,0},K67&amp;1234567890)),LEN(K67)-(LENB(K67)-LEN(K67)))),"")</f>
        <v>99999858001</v>
      </c>
      <c r="N67">
        <f>IF(L67&lt;&gt;"○",M67,INDEX(G$4:G66,MATCH(L67&amp;M67,F$4:F66,0)))</f>
        <v>99999858001</v>
      </c>
      <c r="O67" t="str">
        <f t="shared" si="8"/>
        <v>関連</v>
      </c>
      <c r="Q67" s="4">
        <v>44910</v>
      </c>
      <c r="S67" t="str">
        <f t="shared" ref="S67:S80" si="13">$O$1&amp;
858&amp;
REPT("0",3-LEN(ROW($S2)))&amp;ROW($S2)</f>
        <v>99999858002</v>
      </c>
      <c r="T67" t="s">
        <v>50</v>
      </c>
      <c r="U67" t="s">
        <v>50</v>
      </c>
      <c r="V67" t="s">
        <v>448</v>
      </c>
      <c r="AB67" t="str">
        <f>$S$66&amp;"関連"</f>
        <v>99999858001関連</v>
      </c>
    </row>
    <row r="68" spans="2:28" x14ac:dyDescent="0.4">
      <c r="B68" t="s">
        <v>21</v>
      </c>
      <c r="C68">
        <f>IF(G68="","",MAX(C$4:C67)+1)</f>
        <v>57</v>
      </c>
      <c r="D68">
        <f>IF(AND(N68=""),"",MAX(D$4:D67)+1)</f>
        <v>57</v>
      </c>
      <c r="F68" s="26" t="str">
        <f t="shared" si="1"/>
        <v>99999858003</v>
      </c>
      <c r="G68" s="29">
        <f t="shared" si="2"/>
        <v>99999858003</v>
      </c>
      <c r="H68" s="20" t="str">
        <f t="shared" si="3"/>
        <v>-</v>
      </c>
      <c r="I68" s="20" t="str">
        <f t="shared" si="4"/>
        <v>ー</v>
      </c>
      <c r="J68" s="20" t="str">
        <f t="shared" si="5"/>
        <v>遊佐町</v>
      </c>
      <c r="K68" s="31" t="str">
        <f t="shared" si="6"/>
        <v>99999858001関連</v>
      </c>
      <c r="L68" s="23" t="str">
        <f t="shared" si="7"/>
        <v/>
      </c>
      <c r="M68" cm="1">
        <f t="array" ref="M68">IF(COUNT(INDEX(FIND(ROW($1:$10)-1,K68),)),VALUE(MID(K68,MIN(SEARCH({1,2,3,4,5,6,7,8,9,0},K68&amp;1234567890)),LEN(K68)-(LENB(K68)-LEN(K68)))),"")</f>
        <v>99999858001</v>
      </c>
      <c r="N68">
        <f>IF(L68&lt;&gt;"○",M68,INDEX(G$4:G67,MATCH(L68&amp;M68,F$4:F67,0)))</f>
        <v>99999858001</v>
      </c>
      <c r="O68" t="str">
        <f t="shared" si="8"/>
        <v>関連</v>
      </c>
      <c r="Q68" s="4">
        <v>44910</v>
      </c>
      <c r="S68" t="str">
        <f t="shared" si="13"/>
        <v>99999858003</v>
      </c>
      <c r="T68" t="s">
        <v>50</v>
      </c>
      <c r="U68" t="s">
        <v>50</v>
      </c>
      <c r="V68" t="s">
        <v>448</v>
      </c>
      <c r="AB68" t="str">
        <f t="shared" ref="AB68:AB80" si="14">$S$66&amp;"関連"</f>
        <v>99999858001関連</v>
      </c>
    </row>
    <row r="69" spans="2:28" x14ac:dyDescent="0.4">
      <c r="B69" t="s">
        <v>21</v>
      </c>
      <c r="C69">
        <f>IF(G69="","",MAX(C$4:C68)+1)</f>
        <v>58</v>
      </c>
      <c r="D69">
        <f>IF(AND(N69=""),"",MAX(D$4:D68)+1)</f>
        <v>58</v>
      </c>
      <c r="F69" s="26" t="str">
        <f t="shared" si="1"/>
        <v>99999858004</v>
      </c>
      <c r="G69" s="29">
        <f t="shared" si="2"/>
        <v>99999858004</v>
      </c>
      <c r="H69" s="20" t="str">
        <f t="shared" si="3"/>
        <v>-</v>
      </c>
      <c r="I69" s="20" t="str">
        <f t="shared" si="4"/>
        <v>ー</v>
      </c>
      <c r="J69" s="20" t="str">
        <f t="shared" si="5"/>
        <v>遊佐町</v>
      </c>
      <c r="K69" s="31" t="str">
        <f t="shared" si="6"/>
        <v>99999858001関連</v>
      </c>
      <c r="L69" s="23" t="str">
        <f t="shared" si="7"/>
        <v/>
      </c>
      <c r="M69" cm="1">
        <f t="array" ref="M69">IF(COUNT(INDEX(FIND(ROW($1:$10)-1,K69),)),VALUE(MID(K69,MIN(SEARCH({1,2,3,4,5,6,7,8,9,0},K69&amp;1234567890)),LEN(K69)-(LENB(K69)-LEN(K69)))),"")</f>
        <v>99999858001</v>
      </c>
      <c r="N69">
        <f>IF(L69&lt;&gt;"○",M69,INDEX(G$4:G68,MATCH(L69&amp;M69,F$4:F68,0)))</f>
        <v>99999858001</v>
      </c>
      <c r="O69" t="str">
        <f t="shared" si="8"/>
        <v>関連</v>
      </c>
      <c r="Q69" s="4">
        <v>44910</v>
      </c>
      <c r="S69" t="str">
        <f t="shared" si="13"/>
        <v>99999858004</v>
      </c>
      <c r="T69" t="s">
        <v>50</v>
      </c>
      <c r="U69" t="s">
        <v>50</v>
      </c>
      <c r="V69" t="s">
        <v>448</v>
      </c>
      <c r="AB69" t="str">
        <f t="shared" si="14"/>
        <v>99999858001関連</v>
      </c>
    </row>
    <row r="70" spans="2:28" x14ac:dyDescent="0.4">
      <c r="B70" t="s">
        <v>21</v>
      </c>
      <c r="C70">
        <f>IF(G70="","",MAX(C$4:C69)+1)</f>
        <v>59</v>
      </c>
      <c r="D70">
        <f>IF(AND(N70=""),"",MAX(D$4:D69)+1)</f>
        <v>59</v>
      </c>
      <c r="F70" s="26" t="str">
        <f t="shared" si="1"/>
        <v>99999858005</v>
      </c>
      <c r="G70" s="29">
        <f t="shared" si="2"/>
        <v>99999858005</v>
      </c>
      <c r="H70" s="20" t="str">
        <f t="shared" si="3"/>
        <v>-</v>
      </c>
      <c r="I70" s="20" t="str">
        <f t="shared" si="4"/>
        <v>ー</v>
      </c>
      <c r="J70" s="20" t="str">
        <f t="shared" si="5"/>
        <v>遊佐町</v>
      </c>
      <c r="K70" s="31" t="str">
        <f t="shared" si="6"/>
        <v>99999858001関連</v>
      </c>
      <c r="L70" s="23" t="str">
        <f t="shared" si="7"/>
        <v/>
      </c>
      <c r="M70" cm="1">
        <f t="array" ref="M70">IF(COUNT(INDEX(FIND(ROW($1:$10)-1,K70),)),VALUE(MID(K70,MIN(SEARCH({1,2,3,4,5,6,7,8,9,0},K70&amp;1234567890)),LEN(K70)-(LENB(K70)-LEN(K70)))),"")</f>
        <v>99999858001</v>
      </c>
      <c r="N70">
        <f>IF(L70&lt;&gt;"○",M70,INDEX(G$4:G69,MATCH(L70&amp;M70,F$4:F69,0)))</f>
        <v>99999858001</v>
      </c>
      <c r="O70" t="str">
        <f t="shared" si="8"/>
        <v>関連</v>
      </c>
      <c r="Q70" s="4">
        <v>44910</v>
      </c>
      <c r="S70" t="str">
        <f t="shared" si="13"/>
        <v>99999858005</v>
      </c>
      <c r="T70" t="s">
        <v>50</v>
      </c>
      <c r="U70" t="s">
        <v>50</v>
      </c>
      <c r="V70" t="s">
        <v>448</v>
      </c>
      <c r="AB70" t="str">
        <f t="shared" si="14"/>
        <v>99999858001関連</v>
      </c>
    </row>
    <row r="71" spans="2:28" x14ac:dyDescent="0.4">
      <c r="B71" t="s">
        <v>21</v>
      </c>
      <c r="C71">
        <f>IF(G71="","",MAX(C$4:C70)+1)</f>
        <v>60</v>
      </c>
      <c r="D71">
        <f>IF(AND(N71=""),"",MAX(D$4:D70)+1)</f>
        <v>60</v>
      </c>
      <c r="F71" s="26" t="str">
        <f t="shared" si="1"/>
        <v>99999858006</v>
      </c>
      <c r="G71" s="29">
        <f t="shared" si="2"/>
        <v>99999858006</v>
      </c>
      <c r="H71" s="20" t="str">
        <f t="shared" si="3"/>
        <v>-</v>
      </c>
      <c r="I71" s="20" t="str">
        <f t="shared" si="4"/>
        <v>ー</v>
      </c>
      <c r="J71" s="20" t="str">
        <f t="shared" si="5"/>
        <v>遊佐町</v>
      </c>
      <c r="K71" s="31" t="str">
        <f t="shared" si="6"/>
        <v>99999858001関連</v>
      </c>
      <c r="L71" s="23" t="str">
        <f t="shared" si="7"/>
        <v/>
      </c>
      <c r="M71" cm="1">
        <f t="array" ref="M71">IF(COUNT(INDEX(FIND(ROW($1:$10)-1,K71),)),VALUE(MID(K71,MIN(SEARCH({1,2,3,4,5,6,7,8,9,0},K71&amp;1234567890)),LEN(K71)-(LENB(K71)-LEN(K71)))),"")</f>
        <v>99999858001</v>
      </c>
      <c r="N71">
        <f>IF(L71&lt;&gt;"○",M71,INDEX(G$4:G70,MATCH(L71&amp;M71,F$4:F70,0)))</f>
        <v>99999858001</v>
      </c>
      <c r="O71" t="str">
        <f t="shared" si="8"/>
        <v>関連</v>
      </c>
      <c r="Q71" s="4">
        <v>44910</v>
      </c>
      <c r="S71" t="str">
        <f t="shared" si="13"/>
        <v>99999858006</v>
      </c>
      <c r="T71" t="s">
        <v>50</v>
      </c>
      <c r="U71" t="s">
        <v>50</v>
      </c>
      <c r="V71" t="s">
        <v>448</v>
      </c>
      <c r="AB71" t="str">
        <f t="shared" si="14"/>
        <v>99999858001関連</v>
      </c>
    </row>
    <row r="72" spans="2:28" x14ac:dyDescent="0.4">
      <c r="B72" t="s">
        <v>21</v>
      </c>
      <c r="C72">
        <f>IF(G72="","",MAX(C$4:C71)+1)</f>
        <v>61</v>
      </c>
      <c r="D72">
        <f>IF(AND(N72=""),"",MAX(D$4:D71)+1)</f>
        <v>61</v>
      </c>
      <c r="F72" s="26" t="str">
        <f t="shared" si="1"/>
        <v>99999858007</v>
      </c>
      <c r="G72" s="29">
        <f t="shared" si="2"/>
        <v>99999858007</v>
      </c>
      <c r="H72" s="20" t="str">
        <f t="shared" si="3"/>
        <v>-</v>
      </c>
      <c r="I72" s="20" t="str">
        <f t="shared" si="4"/>
        <v>ー</v>
      </c>
      <c r="J72" s="20" t="str">
        <f t="shared" si="5"/>
        <v>遊佐町</v>
      </c>
      <c r="K72" s="31" t="str">
        <f t="shared" si="6"/>
        <v>99999858001関連</v>
      </c>
      <c r="L72" s="23" t="str">
        <f t="shared" si="7"/>
        <v/>
      </c>
      <c r="M72" cm="1">
        <f t="array" ref="M72">IF(COUNT(INDEX(FIND(ROW($1:$10)-1,K72),)),VALUE(MID(K72,MIN(SEARCH({1,2,3,4,5,6,7,8,9,0},K72&amp;1234567890)),LEN(K72)-(LENB(K72)-LEN(K72)))),"")</f>
        <v>99999858001</v>
      </c>
      <c r="N72">
        <f>IF(L72&lt;&gt;"○",M72,INDEX(G$4:G71,MATCH(L72&amp;M72,F$4:F71,0)))</f>
        <v>99999858001</v>
      </c>
      <c r="O72" t="str">
        <f t="shared" si="8"/>
        <v>関連</v>
      </c>
      <c r="Q72" s="4">
        <v>44910</v>
      </c>
      <c r="S72" t="str">
        <f t="shared" si="13"/>
        <v>99999858007</v>
      </c>
      <c r="T72" t="s">
        <v>50</v>
      </c>
      <c r="U72" t="s">
        <v>50</v>
      </c>
      <c r="V72" t="s">
        <v>448</v>
      </c>
      <c r="AB72" t="str">
        <f t="shared" si="14"/>
        <v>99999858001関連</v>
      </c>
    </row>
    <row r="73" spans="2:28" x14ac:dyDescent="0.4">
      <c r="B73" t="s">
        <v>21</v>
      </c>
      <c r="C73">
        <f>IF(G73="","",MAX(C$4:C72)+1)</f>
        <v>62</v>
      </c>
      <c r="D73">
        <f>IF(AND(N73=""),"",MAX(D$4:D72)+1)</f>
        <v>62</v>
      </c>
      <c r="F73" s="26" t="str">
        <f t="shared" ref="F73:F136" si="15">IF(G73&lt;&gt;"",R73&amp;S73,"")</f>
        <v>99999858008</v>
      </c>
      <c r="G73" s="29">
        <f t="shared" ref="G73:G136" si="16">IF(AND((S73 &lt;&gt; ""),(S73 &gt;= 0)), ABS(IF(OR((R73=""),(R73="　")), S73, T73)), "")</f>
        <v>99999858008</v>
      </c>
      <c r="H73" s="20" t="str">
        <f t="shared" ref="H73:H136" si="17">IF(OR((R73=""),(R73="　")),IF(G73 &lt;&gt; "", T73, ""),IF(G73 &lt;&gt; "", U73, ""))</f>
        <v>-</v>
      </c>
      <c r="I73" s="20" t="str">
        <f t="shared" ref="I73:I136" si="18">IF(G73 &lt;&gt; "", IF(COUNTIF(IF(OR((R73=""),(R73="　")), U73, V73),"*男*"),"男性",IF(COUNTIF(IF(OR((R73=""),(R73="　")), U73, V73),"*女*"),"女性","ー")),"")</f>
        <v>ー</v>
      </c>
      <c r="J73" s="20" t="str">
        <f t="shared" ref="J73:J136" si="19">IF(G73 &lt;&gt; "", IF(OR((R73=""),(R73="　")), V73, W73),"")</f>
        <v>遊佐町</v>
      </c>
      <c r="K73" s="31" t="str">
        <f t="shared" ref="K73:K136" si="20">SUBSTITUTE(IF(OR(G73 &lt;&gt; "",AA73&lt;&gt; "",AB73&lt;&gt; ""), IF(OR((R73=""),(R73="　")), IF(AB73&lt;&gt;"", AB73, ""), AA73), IF(AND((AA73 &lt;&gt; ""), (R73&lt;&gt;""), (R73&lt;&gt;"　")), AA73, ""))," ","")</f>
        <v>99999858001関連</v>
      </c>
      <c r="L73" s="23" t="str">
        <f t="shared" ref="L73:L136" si="21">IF(COUNTIF(K73,"*市*"),"○","")</f>
        <v/>
      </c>
      <c r="M73" cm="1">
        <f t="array" ref="M73">IF(COUNT(INDEX(FIND(ROW($1:$10)-1,K73),)),VALUE(MID(K73,MIN(SEARCH({1,2,3,4,5,6,7,8,9,0},K73&amp;1234567890)),LEN(K73)-(LENB(K73)-LEN(K73)))),"")</f>
        <v>99999858001</v>
      </c>
      <c r="N73">
        <f>IF(L73&lt;&gt;"○",M73,INDEX(G$4:G72,MATCH(L73&amp;M73,F$4:F72,0)))</f>
        <v>99999858001</v>
      </c>
      <c r="O73" t="str">
        <f t="shared" ref="O73:O136" si="22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>関連</v>
      </c>
      <c r="Q73" s="4">
        <v>44910</v>
      </c>
      <c r="S73" t="str">
        <f t="shared" si="13"/>
        <v>99999858008</v>
      </c>
      <c r="T73" t="s">
        <v>50</v>
      </c>
      <c r="U73" t="s">
        <v>50</v>
      </c>
      <c r="V73" t="s">
        <v>448</v>
      </c>
      <c r="AB73" t="str">
        <f t="shared" si="14"/>
        <v>99999858001関連</v>
      </c>
    </row>
    <row r="74" spans="2:28" x14ac:dyDescent="0.4">
      <c r="B74" t="s">
        <v>21</v>
      </c>
      <c r="C74">
        <f>IF(G74="","",MAX(C$4:C73)+1)</f>
        <v>63</v>
      </c>
      <c r="D74">
        <f>IF(AND(N74=""),"",MAX(D$4:D73)+1)</f>
        <v>63</v>
      </c>
      <c r="F74" s="26" t="str">
        <f t="shared" si="15"/>
        <v>99999858009</v>
      </c>
      <c r="G74" s="29">
        <f t="shared" si="16"/>
        <v>99999858009</v>
      </c>
      <c r="H74" s="20" t="str">
        <f t="shared" si="17"/>
        <v>-</v>
      </c>
      <c r="I74" s="20" t="str">
        <f t="shared" si="18"/>
        <v>ー</v>
      </c>
      <c r="J74" s="20" t="str">
        <f t="shared" si="19"/>
        <v>遊佐町</v>
      </c>
      <c r="K74" s="31" t="str">
        <f t="shared" si="20"/>
        <v>99999858001関連</v>
      </c>
      <c r="L74" s="23" t="str">
        <f t="shared" si="21"/>
        <v/>
      </c>
      <c r="M74" cm="1">
        <f t="array" ref="M74">IF(COUNT(INDEX(FIND(ROW($1:$10)-1,K74),)),VALUE(MID(K74,MIN(SEARCH({1,2,3,4,5,6,7,8,9,0},K74&amp;1234567890)),LEN(K74)-(LENB(K74)-LEN(K74)))),"")</f>
        <v>99999858001</v>
      </c>
      <c r="N74">
        <f>IF(L74&lt;&gt;"○",M74,INDEX(G$4:G73,MATCH(L74&amp;M74,F$4:F73,0)))</f>
        <v>99999858001</v>
      </c>
      <c r="O74" t="str">
        <f t="shared" si="22"/>
        <v>関連</v>
      </c>
      <c r="Q74" s="4">
        <v>44910</v>
      </c>
      <c r="S74" t="str">
        <f t="shared" si="13"/>
        <v>99999858009</v>
      </c>
      <c r="T74" t="s">
        <v>50</v>
      </c>
      <c r="U74" t="s">
        <v>50</v>
      </c>
      <c r="V74" t="s">
        <v>448</v>
      </c>
      <c r="AB74" t="str">
        <f t="shared" si="14"/>
        <v>99999858001関連</v>
      </c>
    </row>
    <row r="75" spans="2:28" x14ac:dyDescent="0.4">
      <c r="B75" t="s">
        <v>21</v>
      </c>
      <c r="C75">
        <f>IF(G75="","",MAX(C$4:C74)+1)</f>
        <v>64</v>
      </c>
      <c r="D75">
        <f>IF(AND(N75=""),"",MAX(D$4:D74)+1)</f>
        <v>64</v>
      </c>
      <c r="F75" s="26" t="str">
        <f t="shared" si="15"/>
        <v>99999858010</v>
      </c>
      <c r="G75" s="29">
        <f t="shared" si="16"/>
        <v>99999858010</v>
      </c>
      <c r="H75" s="20" t="str">
        <f t="shared" si="17"/>
        <v>-</v>
      </c>
      <c r="I75" s="20" t="str">
        <f t="shared" si="18"/>
        <v>ー</v>
      </c>
      <c r="J75" s="20" t="str">
        <f t="shared" si="19"/>
        <v>遊佐町</v>
      </c>
      <c r="K75" s="31" t="str">
        <f t="shared" si="20"/>
        <v>99999858001関連</v>
      </c>
      <c r="L75" s="23" t="str">
        <f t="shared" si="21"/>
        <v/>
      </c>
      <c r="M75" cm="1">
        <f t="array" ref="M75">IF(COUNT(INDEX(FIND(ROW($1:$10)-1,K75),)),VALUE(MID(K75,MIN(SEARCH({1,2,3,4,5,6,7,8,9,0},K75&amp;1234567890)),LEN(K75)-(LENB(K75)-LEN(K75)))),"")</f>
        <v>99999858001</v>
      </c>
      <c r="N75">
        <f>IF(L75&lt;&gt;"○",M75,INDEX(G$4:G74,MATCH(L75&amp;M75,F$4:F74,0)))</f>
        <v>99999858001</v>
      </c>
      <c r="O75" t="str">
        <f t="shared" si="22"/>
        <v>関連</v>
      </c>
      <c r="Q75" s="4">
        <v>44910</v>
      </c>
      <c r="S75" t="str">
        <f t="shared" si="13"/>
        <v>99999858010</v>
      </c>
      <c r="T75" t="s">
        <v>50</v>
      </c>
      <c r="U75" t="s">
        <v>50</v>
      </c>
      <c r="V75" t="s">
        <v>448</v>
      </c>
      <c r="AB75" t="str">
        <f t="shared" si="14"/>
        <v>99999858001関連</v>
      </c>
    </row>
    <row r="76" spans="2:28" x14ac:dyDescent="0.4">
      <c r="B76" t="s">
        <v>21</v>
      </c>
      <c r="C76">
        <f>IF(G76="","",MAX(C$4:C75)+1)</f>
        <v>65</v>
      </c>
      <c r="D76">
        <f>IF(AND(N76=""),"",MAX(D$4:D75)+1)</f>
        <v>65</v>
      </c>
      <c r="F76" s="26" t="str">
        <f t="shared" si="15"/>
        <v>99999858011</v>
      </c>
      <c r="G76" s="29">
        <f t="shared" si="16"/>
        <v>99999858011</v>
      </c>
      <c r="H76" s="20" t="str">
        <f t="shared" si="17"/>
        <v>-</v>
      </c>
      <c r="I76" s="20" t="str">
        <f t="shared" si="18"/>
        <v>ー</v>
      </c>
      <c r="J76" s="20" t="str">
        <f t="shared" si="19"/>
        <v>遊佐町</v>
      </c>
      <c r="K76" s="31" t="str">
        <f t="shared" si="20"/>
        <v>99999858001関連</v>
      </c>
      <c r="L76" s="23" t="str">
        <f t="shared" si="21"/>
        <v/>
      </c>
      <c r="M76" cm="1">
        <f t="array" ref="M76">IF(COUNT(INDEX(FIND(ROW($1:$10)-1,K76),)),VALUE(MID(K76,MIN(SEARCH({1,2,3,4,5,6,7,8,9,0},K76&amp;1234567890)),LEN(K76)-(LENB(K76)-LEN(K76)))),"")</f>
        <v>99999858001</v>
      </c>
      <c r="N76">
        <f>IF(L76&lt;&gt;"○",M76,INDEX(G$4:G75,MATCH(L76&amp;M76,F$4:F75,0)))</f>
        <v>99999858001</v>
      </c>
      <c r="O76" t="str">
        <f t="shared" si="22"/>
        <v>関連</v>
      </c>
      <c r="Q76" s="4">
        <v>44910</v>
      </c>
      <c r="S76" t="str">
        <f t="shared" si="13"/>
        <v>99999858011</v>
      </c>
      <c r="T76" t="s">
        <v>50</v>
      </c>
      <c r="U76" t="s">
        <v>50</v>
      </c>
      <c r="V76" t="s">
        <v>448</v>
      </c>
      <c r="AB76" t="str">
        <f t="shared" si="14"/>
        <v>99999858001関連</v>
      </c>
    </row>
    <row r="77" spans="2:28" x14ac:dyDescent="0.4">
      <c r="B77" t="s">
        <v>21</v>
      </c>
      <c r="C77">
        <f>IF(G77="","",MAX(C$4:C76)+1)</f>
        <v>66</v>
      </c>
      <c r="D77">
        <f>IF(AND(N77=""),"",MAX(D$4:D76)+1)</f>
        <v>66</v>
      </c>
      <c r="F77" s="26" t="str">
        <f t="shared" si="15"/>
        <v>99999858012</v>
      </c>
      <c r="G77" s="29">
        <f t="shared" si="16"/>
        <v>99999858012</v>
      </c>
      <c r="H77" s="20" t="str">
        <f t="shared" si="17"/>
        <v>-</v>
      </c>
      <c r="I77" s="20" t="str">
        <f t="shared" si="18"/>
        <v>ー</v>
      </c>
      <c r="J77" s="20" t="str">
        <f t="shared" si="19"/>
        <v>遊佐町</v>
      </c>
      <c r="K77" s="31" t="str">
        <f t="shared" si="20"/>
        <v>99999858001関連</v>
      </c>
      <c r="L77" s="23" t="str">
        <f t="shared" si="21"/>
        <v/>
      </c>
      <c r="M77" cm="1">
        <f t="array" ref="M77">IF(COUNT(INDEX(FIND(ROW($1:$10)-1,K77),)),VALUE(MID(K77,MIN(SEARCH({1,2,3,4,5,6,7,8,9,0},K77&amp;1234567890)),LEN(K77)-(LENB(K77)-LEN(K77)))),"")</f>
        <v>99999858001</v>
      </c>
      <c r="N77">
        <f>IF(L77&lt;&gt;"○",M77,INDEX(G$4:G76,MATCH(L77&amp;M77,F$4:F76,0)))</f>
        <v>99999858001</v>
      </c>
      <c r="O77" t="str">
        <f t="shared" si="22"/>
        <v>関連</v>
      </c>
      <c r="Q77" s="4">
        <v>44910</v>
      </c>
      <c r="S77" t="str">
        <f t="shared" si="13"/>
        <v>99999858012</v>
      </c>
      <c r="T77" t="s">
        <v>50</v>
      </c>
      <c r="U77" t="s">
        <v>50</v>
      </c>
      <c r="V77" t="s">
        <v>448</v>
      </c>
      <c r="AB77" t="str">
        <f t="shared" si="14"/>
        <v>99999858001関連</v>
      </c>
    </row>
    <row r="78" spans="2:28" x14ac:dyDescent="0.4">
      <c r="B78" t="s">
        <v>21</v>
      </c>
      <c r="C78">
        <f>IF(G78="","",MAX(C$4:C77)+1)</f>
        <v>67</v>
      </c>
      <c r="D78">
        <f>IF(AND(N78=""),"",MAX(D$4:D77)+1)</f>
        <v>67</v>
      </c>
      <c r="F78" s="26" t="str">
        <f t="shared" si="15"/>
        <v>99999858013</v>
      </c>
      <c r="G78" s="29">
        <f t="shared" si="16"/>
        <v>99999858013</v>
      </c>
      <c r="H78" s="20" t="str">
        <f t="shared" si="17"/>
        <v>-</v>
      </c>
      <c r="I78" s="20" t="str">
        <f t="shared" si="18"/>
        <v>ー</v>
      </c>
      <c r="J78" s="20" t="str">
        <f t="shared" si="19"/>
        <v>遊佐町</v>
      </c>
      <c r="K78" s="31" t="str">
        <f t="shared" si="20"/>
        <v>99999858001関連</v>
      </c>
      <c r="L78" s="23" t="str">
        <f t="shared" si="21"/>
        <v/>
      </c>
      <c r="M78" cm="1">
        <f t="array" ref="M78">IF(COUNT(INDEX(FIND(ROW($1:$10)-1,K78),)),VALUE(MID(K78,MIN(SEARCH({1,2,3,4,5,6,7,8,9,0},K78&amp;1234567890)),LEN(K78)-(LENB(K78)-LEN(K78)))),"")</f>
        <v>99999858001</v>
      </c>
      <c r="N78">
        <f>IF(L78&lt;&gt;"○",M78,INDEX(G$4:G77,MATCH(L78&amp;M78,F$4:F77,0)))</f>
        <v>99999858001</v>
      </c>
      <c r="O78" t="str">
        <f t="shared" si="22"/>
        <v>関連</v>
      </c>
      <c r="Q78" s="4">
        <v>44910</v>
      </c>
      <c r="S78" t="str">
        <f t="shared" si="13"/>
        <v>99999858013</v>
      </c>
      <c r="T78" t="s">
        <v>50</v>
      </c>
      <c r="U78" t="s">
        <v>50</v>
      </c>
      <c r="V78" t="s">
        <v>448</v>
      </c>
      <c r="AB78" t="str">
        <f t="shared" si="14"/>
        <v>99999858001関連</v>
      </c>
    </row>
    <row r="79" spans="2:28" x14ac:dyDescent="0.4">
      <c r="B79" t="s">
        <v>21</v>
      </c>
      <c r="C79">
        <f>IF(G79="","",MAX(C$4:C78)+1)</f>
        <v>68</v>
      </c>
      <c r="D79">
        <f>IF(AND(N79=""),"",MAX(D$4:D78)+1)</f>
        <v>68</v>
      </c>
      <c r="F79" s="26" t="str">
        <f t="shared" si="15"/>
        <v>99999858014</v>
      </c>
      <c r="G79" s="29">
        <f t="shared" si="16"/>
        <v>99999858014</v>
      </c>
      <c r="H79" s="20" t="str">
        <f t="shared" si="17"/>
        <v>-</v>
      </c>
      <c r="I79" s="20" t="str">
        <f t="shared" si="18"/>
        <v>ー</v>
      </c>
      <c r="J79" s="20" t="str">
        <f t="shared" si="19"/>
        <v>遊佐町</v>
      </c>
      <c r="K79" s="31" t="str">
        <f t="shared" si="20"/>
        <v>99999858001関連</v>
      </c>
      <c r="L79" s="23" t="str">
        <f t="shared" si="21"/>
        <v/>
      </c>
      <c r="M79" cm="1">
        <f t="array" ref="M79">IF(COUNT(INDEX(FIND(ROW($1:$10)-1,K79),)),VALUE(MID(K79,MIN(SEARCH({1,2,3,4,5,6,7,8,9,0},K79&amp;1234567890)),LEN(K79)-(LENB(K79)-LEN(K79)))),"")</f>
        <v>99999858001</v>
      </c>
      <c r="N79">
        <f>IF(L79&lt;&gt;"○",M79,INDEX(G$4:G78,MATCH(L79&amp;M79,F$4:F78,0)))</f>
        <v>99999858001</v>
      </c>
      <c r="O79" t="str">
        <f t="shared" si="22"/>
        <v>関連</v>
      </c>
      <c r="Q79" s="4">
        <v>44910</v>
      </c>
      <c r="S79" t="str">
        <f t="shared" si="13"/>
        <v>99999858014</v>
      </c>
      <c r="T79" t="s">
        <v>50</v>
      </c>
      <c r="U79" t="s">
        <v>50</v>
      </c>
      <c r="V79" t="s">
        <v>448</v>
      </c>
      <c r="AB79" t="str">
        <f t="shared" si="14"/>
        <v>99999858001関連</v>
      </c>
    </row>
    <row r="80" spans="2:28" x14ac:dyDescent="0.4">
      <c r="B80" t="s">
        <v>21</v>
      </c>
      <c r="C80">
        <f>IF(G80="","",MAX(C$4:C79)+1)</f>
        <v>69</v>
      </c>
      <c r="D80">
        <f>IF(AND(N80=""),"",MAX(D$4:D79)+1)</f>
        <v>69</v>
      </c>
      <c r="F80" s="26" t="str">
        <f t="shared" si="15"/>
        <v>99999858015</v>
      </c>
      <c r="G80" s="29">
        <f t="shared" si="16"/>
        <v>99999858015</v>
      </c>
      <c r="H80" s="20" t="str">
        <f t="shared" si="17"/>
        <v>-</v>
      </c>
      <c r="I80" s="20" t="str">
        <f t="shared" si="18"/>
        <v>ー</v>
      </c>
      <c r="J80" s="20" t="str">
        <f t="shared" si="19"/>
        <v>遊佐町</v>
      </c>
      <c r="K80" s="31" t="str">
        <f t="shared" si="20"/>
        <v>99999858001関連</v>
      </c>
      <c r="L80" s="23" t="str">
        <f t="shared" si="21"/>
        <v/>
      </c>
      <c r="M80" cm="1">
        <f t="array" ref="M80">IF(COUNT(INDEX(FIND(ROW($1:$10)-1,K80),)),VALUE(MID(K80,MIN(SEARCH({1,2,3,4,5,6,7,8,9,0},K80&amp;1234567890)),LEN(K80)-(LENB(K80)-LEN(K80)))),"")</f>
        <v>99999858001</v>
      </c>
      <c r="N80">
        <f>IF(L80&lt;&gt;"○",M80,INDEX(G$4:G79,MATCH(L80&amp;M80,F$4:F79,0)))</f>
        <v>99999858001</v>
      </c>
      <c r="O80" t="str">
        <f t="shared" si="22"/>
        <v>関連</v>
      </c>
      <c r="Q80" s="4">
        <v>44910</v>
      </c>
      <c r="S80" t="str">
        <f t="shared" si="13"/>
        <v>99999858015</v>
      </c>
      <c r="T80" t="s">
        <v>50</v>
      </c>
      <c r="U80" t="s">
        <v>50</v>
      </c>
      <c r="V80" t="s">
        <v>448</v>
      </c>
      <c r="AB80" t="str">
        <f t="shared" si="14"/>
        <v>99999858001関連</v>
      </c>
    </row>
    <row r="81" spans="2:28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5"/>
        <v/>
      </c>
      <c r="G81" s="29" t="str">
        <f t="shared" si="16"/>
        <v/>
      </c>
      <c r="H81" s="20" t="str">
        <f t="shared" si="17"/>
        <v/>
      </c>
      <c r="I81" s="20" t="str">
        <f t="shared" si="18"/>
        <v/>
      </c>
      <c r="J81" s="20" t="str">
        <f t="shared" si="19"/>
        <v/>
      </c>
      <c r="K81" s="31" t="str">
        <f t="shared" si="20"/>
        <v/>
      </c>
      <c r="L81" s="23" t="str">
        <f t="shared" si="21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2"/>
        <v/>
      </c>
      <c r="Q81" s="4"/>
    </row>
    <row r="82" spans="2:28" x14ac:dyDescent="0.4">
      <c r="B82" t="s">
        <v>21</v>
      </c>
      <c r="C82">
        <f>IF(G82="","",MAX(C$4:C81)+1)</f>
        <v>70</v>
      </c>
      <c r="D82">
        <f>IF(AND(N82=""),"",MAX(D$4:D81)+1)</f>
        <v>70</v>
      </c>
      <c r="F82" s="26" t="str">
        <f t="shared" si="15"/>
        <v>99999859001</v>
      </c>
      <c r="G82" s="29">
        <f t="shared" si="16"/>
        <v>99999859001</v>
      </c>
      <c r="H82" s="20" t="str">
        <f t="shared" si="17"/>
        <v>-</v>
      </c>
      <c r="I82" s="20" t="str">
        <f t="shared" si="18"/>
        <v>ー</v>
      </c>
      <c r="J82" s="20" t="str">
        <f t="shared" si="19"/>
        <v>遊佐町</v>
      </c>
      <c r="K82" s="31" t="str">
        <f t="shared" si="20"/>
        <v>99999859001障がい者施設</v>
      </c>
      <c r="L82" s="23" t="str">
        <f t="shared" si="21"/>
        <v/>
      </c>
      <c r="M82" cm="1">
        <f t="array" ref="M82">IF(COUNT(INDEX(FIND(ROW($1:$10)-1,K82),)),VALUE(MID(K82,MIN(SEARCH({1,2,3,4,5,6,7,8,9,0},K82&amp;1234567890)),LEN(K82)-(LENB(K82)-LEN(K82)))),"")</f>
        <v>99999859001</v>
      </c>
      <c r="N82">
        <f>IF(L82&lt;&gt;"○",M82,INDEX(G$4:G81,MATCH(L82&amp;M82,F$4:F81,0)))</f>
        <v>99999859001</v>
      </c>
      <c r="O82" t="str">
        <f t="shared" si="22"/>
        <v>障がい者施設</v>
      </c>
      <c r="Q82" s="4">
        <v>44910</v>
      </c>
      <c r="S82" t="str">
        <f>$O$1&amp;
859&amp;
REPT("0",3-LEN(ROW($S1)))&amp;ROW($S1)</f>
        <v>99999859001</v>
      </c>
      <c r="T82" t="s">
        <v>50</v>
      </c>
      <c r="U82" t="s">
        <v>50</v>
      </c>
      <c r="V82" t="s">
        <v>448</v>
      </c>
      <c r="AB82" t="str">
        <f>$S$82&amp;"障がい者施設"</f>
        <v>99999859001障がい者施設</v>
      </c>
    </row>
    <row r="83" spans="2:28" x14ac:dyDescent="0.4">
      <c r="B83" t="s">
        <v>21</v>
      </c>
      <c r="C83">
        <f>IF(G83="","",MAX(C$4:C82)+1)</f>
        <v>71</v>
      </c>
      <c r="D83">
        <f>IF(AND(N83=""),"",MAX(D$4:D82)+1)</f>
        <v>71</v>
      </c>
      <c r="F83" s="26" t="str">
        <f t="shared" si="15"/>
        <v>99999859002</v>
      </c>
      <c r="G83" s="29">
        <f t="shared" si="16"/>
        <v>99999859002</v>
      </c>
      <c r="H83" s="20" t="str">
        <f t="shared" si="17"/>
        <v>-</v>
      </c>
      <c r="I83" s="20" t="str">
        <f t="shared" si="18"/>
        <v>ー</v>
      </c>
      <c r="J83" s="20" t="str">
        <f t="shared" si="19"/>
        <v>遊佐町</v>
      </c>
      <c r="K83" s="31" t="str">
        <f t="shared" si="20"/>
        <v>99999859001関連</v>
      </c>
      <c r="L83" s="23" t="str">
        <f t="shared" si="21"/>
        <v/>
      </c>
      <c r="M83" cm="1">
        <f t="array" ref="M83">IF(COUNT(INDEX(FIND(ROW($1:$10)-1,K83),)),VALUE(MID(K83,MIN(SEARCH({1,2,3,4,5,6,7,8,9,0},K83&amp;1234567890)),LEN(K83)-(LENB(K83)-LEN(K83)))),"")</f>
        <v>99999859001</v>
      </c>
      <c r="N83">
        <f>IF(L83&lt;&gt;"○",M83,INDEX(G$4:G82,MATCH(L83&amp;M83,F$4:F82,0)))</f>
        <v>99999859001</v>
      </c>
      <c r="O83" t="str">
        <f t="shared" si="22"/>
        <v>関連</v>
      </c>
      <c r="Q83" s="4">
        <v>44910</v>
      </c>
      <c r="S83" t="str">
        <f t="shared" ref="S83:S121" si="23">$O$1&amp;
859&amp;
REPT("0",3-LEN(ROW($S2)))&amp;ROW($S2)</f>
        <v>99999859002</v>
      </c>
      <c r="T83" t="s">
        <v>50</v>
      </c>
      <c r="U83" t="s">
        <v>50</v>
      </c>
      <c r="V83" t="s">
        <v>448</v>
      </c>
      <c r="AB83" t="str">
        <f>$S$82&amp;"関連"</f>
        <v>99999859001関連</v>
      </c>
    </row>
    <row r="84" spans="2:28" x14ac:dyDescent="0.4">
      <c r="B84" t="s">
        <v>21</v>
      </c>
      <c r="C84">
        <f>IF(G84="","",MAX(C$4:C83)+1)</f>
        <v>72</v>
      </c>
      <c r="D84">
        <f>IF(AND(N84=""),"",MAX(D$4:D83)+1)</f>
        <v>72</v>
      </c>
      <c r="F84" s="26" t="str">
        <f t="shared" si="15"/>
        <v>99999859003</v>
      </c>
      <c r="G84" s="29">
        <f t="shared" si="16"/>
        <v>99999859003</v>
      </c>
      <c r="H84" s="20" t="str">
        <f t="shared" si="17"/>
        <v>-</v>
      </c>
      <c r="I84" s="20" t="str">
        <f t="shared" si="18"/>
        <v>ー</v>
      </c>
      <c r="J84" s="20" t="str">
        <f t="shared" si="19"/>
        <v>遊佐町</v>
      </c>
      <c r="K84" s="31" t="str">
        <f t="shared" si="20"/>
        <v>99999859001関連</v>
      </c>
      <c r="L84" s="23" t="str">
        <f t="shared" si="21"/>
        <v/>
      </c>
      <c r="M84" cm="1">
        <f t="array" ref="M84">IF(COUNT(INDEX(FIND(ROW($1:$10)-1,K84),)),VALUE(MID(K84,MIN(SEARCH({1,2,3,4,5,6,7,8,9,0},K84&amp;1234567890)),LEN(K84)-(LENB(K84)-LEN(K84)))),"")</f>
        <v>99999859001</v>
      </c>
      <c r="N84">
        <f>IF(L84&lt;&gt;"○",M84,INDEX(G$4:G83,MATCH(L84&amp;M84,F$4:F83,0)))</f>
        <v>99999859001</v>
      </c>
      <c r="O84" t="str">
        <f t="shared" si="22"/>
        <v>関連</v>
      </c>
      <c r="Q84" s="4">
        <v>44910</v>
      </c>
      <c r="S84" t="str">
        <f t="shared" si="23"/>
        <v>99999859003</v>
      </c>
      <c r="T84" t="s">
        <v>50</v>
      </c>
      <c r="U84" t="s">
        <v>50</v>
      </c>
      <c r="V84" t="s">
        <v>448</v>
      </c>
      <c r="AB84" t="str">
        <f t="shared" ref="AB84:AB121" si="24">$S$82&amp;"関連"</f>
        <v>99999859001関連</v>
      </c>
    </row>
    <row r="85" spans="2:28" x14ac:dyDescent="0.4">
      <c r="B85" t="s">
        <v>21</v>
      </c>
      <c r="C85">
        <f>IF(G85="","",MAX(C$4:C84)+1)</f>
        <v>73</v>
      </c>
      <c r="D85">
        <f>IF(AND(N85=""),"",MAX(D$4:D84)+1)</f>
        <v>73</v>
      </c>
      <c r="F85" s="26" t="str">
        <f t="shared" si="15"/>
        <v>99999859004</v>
      </c>
      <c r="G85" s="29">
        <f t="shared" si="16"/>
        <v>99999859004</v>
      </c>
      <c r="H85" s="20" t="str">
        <f t="shared" si="17"/>
        <v>-</v>
      </c>
      <c r="I85" s="20" t="str">
        <f t="shared" si="18"/>
        <v>ー</v>
      </c>
      <c r="J85" s="20" t="str">
        <f t="shared" si="19"/>
        <v>遊佐町</v>
      </c>
      <c r="K85" s="31" t="str">
        <f t="shared" si="20"/>
        <v>99999859001関連</v>
      </c>
      <c r="L85" s="23" t="str">
        <f t="shared" si="21"/>
        <v/>
      </c>
      <c r="M85" cm="1">
        <f t="array" ref="M85">IF(COUNT(INDEX(FIND(ROW($1:$10)-1,K85),)),VALUE(MID(K85,MIN(SEARCH({1,2,3,4,5,6,7,8,9,0},K85&amp;1234567890)),LEN(K85)-(LENB(K85)-LEN(K85)))),"")</f>
        <v>99999859001</v>
      </c>
      <c r="N85">
        <f>IF(L85&lt;&gt;"○",M85,INDEX(G$4:G84,MATCH(L85&amp;M85,F$4:F84,0)))</f>
        <v>99999859001</v>
      </c>
      <c r="O85" t="str">
        <f t="shared" si="22"/>
        <v>関連</v>
      </c>
      <c r="Q85" s="4">
        <v>44910</v>
      </c>
      <c r="S85" t="str">
        <f t="shared" si="23"/>
        <v>99999859004</v>
      </c>
      <c r="T85" t="s">
        <v>50</v>
      </c>
      <c r="U85" t="s">
        <v>50</v>
      </c>
      <c r="V85" t="s">
        <v>448</v>
      </c>
      <c r="AB85" t="str">
        <f t="shared" si="24"/>
        <v>99999859001関連</v>
      </c>
    </row>
    <row r="86" spans="2:28" x14ac:dyDescent="0.4">
      <c r="B86" t="s">
        <v>21</v>
      </c>
      <c r="C86">
        <f>IF(G86="","",MAX(C$4:C85)+1)</f>
        <v>74</v>
      </c>
      <c r="D86">
        <f>IF(AND(N86=""),"",MAX(D$4:D85)+1)</f>
        <v>74</v>
      </c>
      <c r="F86" s="26" t="str">
        <f t="shared" si="15"/>
        <v>99999859005</v>
      </c>
      <c r="G86" s="29">
        <f t="shared" si="16"/>
        <v>99999859005</v>
      </c>
      <c r="H86" s="20" t="str">
        <f t="shared" si="17"/>
        <v>-</v>
      </c>
      <c r="I86" s="20" t="str">
        <f t="shared" si="18"/>
        <v>ー</v>
      </c>
      <c r="J86" s="20" t="str">
        <f t="shared" si="19"/>
        <v>遊佐町</v>
      </c>
      <c r="K86" s="31" t="str">
        <f t="shared" si="20"/>
        <v>99999859001関連</v>
      </c>
      <c r="L86" s="23" t="str">
        <f t="shared" si="21"/>
        <v/>
      </c>
      <c r="M86" cm="1">
        <f t="array" ref="M86">IF(COUNT(INDEX(FIND(ROW($1:$10)-1,K86),)),VALUE(MID(K86,MIN(SEARCH({1,2,3,4,5,6,7,8,9,0},K86&amp;1234567890)),LEN(K86)-(LENB(K86)-LEN(K86)))),"")</f>
        <v>99999859001</v>
      </c>
      <c r="N86">
        <f>IF(L86&lt;&gt;"○",M86,INDEX(G$4:G85,MATCH(L86&amp;M86,F$4:F85,0)))</f>
        <v>99999859001</v>
      </c>
      <c r="O86" t="str">
        <f t="shared" si="22"/>
        <v>関連</v>
      </c>
      <c r="Q86" s="4">
        <v>44910</v>
      </c>
      <c r="S86" t="str">
        <f t="shared" si="23"/>
        <v>99999859005</v>
      </c>
      <c r="T86" t="s">
        <v>50</v>
      </c>
      <c r="U86" t="s">
        <v>50</v>
      </c>
      <c r="V86" t="s">
        <v>448</v>
      </c>
      <c r="AB86" t="str">
        <f t="shared" si="24"/>
        <v>99999859001関連</v>
      </c>
    </row>
    <row r="87" spans="2:28" x14ac:dyDescent="0.4">
      <c r="B87" t="s">
        <v>21</v>
      </c>
      <c r="C87">
        <f>IF(G87="","",MAX(C$4:C86)+1)</f>
        <v>75</v>
      </c>
      <c r="D87">
        <f>IF(AND(N87=""),"",MAX(D$4:D86)+1)</f>
        <v>75</v>
      </c>
      <c r="F87" s="26" t="str">
        <f t="shared" si="15"/>
        <v>99999859006</v>
      </c>
      <c r="G87" s="29">
        <f t="shared" si="16"/>
        <v>99999859006</v>
      </c>
      <c r="H87" s="20" t="str">
        <f t="shared" si="17"/>
        <v>-</v>
      </c>
      <c r="I87" s="20" t="str">
        <f t="shared" si="18"/>
        <v>ー</v>
      </c>
      <c r="J87" s="20" t="str">
        <f t="shared" si="19"/>
        <v>遊佐町</v>
      </c>
      <c r="K87" s="31" t="str">
        <f t="shared" si="20"/>
        <v>99999859001関連</v>
      </c>
      <c r="L87" s="23" t="str">
        <f t="shared" si="21"/>
        <v/>
      </c>
      <c r="M87" cm="1">
        <f t="array" ref="M87">IF(COUNT(INDEX(FIND(ROW($1:$10)-1,K87),)),VALUE(MID(K87,MIN(SEARCH({1,2,3,4,5,6,7,8,9,0},K87&amp;1234567890)),LEN(K87)-(LENB(K87)-LEN(K87)))),"")</f>
        <v>99999859001</v>
      </c>
      <c r="N87">
        <f>IF(L87&lt;&gt;"○",M87,INDEX(G$4:G86,MATCH(L87&amp;M87,F$4:F86,0)))</f>
        <v>99999859001</v>
      </c>
      <c r="O87" t="str">
        <f t="shared" si="22"/>
        <v>関連</v>
      </c>
      <c r="Q87" s="4">
        <v>44910</v>
      </c>
      <c r="S87" t="str">
        <f t="shared" si="23"/>
        <v>99999859006</v>
      </c>
      <c r="T87" t="s">
        <v>50</v>
      </c>
      <c r="U87" t="s">
        <v>50</v>
      </c>
      <c r="V87" t="s">
        <v>448</v>
      </c>
      <c r="AB87" t="str">
        <f t="shared" si="24"/>
        <v>99999859001関連</v>
      </c>
    </row>
    <row r="88" spans="2:28" x14ac:dyDescent="0.4">
      <c r="B88" t="s">
        <v>21</v>
      </c>
      <c r="C88">
        <f>IF(G88="","",MAX(C$4:C87)+1)</f>
        <v>76</v>
      </c>
      <c r="D88">
        <f>IF(AND(N88=""),"",MAX(D$4:D87)+1)</f>
        <v>76</v>
      </c>
      <c r="F88" s="26" t="str">
        <f t="shared" si="15"/>
        <v>99999859007</v>
      </c>
      <c r="G88" s="29">
        <f t="shared" si="16"/>
        <v>99999859007</v>
      </c>
      <c r="H88" s="20" t="str">
        <f t="shared" si="17"/>
        <v>-</v>
      </c>
      <c r="I88" s="20" t="str">
        <f t="shared" si="18"/>
        <v>ー</v>
      </c>
      <c r="J88" s="20" t="str">
        <f t="shared" si="19"/>
        <v>遊佐町</v>
      </c>
      <c r="K88" s="31" t="str">
        <f t="shared" si="20"/>
        <v>99999859001関連</v>
      </c>
      <c r="L88" s="23" t="str">
        <f t="shared" si="21"/>
        <v/>
      </c>
      <c r="M88" cm="1">
        <f t="array" ref="M88">IF(COUNT(INDEX(FIND(ROW($1:$10)-1,K88),)),VALUE(MID(K88,MIN(SEARCH({1,2,3,4,5,6,7,8,9,0},K88&amp;1234567890)),LEN(K88)-(LENB(K88)-LEN(K88)))),"")</f>
        <v>99999859001</v>
      </c>
      <c r="N88">
        <f>IF(L88&lt;&gt;"○",M88,INDEX(G$4:G87,MATCH(L88&amp;M88,F$4:F87,0)))</f>
        <v>99999859001</v>
      </c>
      <c r="O88" t="str">
        <f t="shared" si="22"/>
        <v>関連</v>
      </c>
      <c r="Q88" s="4">
        <v>44910</v>
      </c>
      <c r="S88" t="str">
        <f t="shared" si="23"/>
        <v>99999859007</v>
      </c>
      <c r="T88" t="s">
        <v>50</v>
      </c>
      <c r="U88" t="s">
        <v>50</v>
      </c>
      <c r="V88" t="s">
        <v>448</v>
      </c>
      <c r="AB88" t="str">
        <f t="shared" si="24"/>
        <v>99999859001関連</v>
      </c>
    </row>
    <row r="89" spans="2:28" x14ac:dyDescent="0.4">
      <c r="B89" t="s">
        <v>21</v>
      </c>
      <c r="C89">
        <f>IF(G89="","",MAX(C$4:C88)+1)</f>
        <v>77</v>
      </c>
      <c r="D89">
        <f>IF(AND(N89=""),"",MAX(D$4:D88)+1)</f>
        <v>77</v>
      </c>
      <c r="F89" s="26" t="str">
        <f t="shared" si="15"/>
        <v>99999859008</v>
      </c>
      <c r="G89" s="29">
        <f t="shared" si="16"/>
        <v>99999859008</v>
      </c>
      <c r="H89" s="20" t="str">
        <f t="shared" si="17"/>
        <v>-</v>
      </c>
      <c r="I89" s="20" t="str">
        <f t="shared" si="18"/>
        <v>ー</v>
      </c>
      <c r="J89" s="20" t="str">
        <f t="shared" si="19"/>
        <v>遊佐町</v>
      </c>
      <c r="K89" s="31" t="str">
        <f t="shared" si="20"/>
        <v>99999859001関連</v>
      </c>
      <c r="L89" s="23" t="str">
        <f t="shared" si="21"/>
        <v/>
      </c>
      <c r="M89" cm="1">
        <f t="array" ref="M89">IF(COUNT(INDEX(FIND(ROW($1:$10)-1,K89),)),VALUE(MID(K89,MIN(SEARCH({1,2,3,4,5,6,7,8,9,0},K89&amp;1234567890)),LEN(K89)-(LENB(K89)-LEN(K89)))),"")</f>
        <v>99999859001</v>
      </c>
      <c r="N89">
        <f>IF(L89&lt;&gt;"○",M89,INDEX(G$4:G88,MATCH(L89&amp;M89,F$4:F88,0)))</f>
        <v>99999859001</v>
      </c>
      <c r="O89" t="str">
        <f t="shared" si="22"/>
        <v>関連</v>
      </c>
      <c r="Q89" s="4">
        <v>44910</v>
      </c>
      <c r="S89" t="str">
        <f t="shared" si="23"/>
        <v>99999859008</v>
      </c>
      <c r="T89" t="s">
        <v>50</v>
      </c>
      <c r="U89" t="s">
        <v>50</v>
      </c>
      <c r="V89" t="s">
        <v>448</v>
      </c>
      <c r="AB89" t="str">
        <f t="shared" si="24"/>
        <v>99999859001関連</v>
      </c>
    </row>
    <row r="90" spans="2:28" x14ac:dyDescent="0.4">
      <c r="B90" t="s">
        <v>21</v>
      </c>
      <c r="C90">
        <f>IF(G90="","",MAX(C$4:C89)+1)</f>
        <v>78</v>
      </c>
      <c r="D90">
        <f>IF(AND(N90=""),"",MAX(D$4:D89)+1)</f>
        <v>78</v>
      </c>
      <c r="F90" s="26" t="str">
        <f t="shared" si="15"/>
        <v>99999859009</v>
      </c>
      <c r="G90" s="29">
        <f t="shared" si="16"/>
        <v>99999859009</v>
      </c>
      <c r="H90" s="20" t="str">
        <f t="shared" si="17"/>
        <v>-</v>
      </c>
      <c r="I90" s="20" t="str">
        <f t="shared" si="18"/>
        <v>ー</v>
      </c>
      <c r="J90" s="20" t="str">
        <f t="shared" si="19"/>
        <v>遊佐町</v>
      </c>
      <c r="K90" s="31" t="str">
        <f t="shared" si="20"/>
        <v>99999859001関連</v>
      </c>
      <c r="L90" s="23" t="str">
        <f t="shared" si="21"/>
        <v/>
      </c>
      <c r="M90" cm="1">
        <f t="array" ref="M90">IF(COUNT(INDEX(FIND(ROW($1:$10)-1,K90),)),VALUE(MID(K90,MIN(SEARCH({1,2,3,4,5,6,7,8,9,0},K90&amp;1234567890)),LEN(K90)-(LENB(K90)-LEN(K90)))),"")</f>
        <v>99999859001</v>
      </c>
      <c r="N90">
        <f>IF(L90&lt;&gt;"○",M90,INDEX(G$4:G89,MATCH(L90&amp;M90,F$4:F89,0)))</f>
        <v>99999859001</v>
      </c>
      <c r="O90" t="str">
        <f t="shared" si="22"/>
        <v>関連</v>
      </c>
      <c r="Q90" s="4">
        <v>44910</v>
      </c>
      <c r="S90" t="str">
        <f t="shared" si="23"/>
        <v>99999859009</v>
      </c>
      <c r="T90" t="s">
        <v>50</v>
      </c>
      <c r="U90" t="s">
        <v>50</v>
      </c>
      <c r="V90" t="s">
        <v>448</v>
      </c>
      <c r="AB90" t="str">
        <f t="shared" si="24"/>
        <v>99999859001関連</v>
      </c>
    </row>
    <row r="91" spans="2:28" x14ac:dyDescent="0.4">
      <c r="B91" t="s">
        <v>21</v>
      </c>
      <c r="C91">
        <f>IF(G91="","",MAX(C$4:C90)+1)</f>
        <v>79</v>
      </c>
      <c r="D91">
        <f>IF(AND(N91=""),"",MAX(D$4:D90)+1)</f>
        <v>79</v>
      </c>
      <c r="F91" s="26" t="str">
        <f t="shared" si="15"/>
        <v>99999859010</v>
      </c>
      <c r="G91" s="29">
        <f t="shared" si="16"/>
        <v>99999859010</v>
      </c>
      <c r="H91" s="20" t="str">
        <f t="shared" si="17"/>
        <v>-</v>
      </c>
      <c r="I91" s="20" t="str">
        <f t="shared" si="18"/>
        <v>ー</v>
      </c>
      <c r="J91" s="20" t="str">
        <f t="shared" si="19"/>
        <v>遊佐町</v>
      </c>
      <c r="K91" s="31" t="str">
        <f t="shared" si="20"/>
        <v>99999859001関連</v>
      </c>
      <c r="L91" s="23" t="str">
        <f t="shared" si="21"/>
        <v/>
      </c>
      <c r="M91" cm="1">
        <f t="array" ref="M91">IF(COUNT(INDEX(FIND(ROW($1:$10)-1,K91),)),VALUE(MID(K91,MIN(SEARCH({1,2,3,4,5,6,7,8,9,0},K91&amp;1234567890)),LEN(K91)-(LENB(K91)-LEN(K91)))),"")</f>
        <v>99999859001</v>
      </c>
      <c r="N91">
        <f>IF(L91&lt;&gt;"○",M91,INDEX(G$4:G90,MATCH(L91&amp;M91,F$4:F90,0)))</f>
        <v>99999859001</v>
      </c>
      <c r="O91" t="str">
        <f t="shared" si="22"/>
        <v>関連</v>
      </c>
      <c r="Q91" s="4">
        <v>44910</v>
      </c>
      <c r="S91" t="str">
        <f t="shared" si="23"/>
        <v>99999859010</v>
      </c>
      <c r="T91" t="s">
        <v>50</v>
      </c>
      <c r="U91" t="s">
        <v>50</v>
      </c>
      <c r="V91" t="s">
        <v>448</v>
      </c>
      <c r="AB91" t="str">
        <f t="shared" si="24"/>
        <v>99999859001関連</v>
      </c>
    </row>
    <row r="92" spans="2:28" x14ac:dyDescent="0.4">
      <c r="B92" t="s">
        <v>21</v>
      </c>
      <c r="C92">
        <f>IF(G92="","",MAX(C$4:C91)+1)</f>
        <v>80</v>
      </c>
      <c r="D92">
        <f>IF(AND(N92=""),"",MAX(D$4:D91)+1)</f>
        <v>80</v>
      </c>
      <c r="F92" s="26" t="str">
        <f t="shared" si="15"/>
        <v>99999859011</v>
      </c>
      <c r="G92" s="29">
        <f t="shared" si="16"/>
        <v>99999859011</v>
      </c>
      <c r="H92" s="20" t="str">
        <f t="shared" si="17"/>
        <v>-</v>
      </c>
      <c r="I92" s="20" t="str">
        <f t="shared" si="18"/>
        <v>ー</v>
      </c>
      <c r="J92" s="20" t="str">
        <f t="shared" si="19"/>
        <v>遊佐町</v>
      </c>
      <c r="K92" s="31" t="str">
        <f t="shared" si="20"/>
        <v>99999859001関連</v>
      </c>
      <c r="L92" s="23" t="str">
        <f t="shared" si="21"/>
        <v/>
      </c>
      <c r="M92" cm="1">
        <f t="array" ref="M92">IF(COUNT(INDEX(FIND(ROW($1:$10)-1,K92),)),VALUE(MID(K92,MIN(SEARCH({1,2,3,4,5,6,7,8,9,0},K92&amp;1234567890)),LEN(K92)-(LENB(K92)-LEN(K92)))),"")</f>
        <v>99999859001</v>
      </c>
      <c r="N92">
        <f>IF(L92&lt;&gt;"○",M92,INDEX(G$4:G91,MATCH(L92&amp;M92,F$4:F91,0)))</f>
        <v>99999859001</v>
      </c>
      <c r="O92" t="str">
        <f t="shared" si="22"/>
        <v>関連</v>
      </c>
      <c r="Q92" s="4">
        <v>44910</v>
      </c>
      <c r="S92" t="str">
        <f t="shared" si="23"/>
        <v>99999859011</v>
      </c>
      <c r="T92" t="s">
        <v>50</v>
      </c>
      <c r="U92" t="s">
        <v>50</v>
      </c>
      <c r="V92" t="s">
        <v>448</v>
      </c>
      <c r="AB92" t="str">
        <f t="shared" si="24"/>
        <v>99999859001関連</v>
      </c>
    </row>
    <row r="93" spans="2:28" x14ac:dyDescent="0.4">
      <c r="B93" t="s">
        <v>21</v>
      </c>
      <c r="C93">
        <f>IF(G93="","",MAX(C$4:C92)+1)</f>
        <v>81</v>
      </c>
      <c r="D93">
        <f>IF(AND(N93=""),"",MAX(D$4:D92)+1)</f>
        <v>81</v>
      </c>
      <c r="F93" s="26" t="str">
        <f t="shared" si="15"/>
        <v>99999859012</v>
      </c>
      <c r="G93" s="29">
        <f t="shared" si="16"/>
        <v>99999859012</v>
      </c>
      <c r="H93" s="20" t="str">
        <f t="shared" si="17"/>
        <v>-</v>
      </c>
      <c r="I93" s="20" t="str">
        <f t="shared" si="18"/>
        <v>ー</v>
      </c>
      <c r="J93" s="20" t="str">
        <f t="shared" si="19"/>
        <v>遊佐町</v>
      </c>
      <c r="K93" s="31" t="str">
        <f t="shared" si="20"/>
        <v>99999859001関連</v>
      </c>
      <c r="L93" s="23" t="str">
        <f t="shared" si="21"/>
        <v/>
      </c>
      <c r="M93" cm="1">
        <f t="array" ref="M93">IF(COUNT(INDEX(FIND(ROW($1:$10)-1,K93),)),VALUE(MID(K93,MIN(SEARCH({1,2,3,4,5,6,7,8,9,0},K93&amp;1234567890)),LEN(K93)-(LENB(K93)-LEN(K93)))),"")</f>
        <v>99999859001</v>
      </c>
      <c r="N93">
        <f>IF(L93&lt;&gt;"○",M93,INDEX(G$4:G92,MATCH(L93&amp;M93,F$4:F92,0)))</f>
        <v>99999859001</v>
      </c>
      <c r="O93" t="str">
        <f t="shared" si="22"/>
        <v>関連</v>
      </c>
      <c r="Q93" s="4">
        <v>44910</v>
      </c>
      <c r="S93" t="str">
        <f t="shared" si="23"/>
        <v>99999859012</v>
      </c>
      <c r="T93" t="s">
        <v>50</v>
      </c>
      <c r="U93" t="s">
        <v>50</v>
      </c>
      <c r="V93" t="s">
        <v>448</v>
      </c>
      <c r="AB93" t="str">
        <f t="shared" si="24"/>
        <v>99999859001関連</v>
      </c>
    </row>
    <row r="94" spans="2:28" x14ac:dyDescent="0.4">
      <c r="B94" t="s">
        <v>21</v>
      </c>
      <c r="C94">
        <f>IF(G94="","",MAX(C$4:C93)+1)</f>
        <v>82</v>
      </c>
      <c r="D94">
        <f>IF(AND(N94=""),"",MAX(D$4:D93)+1)</f>
        <v>82</v>
      </c>
      <c r="F94" s="26" t="str">
        <f t="shared" si="15"/>
        <v>99999859013</v>
      </c>
      <c r="G94" s="29">
        <f t="shared" si="16"/>
        <v>99999859013</v>
      </c>
      <c r="H94" s="20" t="str">
        <f t="shared" si="17"/>
        <v>-</v>
      </c>
      <c r="I94" s="20" t="str">
        <f t="shared" si="18"/>
        <v>ー</v>
      </c>
      <c r="J94" s="20" t="str">
        <f t="shared" si="19"/>
        <v>遊佐町</v>
      </c>
      <c r="K94" s="31" t="str">
        <f t="shared" si="20"/>
        <v>99999859001関連</v>
      </c>
      <c r="L94" s="23" t="str">
        <f t="shared" si="21"/>
        <v/>
      </c>
      <c r="M94" cm="1">
        <f t="array" ref="M94">IF(COUNT(INDEX(FIND(ROW($1:$10)-1,K94),)),VALUE(MID(K94,MIN(SEARCH({1,2,3,4,5,6,7,8,9,0},K94&amp;1234567890)),LEN(K94)-(LENB(K94)-LEN(K94)))),"")</f>
        <v>99999859001</v>
      </c>
      <c r="N94">
        <f>IF(L94&lt;&gt;"○",M94,INDEX(G$4:G93,MATCH(L94&amp;M94,F$4:F93,0)))</f>
        <v>99999859001</v>
      </c>
      <c r="O94" t="str">
        <f t="shared" si="22"/>
        <v>関連</v>
      </c>
      <c r="Q94" s="4">
        <v>44910</v>
      </c>
      <c r="S94" t="str">
        <f t="shared" si="23"/>
        <v>99999859013</v>
      </c>
      <c r="T94" t="s">
        <v>50</v>
      </c>
      <c r="U94" t="s">
        <v>50</v>
      </c>
      <c r="V94" t="s">
        <v>448</v>
      </c>
      <c r="AB94" t="str">
        <f t="shared" si="24"/>
        <v>99999859001関連</v>
      </c>
    </row>
    <row r="95" spans="2:28" x14ac:dyDescent="0.4">
      <c r="B95" t="s">
        <v>21</v>
      </c>
      <c r="C95">
        <f>IF(G95="","",MAX(C$4:C94)+1)</f>
        <v>83</v>
      </c>
      <c r="D95">
        <f>IF(AND(N95=""),"",MAX(D$4:D94)+1)</f>
        <v>83</v>
      </c>
      <c r="F95" s="26" t="str">
        <f t="shared" si="15"/>
        <v>99999859014</v>
      </c>
      <c r="G95" s="29">
        <f t="shared" si="16"/>
        <v>99999859014</v>
      </c>
      <c r="H95" s="20" t="str">
        <f t="shared" si="17"/>
        <v>-</v>
      </c>
      <c r="I95" s="20" t="str">
        <f t="shared" si="18"/>
        <v>ー</v>
      </c>
      <c r="J95" s="20" t="str">
        <f t="shared" si="19"/>
        <v>遊佐町</v>
      </c>
      <c r="K95" s="31" t="str">
        <f t="shared" si="20"/>
        <v>99999859001関連</v>
      </c>
      <c r="L95" s="23" t="str">
        <f t="shared" si="21"/>
        <v/>
      </c>
      <c r="M95" cm="1">
        <f t="array" ref="M95">IF(COUNT(INDEX(FIND(ROW($1:$10)-1,K95),)),VALUE(MID(K95,MIN(SEARCH({1,2,3,4,5,6,7,8,9,0},K95&amp;1234567890)),LEN(K95)-(LENB(K95)-LEN(K95)))),"")</f>
        <v>99999859001</v>
      </c>
      <c r="N95">
        <f>IF(L95&lt;&gt;"○",M95,INDEX(G$4:G94,MATCH(L95&amp;M95,F$4:F94,0)))</f>
        <v>99999859001</v>
      </c>
      <c r="O95" t="str">
        <f t="shared" si="22"/>
        <v>関連</v>
      </c>
      <c r="Q95" s="4">
        <v>44910</v>
      </c>
      <c r="S95" t="str">
        <f t="shared" si="23"/>
        <v>99999859014</v>
      </c>
      <c r="T95" t="s">
        <v>50</v>
      </c>
      <c r="U95" t="s">
        <v>50</v>
      </c>
      <c r="V95" t="s">
        <v>448</v>
      </c>
      <c r="AB95" t="str">
        <f t="shared" si="24"/>
        <v>99999859001関連</v>
      </c>
    </row>
    <row r="96" spans="2:28" x14ac:dyDescent="0.4">
      <c r="B96" t="s">
        <v>21</v>
      </c>
      <c r="C96">
        <f>IF(G96="","",MAX(C$4:C95)+1)</f>
        <v>84</v>
      </c>
      <c r="D96">
        <f>IF(AND(N96=""),"",MAX(D$4:D95)+1)</f>
        <v>84</v>
      </c>
      <c r="F96" s="26" t="str">
        <f t="shared" si="15"/>
        <v>99999859015</v>
      </c>
      <c r="G96" s="29">
        <f t="shared" si="16"/>
        <v>99999859015</v>
      </c>
      <c r="H96" s="20" t="str">
        <f t="shared" si="17"/>
        <v>-</v>
      </c>
      <c r="I96" s="20" t="str">
        <f t="shared" si="18"/>
        <v>ー</v>
      </c>
      <c r="J96" s="20" t="str">
        <f t="shared" si="19"/>
        <v>遊佐町</v>
      </c>
      <c r="K96" s="31" t="str">
        <f t="shared" si="20"/>
        <v>99999859001関連</v>
      </c>
      <c r="L96" s="23" t="str">
        <f t="shared" si="21"/>
        <v/>
      </c>
      <c r="M96" cm="1">
        <f t="array" ref="M96">IF(COUNT(INDEX(FIND(ROW($1:$10)-1,K96),)),VALUE(MID(K96,MIN(SEARCH({1,2,3,4,5,6,7,8,9,0},K96&amp;1234567890)),LEN(K96)-(LENB(K96)-LEN(K96)))),"")</f>
        <v>99999859001</v>
      </c>
      <c r="N96">
        <f>IF(L96&lt;&gt;"○",M96,INDEX(G$4:G95,MATCH(L96&amp;M96,F$4:F95,0)))</f>
        <v>99999859001</v>
      </c>
      <c r="O96" t="str">
        <f t="shared" si="22"/>
        <v>関連</v>
      </c>
      <c r="Q96" s="4">
        <v>44910</v>
      </c>
      <c r="S96" t="str">
        <f t="shared" si="23"/>
        <v>99999859015</v>
      </c>
      <c r="T96" t="s">
        <v>50</v>
      </c>
      <c r="U96" t="s">
        <v>50</v>
      </c>
      <c r="V96" t="s">
        <v>448</v>
      </c>
      <c r="AB96" t="str">
        <f t="shared" si="24"/>
        <v>99999859001関連</v>
      </c>
    </row>
    <row r="97" spans="2:28" x14ac:dyDescent="0.4">
      <c r="B97" t="s">
        <v>21</v>
      </c>
      <c r="C97">
        <f>IF(G97="","",MAX(C$4:C96)+1)</f>
        <v>85</v>
      </c>
      <c r="D97">
        <f>IF(AND(N97=""),"",MAX(D$4:D96)+1)</f>
        <v>85</v>
      </c>
      <c r="F97" s="26" t="str">
        <f t="shared" si="15"/>
        <v>99999859016</v>
      </c>
      <c r="G97" s="29">
        <f t="shared" si="16"/>
        <v>99999859016</v>
      </c>
      <c r="H97" s="20" t="str">
        <f t="shared" si="17"/>
        <v>-</v>
      </c>
      <c r="I97" s="20" t="str">
        <f t="shared" si="18"/>
        <v>ー</v>
      </c>
      <c r="J97" s="20" t="str">
        <f t="shared" si="19"/>
        <v>遊佐町</v>
      </c>
      <c r="K97" s="31" t="str">
        <f t="shared" si="20"/>
        <v>99999859001関連</v>
      </c>
      <c r="L97" s="23" t="str">
        <f t="shared" si="21"/>
        <v/>
      </c>
      <c r="M97" cm="1">
        <f t="array" ref="M97">IF(COUNT(INDEX(FIND(ROW($1:$10)-1,K97),)),VALUE(MID(K97,MIN(SEARCH({1,2,3,4,5,6,7,8,9,0},K97&amp;1234567890)),LEN(K97)-(LENB(K97)-LEN(K97)))),"")</f>
        <v>99999859001</v>
      </c>
      <c r="N97">
        <f>IF(L97&lt;&gt;"○",M97,INDEX(G$4:G96,MATCH(L97&amp;M97,F$4:F96,0)))</f>
        <v>99999859001</v>
      </c>
      <c r="O97" t="str">
        <f t="shared" si="22"/>
        <v>関連</v>
      </c>
      <c r="Q97" s="4">
        <v>44910</v>
      </c>
      <c r="S97" t="str">
        <f t="shared" si="23"/>
        <v>99999859016</v>
      </c>
      <c r="T97" t="s">
        <v>50</v>
      </c>
      <c r="U97" t="s">
        <v>50</v>
      </c>
      <c r="V97" t="s">
        <v>448</v>
      </c>
      <c r="AB97" t="str">
        <f t="shared" si="24"/>
        <v>99999859001関連</v>
      </c>
    </row>
    <row r="98" spans="2:28" x14ac:dyDescent="0.4">
      <c r="B98" t="s">
        <v>21</v>
      </c>
      <c r="C98">
        <f>IF(G98="","",MAX(C$4:C97)+1)</f>
        <v>86</v>
      </c>
      <c r="D98">
        <f>IF(AND(N98=""),"",MAX(D$4:D97)+1)</f>
        <v>86</v>
      </c>
      <c r="F98" s="26" t="str">
        <f t="shared" si="15"/>
        <v>99999859017</v>
      </c>
      <c r="G98" s="29">
        <f t="shared" si="16"/>
        <v>99999859017</v>
      </c>
      <c r="H98" s="20" t="str">
        <f t="shared" si="17"/>
        <v>-</v>
      </c>
      <c r="I98" s="20" t="str">
        <f t="shared" si="18"/>
        <v>ー</v>
      </c>
      <c r="J98" s="20" t="str">
        <f t="shared" si="19"/>
        <v>遊佐町</v>
      </c>
      <c r="K98" s="31" t="str">
        <f t="shared" si="20"/>
        <v>99999859001関連</v>
      </c>
      <c r="L98" s="23" t="str">
        <f t="shared" si="21"/>
        <v/>
      </c>
      <c r="M98" cm="1">
        <f t="array" ref="M98">IF(COUNT(INDEX(FIND(ROW($1:$10)-1,K98),)),VALUE(MID(K98,MIN(SEARCH({1,2,3,4,5,6,7,8,9,0},K98&amp;1234567890)),LEN(K98)-(LENB(K98)-LEN(K98)))),"")</f>
        <v>99999859001</v>
      </c>
      <c r="N98">
        <f>IF(L98&lt;&gt;"○",M98,INDEX(G$4:G97,MATCH(L98&amp;M98,F$4:F97,0)))</f>
        <v>99999859001</v>
      </c>
      <c r="O98" t="str">
        <f t="shared" si="22"/>
        <v>関連</v>
      </c>
      <c r="Q98" s="4">
        <v>44910</v>
      </c>
      <c r="S98" t="str">
        <f t="shared" si="23"/>
        <v>99999859017</v>
      </c>
      <c r="T98" t="s">
        <v>50</v>
      </c>
      <c r="U98" t="s">
        <v>50</v>
      </c>
      <c r="V98" t="s">
        <v>448</v>
      </c>
      <c r="AB98" t="str">
        <f t="shared" si="24"/>
        <v>99999859001関連</v>
      </c>
    </row>
    <row r="99" spans="2:28" x14ac:dyDescent="0.4">
      <c r="B99" t="s">
        <v>21</v>
      </c>
      <c r="C99">
        <f>IF(G99="","",MAX(C$4:C98)+1)</f>
        <v>87</v>
      </c>
      <c r="D99">
        <f>IF(AND(N99=""),"",MAX(D$4:D98)+1)</f>
        <v>87</v>
      </c>
      <c r="F99" s="26" t="str">
        <f t="shared" si="15"/>
        <v>99999859018</v>
      </c>
      <c r="G99" s="29">
        <f t="shared" si="16"/>
        <v>99999859018</v>
      </c>
      <c r="H99" s="20" t="str">
        <f t="shared" si="17"/>
        <v>-</v>
      </c>
      <c r="I99" s="20" t="str">
        <f t="shared" si="18"/>
        <v>ー</v>
      </c>
      <c r="J99" s="20" t="str">
        <f t="shared" si="19"/>
        <v>遊佐町</v>
      </c>
      <c r="K99" s="31" t="str">
        <f t="shared" si="20"/>
        <v>99999859001関連</v>
      </c>
      <c r="L99" s="23" t="str">
        <f t="shared" si="21"/>
        <v/>
      </c>
      <c r="M99" cm="1">
        <f t="array" ref="M99">IF(COUNT(INDEX(FIND(ROW($1:$10)-1,K99),)),VALUE(MID(K99,MIN(SEARCH({1,2,3,4,5,6,7,8,9,0},K99&amp;1234567890)),LEN(K99)-(LENB(K99)-LEN(K99)))),"")</f>
        <v>99999859001</v>
      </c>
      <c r="N99">
        <f>IF(L99&lt;&gt;"○",M99,INDEX(G$4:G98,MATCH(L99&amp;M99,F$4:F98,0)))</f>
        <v>99999859001</v>
      </c>
      <c r="O99" t="str">
        <f t="shared" si="22"/>
        <v>関連</v>
      </c>
      <c r="Q99" s="4">
        <v>44910</v>
      </c>
      <c r="S99" t="str">
        <f t="shared" si="23"/>
        <v>99999859018</v>
      </c>
      <c r="T99" t="s">
        <v>50</v>
      </c>
      <c r="U99" t="s">
        <v>50</v>
      </c>
      <c r="V99" t="s">
        <v>448</v>
      </c>
      <c r="AB99" t="str">
        <f t="shared" si="24"/>
        <v>99999859001関連</v>
      </c>
    </row>
    <row r="100" spans="2:28" x14ac:dyDescent="0.4">
      <c r="B100" t="s">
        <v>21</v>
      </c>
      <c r="C100">
        <f>IF(G100="","",MAX(C$4:C99)+1)</f>
        <v>88</v>
      </c>
      <c r="D100">
        <f>IF(AND(N100=""),"",MAX(D$4:D99)+1)</f>
        <v>88</v>
      </c>
      <c r="F100" s="26" t="str">
        <f t="shared" si="15"/>
        <v>99999859019</v>
      </c>
      <c r="G100" s="29">
        <f t="shared" si="16"/>
        <v>99999859019</v>
      </c>
      <c r="H100" s="20" t="str">
        <f t="shared" si="17"/>
        <v>-</v>
      </c>
      <c r="I100" s="20" t="str">
        <f t="shared" si="18"/>
        <v>ー</v>
      </c>
      <c r="J100" s="20" t="str">
        <f t="shared" si="19"/>
        <v>遊佐町</v>
      </c>
      <c r="K100" s="31" t="str">
        <f t="shared" si="20"/>
        <v>99999859001関連</v>
      </c>
      <c r="L100" s="23" t="str">
        <f t="shared" si="21"/>
        <v/>
      </c>
      <c r="M100" cm="1">
        <f t="array" ref="M100">IF(COUNT(INDEX(FIND(ROW($1:$10)-1,K100),)),VALUE(MID(K100,MIN(SEARCH({1,2,3,4,5,6,7,8,9,0},K100&amp;1234567890)),LEN(K100)-(LENB(K100)-LEN(K100)))),"")</f>
        <v>99999859001</v>
      </c>
      <c r="N100">
        <f>IF(L100&lt;&gt;"○",M100,INDEX(G$4:G99,MATCH(L100&amp;M100,F$4:F99,0)))</f>
        <v>99999859001</v>
      </c>
      <c r="O100" t="str">
        <f t="shared" si="22"/>
        <v>関連</v>
      </c>
      <c r="Q100" s="4">
        <v>44910</v>
      </c>
      <c r="S100" t="str">
        <f t="shared" si="23"/>
        <v>99999859019</v>
      </c>
      <c r="T100" t="s">
        <v>50</v>
      </c>
      <c r="U100" t="s">
        <v>50</v>
      </c>
      <c r="V100" t="s">
        <v>448</v>
      </c>
      <c r="AB100" t="str">
        <f t="shared" si="24"/>
        <v>99999859001関連</v>
      </c>
    </row>
    <row r="101" spans="2:28" x14ac:dyDescent="0.4">
      <c r="B101" t="s">
        <v>21</v>
      </c>
      <c r="C101">
        <f>IF(G101="","",MAX(C$4:C100)+1)</f>
        <v>89</v>
      </c>
      <c r="D101">
        <f>IF(AND(N101=""),"",MAX(D$4:D100)+1)</f>
        <v>89</v>
      </c>
      <c r="F101" s="26" t="str">
        <f t="shared" si="15"/>
        <v>99999859020</v>
      </c>
      <c r="G101" s="29">
        <f t="shared" si="16"/>
        <v>99999859020</v>
      </c>
      <c r="H101" s="20" t="str">
        <f t="shared" si="17"/>
        <v>-</v>
      </c>
      <c r="I101" s="20" t="str">
        <f t="shared" si="18"/>
        <v>ー</v>
      </c>
      <c r="J101" s="20" t="str">
        <f t="shared" si="19"/>
        <v>遊佐町</v>
      </c>
      <c r="K101" s="31" t="str">
        <f t="shared" si="20"/>
        <v>99999859001関連</v>
      </c>
      <c r="L101" s="23" t="str">
        <f t="shared" si="21"/>
        <v/>
      </c>
      <c r="M101" cm="1">
        <f t="array" ref="M101">IF(COUNT(INDEX(FIND(ROW($1:$10)-1,K101),)),VALUE(MID(K101,MIN(SEARCH({1,2,3,4,5,6,7,8,9,0},K101&amp;1234567890)),LEN(K101)-(LENB(K101)-LEN(K101)))),"")</f>
        <v>99999859001</v>
      </c>
      <c r="N101">
        <f>IF(L101&lt;&gt;"○",M101,INDEX(G$4:G100,MATCH(L101&amp;M101,F$4:F100,0)))</f>
        <v>99999859001</v>
      </c>
      <c r="O101" t="str">
        <f t="shared" si="22"/>
        <v>関連</v>
      </c>
      <c r="Q101" s="4">
        <v>44910</v>
      </c>
      <c r="S101" t="str">
        <f t="shared" si="23"/>
        <v>99999859020</v>
      </c>
      <c r="T101" t="s">
        <v>50</v>
      </c>
      <c r="U101" t="s">
        <v>50</v>
      </c>
      <c r="V101" t="s">
        <v>448</v>
      </c>
      <c r="AB101" t="str">
        <f t="shared" si="24"/>
        <v>99999859001関連</v>
      </c>
    </row>
    <row r="102" spans="2:28" x14ac:dyDescent="0.4">
      <c r="B102" t="s">
        <v>21</v>
      </c>
      <c r="C102">
        <f>IF(G102="","",MAX(C$4:C101)+1)</f>
        <v>90</v>
      </c>
      <c r="D102">
        <f>IF(AND(N102=""),"",MAX(D$4:D101)+1)</f>
        <v>90</v>
      </c>
      <c r="F102" s="26" t="str">
        <f t="shared" si="15"/>
        <v>99999859021</v>
      </c>
      <c r="G102" s="29">
        <f t="shared" si="16"/>
        <v>99999859021</v>
      </c>
      <c r="H102" s="20" t="str">
        <f t="shared" si="17"/>
        <v>-</v>
      </c>
      <c r="I102" s="20" t="str">
        <f t="shared" si="18"/>
        <v>ー</v>
      </c>
      <c r="J102" s="20" t="str">
        <f t="shared" si="19"/>
        <v>遊佐町</v>
      </c>
      <c r="K102" s="31" t="str">
        <f t="shared" si="20"/>
        <v>99999859001関連</v>
      </c>
      <c r="L102" s="23" t="str">
        <f t="shared" si="21"/>
        <v/>
      </c>
      <c r="M102" cm="1">
        <f t="array" ref="M102">IF(COUNT(INDEX(FIND(ROW($1:$10)-1,K102),)),VALUE(MID(K102,MIN(SEARCH({1,2,3,4,5,6,7,8,9,0},K102&amp;1234567890)),LEN(K102)-(LENB(K102)-LEN(K102)))),"")</f>
        <v>99999859001</v>
      </c>
      <c r="N102">
        <f>IF(L102&lt;&gt;"○",M102,INDEX(G$4:G101,MATCH(L102&amp;M102,F$4:F101,0)))</f>
        <v>99999859001</v>
      </c>
      <c r="O102" t="str">
        <f t="shared" si="22"/>
        <v>関連</v>
      </c>
      <c r="Q102" s="4">
        <v>44910</v>
      </c>
      <c r="S102" t="str">
        <f t="shared" si="23"/>
        <v>99999859021</v>
      </c>
      <c r="T102" t="s">
        <v>50</v>
      </c>
      <c r="U102" t="s">
        <v>50</v>
      </c>
      <c r="V102" t="s">
        <v>448</v>
      </c>
      <c r="AB102" t="str">
        <f t="shared" si="24"/>
        <v>99999859001関連</v>
      </c>
    </row>
    <row r="103" spans="2:28" x14ac:dyDescent="0.4">
      <c r="B103" t="s">
        <v>21</v>
      </c>
      <c r="C103">
        <f>IF(G103="","",MAX(C$4:C102)+1)</f>
        <v>91</v>
      </c>
      <c r="D103">
        <f>IF(AND(N103=""),"",MAX(D$4:D102)+1)</f>
        <v>91</v>
      </c>
      <c r="F103" s="26" t="str">
        <f t="shared" si="15"/>
        <v>99999859022</v>
      </c>
      <c r="G103" s="29">
        <f t="shared" si="16"/>
        <v>99999859022</v>
      </c>
      <c r="H103" s="20" t="str">
        <f t="shared" si="17"/>
        <v>-</v>
      </c>
      <c r="I103" s="20" t="str">
        <f t="shared" si="18"/>
        <v>ー</v>
      </c>
      <c r="J103" s="20" t="str">
        <f t="shared" si="19"/>
        <v>遊佐町</v>
      </c>
      <c r="K103" s="31" t="str">
        <f t="shared" si="20"/>
        <v>99999859001関連</v>
      </c>
      <c r="L103" s="23" t="str">
        <f t="shared" si="21"/>
        <v/>
      </c>
      <c r="M103" cm="1">
        <f t="array" ref="M103">IF(COUNT(INDEX(FIND(ROW($1:$10)-1,K103),)),VALUE(MID(K103,MIN(SEARCH({1,2,3,4,5,6,7,8,9,0},K103&amp;1234567890)),LEN(K103)-(LENB(K103)-LEN(K103)))),"")</f>
        <v>99999859001</v>
      </c>
      <c r="N103">
        <f>IF(L103&lt;&gt;"○",M103,INDEX(G$4:G102,MATCH(L103&amp;M103,F$4:F102,0)))</f>
        <v>99999859001</v>
      </c>
      <c r="O103" t="str">
        <f t="shared" si="22"/>
        <v>関連</v>
      </c>
      <c r="Q103" s="4">
        <v>44910</v>
      </c>
      <c r="S103" t="str">
        <f t="shared" si="23"/>
        <v>99999859022</v>
      </c>
      <c r="T103" t="s">
        <v>50</v>
      </c>
      <c r="U103" t="s">
        <v>50</v>
      </c>
      <c r="V103" t="s">
        <v>448</v>
      </c>
      <c r="AB103" t="str">
        <f t="shared" si="24"/>
        <v>99999859001関連</v>
      </c>
    </row>
    <row r="104" spans="2:28" x14ac:dyDescent="0.4">
      <c r="B104" t="s">
        <v>21</v>
      </c>
      <c r="C104">
        <f>IF(G104="","",MAX(C$4:C103)+1)</f>
        <v>92</v>
      </c>
      <c r="D104">
        <f>IF(AND(N104=""),"",MAX(D$4:D103)+1)</f>
        <v>92</v>
      </c>
      <c r="F104" s="26" t="str">
        <f t="shared" si="15"/>
        <v>99999859023</v>
      </c>
      <c r="G104" s="29">
        <f t="shared" si="16"/>
        <v>99999859023</v>
      </c>
      <c r="H104" s="20" t="str">
        <f t="shared" si="17"/>
        <v>-</v>
      </c>
      <c r="I104" s="20" t="str">
        <f t="shared" si="18"/>
        <v>ー</v>
      </c>
      <c r="J104" s="20" t="str">
        <f t="shared" si="19"/>
        <v>遊佐町</v>
      </c>
      <c r="K104" s="31" t="str">
        <f t="shared" si="20"/>
        <v>99999859001関連</v>
      </c>
      <c r="L104" s="23" t="str">
        <f t="shared" si="21"/>
        <v/>
      </c>
      <c r="M104" cm="1">
        <f t="array" ref="M104">IF(COUNT(INDEX(FIND(ROW($1:$10)-1,K104),)),VALUE(MID(K104,MIN(SEARCH({1,2,3,4,5,6,7,8,9,0},K104&amp;1234567890)),LEN(K104)-(LENB(K104)-LEN(K104)))),"")</f>
        <v>99999859001</v>
      </c>
      <c r="N104">
        <f>IF(L104&lt;&gt;"○",M104,INDEX(G$4:G103,MATCH(L104&amp;M104,F$4:F103,0)))</f>
        <v>99999859001</v>
      </c>
      <c r="O104" t="str">
        <f t="shared" si="22"/>
        <v>関連</v>
      </c>
      <c r="Q104" s="4">
        <v>44910</v>
      </c>
      <c r="S104" t="str">
        <f t="shared" si="23"/>
        <v>99999859023</v>
      </c>
      <c r="T104" t="s">
        <v>50</v>
      </c>
      <c r="U104" t="s">
        <v>50</v>
      </c>
      <c r="V104" t="s">
        <v>448</v>
      </c>
      <c r="AB104" t="str">
        <f t="shared" si="24"/>
        <v>99999859001関連</v>
      </c>
    </row>
    <row r="105" spans="2:28" x14ac:dyDescent="0.4">
      <c r="B105" t="s">
        <v>21</v>
      </c>
      <c r="C105">
        <f>IF(G105="","",MAX(C$4:C104)+1)</f>
        <v>93</v>
      </c>
      <c r="D105">
        <f>IF(AND(N105=""),"",MAX(D$4:D104)+1)</f>
        <v>93</v>
      </c>
      <c r="F105" s="26" t="str">
        <f t="shared" si="15"/>
        <v>99999859024</v>
      </c>
      <c r="G105" s="29">
        <f t="shared" si="16"/>
        <v>99999859024</v>
      </c>
      <c r="H105" s="20" t="str">
        <f t="shared" si="17"/>
        <v>-</v>
      </c>
      <c r="I105" s="20" t="str">
        <f t="shared" si="18"/>
        <v>ー</v>
      </c>
      <c r="J105" s="20" t="str">
        <f t="shared" si="19"/>
        <v>遊佐町</v>
      </c>
      <c r="K105" s="31" t="str">
        <f t="shared" si="20"/>
        <v>99999859001関連</v>
      </c>
      <c r="L105" s="23" t="str">
        <f t="shared" si="21"/>
        <v/>
      </c>
      <c r="M105" cm="1">
        <f t="array" ref="M105">IF(COUNT(INDEX(FIND(ROW($1:$10)-1,K105),)),VALUE(MID(K105,MIN(SEARCH({1,2,3,4,5,6,7,8,9,0},K105&amp;1234567890)),LEN(K105)-(LENB(K105)-LEN(K105)))),"")</f>
        <v>99999859001</v>
      </c>
      <c r="N105">
        <f>IF(L105&lt;&gt;"○",M105,INDEX(G$4:G104,MATCH(L105&amp;M105,F$4:F104,0)))</f>
        <v>99999859001</v>
      </c>
      <c r="O105" t="str">
        <f t="shared" si="22"/>
        <v>関連</v>
      </c>
      <c r="Q105" s="4">
        <v>44910</v>
      </c>
      <c r="S105" t="str">
        <f t="shared" si="23"/>
        <v>99999859024</v>
      </c>
      <c r="T105" t="s">
        <v>50</v>
      </c>
      <c r="U105" t="s">
        <v>50</v>
      </c>
      <c r="V105" t="s">
        <v>448</v>
      </c>
      <c r="AB105" t="str">
        <f t="shared" si="24"/>
        <v>99999859001関連</v>
      </c>
    </row>
    <row r="106" spans="2:28" x14ac:dyDescent="0.4">
      <c r="B106" t="s">
        <v>21</v>
      </c>
      <c r="C106">
        <f>IF(G106="","",MAX(C$4:C105)+1)</f>
        <v>94</v>
      </c>
      <c r="D106">
        <f>IF(AND(N106=""),"",MAX(D$4:D105)+1)</f>
        <v>94</v>
      </c>
      <c r="F106" s="26" t="str">
        <f t="shared" si="15"/>
        <v>99999859025</v>
      </c>
      <c r="G106" s="29">
        <f t="shared" si="16"/>
        <v>99999859025</v>
      </c>
      <c r="H106" s="20" t="str">
        <f t="shared" si="17"/>
        <v>-</v>
      </c>
      <c r="I106" s="20" t="str">
        <f t="shared" si="18"/>
        <v>ー</v>
      </c>
      <c r="J106" s="20" t="str">
        <f t="shared" si="19"/>
        <v>遊佐町</v>
      </c>
      <c r="K106" s="31" t="str">
        <f t="shared" si="20"/>
        <v>99999859001関連</v>
      </c>
      <c r="L106" s="23" t="str">
        <f t="shared" si="21"/>
        <v/>
      </c>
      <c r="M106" cm="1">
        <f t="array" ref="M106">IF(COUNT(INDEX(FIND(ROW($1:$10)-1,K106),)),VALUE(MID(K106,MIN(SEARCH({1,2,3,4,5,6,7,8,9,0},K106&amp;1234567890)),LEN(K106)-(LENB(K106)-LEN(K106)))),"")</f>
        <v>99999859001</v>
      </c>
      <c r="N106">
        <f>IF(L106&lt;&gt;"○",M106,INDEX(G$4:G105,MATCH(L106&amp;M106,F$4:F105,0)))</f>
        <v>99999859001</v>
      </c>
      <c r="O106" t="str">
        <f t="shared" si="22"/>
        <v>関連</v>
      </c>
      <c r="Q106" s="4">
        <v>44910</v>
      </c>
      <c r="S106" t="str">
        <f t="shared" si="23"/>
        <v>99999859025</v>
      </c>
      <c r="T106" t="s">
        <v>50</v>
      </c>
      <c r="U106" t="s">
        <v>50</v>
      </c>
      <c r="V106" t="s">
        <v>448</v>
      </c>
      <c r="AB106" t="str">
        <f t="shared" si="24"/>
        <v>99999859001関連</v>
      </c>
    </row>
    <row r="107" spans="2:28" x14ac:dyDescent="0.4">
      <c r="B107" t="s">
        <v>21</v>
      </c>
      <c r="C107">
        <f>IF(G107="","",MAX(C$4:C106)+1)</f>
        <v>95</v>
      </c>
      <c r="D107">
        <f>IF(AND(N107=""),"",MAX(D$4:D106)+1)</f>
        <v>95</v>
      </c>
      <c r="F107" s="26" t="str">
        <f t="shared" si="15"/>
        <v>99999859026</v>
      </c>
      <c r="G107" s="29">
        <f t="shared" si="16"/>
        <v>99999859026</v>
      </c>
      <c r="H107" s="20" t="str">
        <f t="shared" si="17"/>
        <v>-</v>
      </c>
      <c r="I107" s="20" t="str">
        <f t="shared" si="18"/>
        <v>ー</v>
      </c>
      <c r="J107" s="20" t="str">
        <f t="shared" si="19"/>
        <v>遊佐町</v>
      </c>
      <c r="K107" s="31" t="str">
        <f t="shared" si="20"/>
        <v>99999859001関連</v>
      </c>
      <c r="L107" s="23" t="str">
        <f t="shared" si="21"/>
        <v/>
      </c>
      <c r="M107" cm="1">
        <f t="array" ref="M107">IF(COUNT(INDEX(FIND(ROW($1:$10)-1,K107),)),VALUE(MID(K107,MIN(SEARCH({1,2,3,4,5,6,7,8,9,0},K107&amp;1234567890)),LEN(K107)-(LENB(K107)-LEN(K107)))),"")</f>
        <v>99999859001</v>
      </c>
      <c r="N107">
        <f>IF(L107&lt;&gt;"○",M107,INDEX(G$4:G106,MATCH(L107&amp;M107,F$4:F106,0)))</f>
        <v>99999859001</v>
      </c>
      <c r="O107" t="str">
        <f t="shared" si="22"/>
        <v>関連</v>
      </c>
      <c r="Q107" s="4">
        <v>44910</v>
      </c>
      <c r="S107" t="str">
        <f t="shared" si="23"/>
        <v>99999859026</v>
      </c>
      <c r="T107" t="s">
        <v>50</v>
      </c>
      <c r="U107" t="s">
        <v>50</v>
      </c>
      <c r="V107" t="s">
        <v>448</v>
      </c>
      <c r="AB107" t="str">
        <f t="shared" si="24"/>
        <v>99999859001関連</v>
      </c>
    </row>
    <row r="108" spans="2:28" x14ac:dyDescent="0.4">
      <c r="B108" t="s">
        <v>21</v>
      </c>
      <c r="C108">
        <f>IF(G108="","",MAX(C$4:C107)+1)</f>
        <v>96</v>
      </c>
      <c r="D108">
        <f>IF(AND(N108=""),"",MAX(D$4:D107)+1)</f>
        <v>96</v>
      </c>
      <c r="F108" s="26" t="str">
        <f t="shared" si="15"/>
        <v>99999859027</v>
      </c>
      <c r="G108" s="29">
        <f t="shared" si="16"/>
        <v>99999859027</v>
      </c>
      <c r="H108" s="20" t="str">
        <f t="shared" si="17"/>
        <v>-</v>
      </c>
      <c r="I108" s="20" t="str">
        <f t="shared" si="18"/>
        <v>ー</v>
      </c>
      <c r="J108" s="20" t="str">
        <f t="shared" si="19"/>
        <v>遊佐町</v>
      </c>
      <c r="K108" s="31" t="str">
        <f t="shared" si="20"/>
        <v>99999859001関連</v>
      </c>
      <c r="L108" s="23" t="str">
        <f t="shared" si="21"/>
        <v/>
      </c>
      <c r="M108" cm="1">
        <f t="array" ref="M108">IF(COUNT(INDEX(FIND(ROW($1:$10)-1,K108),)),VALUE(MID(K108,MIN(SEARCH({1,2,3,4,5,6,7,8,9,0},K108&amp;1234567890)),LEN(K108)-(LENB(K108)-LEN(K108)))),"")</f>
        <v>99999859001</v>
      </c>
      <c r="N108">
        <f>IF(L108&lt;&gt;"○",M108,INDEX(G$4:G107,MATCH(L108&amp;M108,F$4:F107,0)))</f>
        <v>99999859001</v>
      </c>
      <c r="O108" t="str">
        <f t="shared" si="22"/>
        <v>関連</v>
      </c>
      <c r="Q108" s="4">
        <v>44910</v>
      </c>
      <c r="S108" t="str">
        <f t="shared" si="23"/>
        <v>99999859027</v>
      </c>
      <c r="T108" t="s">
        <v>50</v>
      </c>
      <c r="U108" t="s">
        <v>50</v>
      </c>
      <c r="V108" t="s">
        <v>448</v>
      </c>
      <c r="AB108" t="str">
        <f t="shared" si="24"/>
        <v>99999859001関連</v>
      </c>
    </row>
    <row r="109" spans="2:28" x14ac:dyDescent="0.4">
      <c r="B109" t="s">
        <v>21</v>
      </c>
      <c r="C109">
        <f>IF(G109="","",MAX(C$4:C108)+1)</f>
        <v>97</v>
      </c>
      <c r="D109">
        <f>IF(AND(N109=""),"",MAX(D$4:D108)+1)</f>
        <v>97</v>
      </c>
      <c r="F109" s="26" t="str">
        <f t="shared" si="15"/>
        <v>99999859028</v>
      </c>
      <c r="G109" s="29">
        <f t="shared" si="16"/>
        <v>99999859028</v>
      </c>
      <c r="H109" s="20" t="str">
        <f t="shared" si="17"/>
        <v>-</v>
      </c>
      <c r="I109" s="20" t="str">
        <f t="shared" si="18"/>
        <v>ー</v>
      </c>
      <c r="J109" s="20" t="str">
        <f t="shared" si="19"/>
        <v>遊佐町</v>
      </c>
      <c r="K109" s="31" t="str">
        <f t="shared" si="20"/>
        <v>99999859001関連</v>
      </c>
      <c r="L109" s="23" t="str">
        <f t="shared" si="21"/>
        <v/>
      </c>
      <c r="M109" cm="1">
        <f t="array" ref="M109">IF(COUNT(INDEX(FIND(ROW($1:$10)-1,K109),)),VALUE(MID(K109,MIN(SEARCH({1,2,3,4,5,6,7,8,9,0},K109&amp;1234567890)),LEN(K109)-(LENB(K109)-LEN(K109)))),"")</f>
        <v>99999859001</v>
      </c>
      <c r="N109">
        <f>IF(L109&lt;&gt;"○",M109,INDEX(G$4:G108,MATCH(L109&amp;M109,F$4:F108,0)))</f>
        <v>99999859001</v>
      </c>
      <c r="O109" t="str">
        <f t="shared" si="22"/>
        <v>関連</v>
      </c>
      <c r="Q109" s="4">
        <v>44910</v>
      </c>
      <c r="S109" t="str">
        <f t="shared" si="23"/>
        <v>99999859028</v>
      </c>
      <c r="T109" t="s">
        <v>50</v>
      </c>
      <c r="U109" t="s">
        <v>50</v>
      </c>
      <c r="V109" t="s">
        <v>448</v>
      </c>
      <c r="AB109" t="str">
        <f t="shared" si="24"/>
        <v>99999859001関連</v>
      </c>
    </row>
    <row r="110" spans="2:28" x14ac:dyDescent="0.4">
      <c r="B110" t="s">
        <v>21</v>
      </c>
      <c r="C110">
        <f>IF(G110="","",MAX(C$4:C109)+1)</f>
        <v>98</v>
      </c>
      <c r="D110">
        <f>IF(AND(N110=""),"",MAX(D$4:D109)+1)</f>
        <v>98</v>
      </c>
      <c r="F110" s="26" t="str">
        <f t="shared" si="15"/>
        <v>99999859029</v>
      </c>
      <c r="G110" s="29">
        <f t="shared" si="16"/>
        <v>99999859029</v>
      </c>
      <c r="H110" s="20" t="str">
        <f t="shared" si="17"/>
        <v>-</v>
      </c>
      <c r="I110" s="20" t="str">
        <f t="shared" si="18"/>
        <v>ー</v>
      </c>
      <c r="J110" s="20" t="str">
        <f t="shared" si="19"/>
        <v>遊佐町</v>
      </c>
      <c r="K110" s="31" t="str">
        <f t="shared" si="20"/>
        <v>99999859001関連</v>
      </c>
      <c r="L110" s="23" t="str">
        <f t="shared" si="21"/>
        <v/>
      </c>
      <c r="M110" cm="1">
        <f t="array" ref="M110">IF(COUNT(INDEX(FIND(ROW($1:$10)-1,K110),)),VALUE(MID(K110,MIN(SEARCH({1,2,3,4,5,6,7,8,9,0},K110&amp;1234567890)),LEN(K110)-(LENB(K110)-LEN(K110)))),"")</f>
        <v>99999859001</v>
      </c>
      <c r="N110">
        <f>IF(L110&lt;&gt;"○",M110,INDEX(G$4:G109,MATCH(L110&amp;M110,F$4:F109,0)))</f>
        <v>99999859001</v>
      </c>
      <c r="O110" t="str">
        <f t="shared" si="22"/>
        <v>関連</v>
      </c>
      <c r="Q110" s="4">
        <v>44910</v>
      </c>
      <c r="S110" t="str">
        <f t="shared" si="23"/>
        <v>99999859029</v>
      </c>
      <c r="T110" t="s">
        <v>50</v>
      </c>
      <c r="U110" t="s">
        <v>50</v>
      </c>
      <c r="V110" t="s">
        <v>448</v>
      </c>
      <c r="AB110" t="str">
        <f t="shared" si="24"/>
        <v>99999859001関連</v>
      </c>
    </row>
    <row r="111" spans="2:28" x14ac:dyDescent="0.4">
      <c r="B111" t="s">
        <v>21</v>
      </c>
      <c r="C111">
        <f>IF(G111="","",MAX(C$4:C110)+1)</f>
        <v>99</v>
      </c>
      <c r="D111">
        <f>IF(AND(N111=""),"",MAX(D$4:D110)+1)</f>
        <v>99</v>
      </c>
      <c r="F111" s="26" t="str">
        <f t="shared" si="15"/>
        <v>99999859030</v>
      </c>
      <c r="G111" s="29">
        <f t="shared" si="16"/>
        <v>99999859030</v>
      </c>
      <c r="H111" s="20" t="str">
        <f t="shared" si="17"/>
        <v>-</v>
      </c>
      <c r="I111" s="20" t="str">
        <f t="shared" si="18"/>
        <v>ー</v>
      </c>
      <c r="J111" s="20" t="str">
        <f t="shared" si="19"/>
        <v>遊佐町</v>
      </c>
      <c r="K111" s="31" t="str">
        <f t="shared" si="20"/>
        <v>99999859001関連</v>
      </c>
      <c r="L111" s="23" t="str">
        <f t="shared" si="21"/>
        <v/>
      </c>
      <c r="M111" cm="1">
        <f t="array" ref="M111">IF(COUNT(INDEX(FIND(ROW($1:$10)-1,K111),)),VALUE(MID(K111,MIN(SEARCH({1,2,3,4,5,6,7,8,9,0},K111&amp;1234567890)),LEN(K111)-(LENB(K111)-LEN(K111)))),"")</f>
        <v>99999859001</v>
      </c>
      <c r="N111">
        <f>IF(L111&lt;&gt;"○",M111,INDEX(G$4:G110,MATCH(L111&amp;M111,F$4:F110,0)))</f>
        <v>99999859001</v>
      </c>
      <c r="O111" t="str">
        <f t="shared" si="22"/>
        <v>関連</v>
      </c>
      <c r="Q111" s="4">
        <v>44910</v>
      </c>
      <c r="S111" t="str">
        <f t="shared" si="23"/>
        <v>99999859030</v>
      </c>
      <c r="T111" t="s">
        <v>50</v>
      </c>
      <c r="U111" t="s">
        <v>50</v>
      </c>
      <c r="V111" t="s">
        <v>448</v>
      </c>
      <c r="AB111" t="str">
        <f t="shared" si="24"/>
        <v>99999859001関連</v>
      </c>
    </row>
    <row r="112" spans="2:28" x14ac:dyDescent="0.4">
      <c r="B112" t="s">
        <v>21</v>
      </c>
      <c r="C112">
        <f>IF(G112="","",MAX(C$4:C111)+1)</f>
        <v>100</v>
      </c>
      <c r="D112">
        <f>IF(AND(N112=""),"",MAX(D$4:D111)+1)</f>
        <v>100</v>
      </c>
      <c r="F112" s="26" t="str">
        <f t="shared" si="15"/>
        <v>99999859031</v>
      </c>
      <c r="G112" s="29">
        <f t="shared" si="16"/>
        <v>99999859031</v>
      </c>
      <c r="H112" s="20" t="str">
        <f t="shared" si="17"/>
        <v>-</v>
      </c>
      <c r="I112" s="20" t="str">
        <f t="shared" si="18"/>
        <v>ー</v>
      </c>
      <c r="J112" s="20" t="str">
        <f t="shared" si="19"/>
        <v>遊佐町</v>
      </c>
      <c r="K112" s="31" t="str">
        <f t="shared" si="20"/>
        <v>99999859001関連</v>
      </c>
      <c r="L112" s="23" t="str">
        <f t="shared" si="21"/>
        <v/>
      </c>
      <c r="M112" cm="1">
        <f t="array" ref="M112">IF(COUNT(INDEX(FIND(ROW($1:$10)-1,K112),)),VALUE(MID(K112,MIN(SEARCH({1,2,3,4,5,6,7,8,9,0},K112&amp;1234567890)),LEN(K112)-(LENB(K112)-LEN(K112)))),"")</f>
        <v>99999859001</v>
      </c>
      <c r="N112">
        <f>IF(L112&lt;&gt;"○",M112,INDEX(G$4:G111,MATCH(L112&amp;M112,F$4:F111,0)))</f>
        <v>99999859001</v>
      </c>
      <c r="O112" t="str">
        <f t="shared" si="22"/>
        <v>関連</v>
      </c>
      <c r="Q112" s="4">
        <v>44910</v>
      </c>
      <c r="S112" t="str">
        <f t="shared" si="23"/>
        <v>99999859031</v>
      </c>
      <c r="T112" t="s">
        <v>50</v>
      </c>
      <c r="U112" t="s">
        <v>50</v>
      </c>
      <c r="V112" t="s">
        <v>448</v>
      </c>
      <c r="AB112" t="str">
        <f t="shared" si="24"/>
        <v>99999859001関連</v>
      </c>
    </row>
    <row r="113" spans="2:28" x14ac:dyDescent="0.4">
      <c r="B113" t="s">
        <v>21</v>
      </c>
      <c r="C113">
        <f>IF(G113="","",MAX(C$4:C112)+1)</f>
        <v>101</v>
      </c>
      <c r="D113">
        <f>IF(AND(N113=""),"",MAX(D$4:D112)+1)</f>
        <v>101</v>
      </c>
      <c r="F113" s="26" t="str">
        <f t="shared" si="15"/>
        <v>99999859032</v>
      </c>
      <c r="G113" s="29">
        <f t="shared" si="16"/>
        <v>99999859032</v>
      </c>
      <c r="H113" s="20" t="str">
        <f t="shared" si="17"/>
        <v>-</v>
      </c>
      <c r="I113" s="20" t="str">
        <f t="shared" si="18"/>
        <v>ー</v>
      </c>
      <c r="J113" s="20" t="str">
        <f t="shared" si="19"/>
        <v>遊佐町</v>
      </c>
      <c r="K113" s="31" t="str">
        <f t="shared" si="20"/>
        <v>99999859001関連</v>
      </c>
      <c r="L113" s="23" t="str">
        <f t="shared" si="21"/>
        <v/>
      </c>
      <c r="M113" cm="1">
        <f t="array" ref="M113">IF(COUNT(INDEX(FIND(ROW($1:$10)-1,K113),)),VALUE(MID(K113,MIN(SEARCH({1,2,3,4,5,6,7,8,9,0},K113&amp;1234567890)),LEN(K113)-(LENB(K113)-LEN(K113)))),"")</f>
        <v>99999859001</v>
      </c>
      <c r="N113">
        <f>IF(L113&lt;&gt;"○",M113,INDEX(G$4:G112,MATCH(L113&amp;M113,F$4:F112,0)))</f>
        <v>99999859001</v>
      </c>
      <c r="O113" t="str">
        <f t="shared" si="22"/>
        <v>関連</v>
      </c>
      <c r="Q113" s="4">
        <v>44910</v>
      </c>
      <c r="S113" t="str">
        <f t="shared" si="23"/>
        <v>99999859032</v>
      </c>
      <c r="T113" t="s">
        <v>50</v>
      </c>
      <c r="U113" t="s">
        <v>50</v>
      </c>
      <c r="V113" t="s">
        <v>448</v>
      </c>
      <c r="AB113" t="str">
        <f t="shared" si="24"/>
        <v>99999859001関連</v>
      </c>
    </row>
    <row r="114" spans="2:28" x14ac:dyDescent="0.4">
      <c r="B114" t="s">
        <v>21</v>
      </c>
      <c r="C114">
        <f>IF(G114="","",MAX(C$4:C113)+1)</f>
        <v>102</v>
      </c>
      <c r="D114">
        <f>IF(AND(N114=""),"",MAX(D$4:D113)+1)</f>
        <v>102</v>
      </c>
      <c r="F114" s="26" t="str">
        <f t="shared" si="15"/>
        <v>99999859033</v>
      </c>
      <c r="G114" s="29">
        <f t="shared" si="16"/>
        <v>99999859033</v>
      </c>
      <c r="H114" s="20" t="str">
        <f t="shared" si="17"/>
        <v>-</v>
      </c>
      <c r="I114" s="20" t="str">
        <f t="shared" si="18"/>
        <v>ー</v>
      </c>
      <c r="J114" s="20" t="str">
        <f t="shared" si="19"/>
        <v>遊佐町</v>
      </c>
      <c r="K114" s="31" t="str">
        <f t="shared" si="20"/>
        <v>99999859001関連</v>
      </c>
      <c r="L114" s="23" t="str">
        <f t="shared" si="21"/>
        <v/>
      </c>
      <c r="M114" cm="1">
        <f t="array" ref="M114">IF(COUNT(INDEX(FIND(ROW($1:$10)-1,K114),)),VALUE(MID(K114,MIN(SEARCH({1,2,3,4,5,6,7,8,9,0},K114&amp;1234567890)),LEN(K114)-(LENB(K114)-LEN(K114)))),"")</f>
        <v>99999859001</v>
      </c>
      <c r="N114">
        <f>IF(L114&lt;&gt;"○",M114,INDEX(G$4:G113,MATCH(L114&amp;M114,F$4:F113,0)))</f>
        <v>99999859001</v>
      </c>
      <c r="O114" t="str">
        <f t="shared" si="22"/>
        <v>関連</v>
      </c>
      <c r="Q114" s="4">
        <v>44910</v>
      </c>
      <c r="S114" t="str">
        <f t="shared" si="23"/>
        <v>99999859033</v>
      </c>
      <c r="T114" t="s">
        <v>50</v>
      </c>
      <c r="U114" t="s">
        <v>50</v>
      </c>
      <c r="V114" t="s">
        <v>448</v>
      </c>
      <c r="AB114" t="str">
        <f t="shared" si="24"/>
        <v>99999859001関連</v>
      </c>
    </row>
    <row r="115" spans="2:28" x14ac:dyDescent="0.4">
      <c r="B115" t="s">
        <v>21</v>
      </c>
      <c r="C115">
        <f>IF(G115="","",MAX(C$4:C114)+1)</f>
        <v>103</v>
      </c>
      <c r="D115">
        <f>IF(AND(N115=""),"",MAX(D$4:D114)+1)</f>
        <v>103</v>
      </c>
      <c r="F115" s="26" t="str">
        <f t="shared" si="15"/>
        <v>99999859034</v>
      </c>
      <c r="G115" s="29">
        <f t="shared" si="16"/>
        <v>99999859034</v>
      </c>
      <c r="H115" s="20" t="str">
        <f t="shared" si="17"/>
        <v>-</v>
      </c>
      <c r="I115" s="20" t="str">
        <f t="shared" si="18"/>
        <v>ー</v>
      </c>
      <c r="J115" s="20" t="str">
        <f t="shared" si="19"/>
        <v>遊佐町</v>
      </c>
      <c r="K115" s="31" t="str">
        <f t="shared" si="20"/>
        <v>99999859001関連</v>
      </c>
      <c r="L115" s="23" t="str">
        <f t="shared" si="21"/>
        <v/>
      </c>
      <c r="M115" cm="1">
        <f t="array" ref="M115">IF(COUNT(INDEX(FIND(ROW($1:$10)-1,K115),)),VALUE(MID(K115,MIN(SEARCH({1,2,3,4,5,6,7,8,9,0},K115&amp;1234567890)),LEN(K115)-(LENB(K115)-LEN(K115)))),"")</f>
        <v>99999859001</v>
      </c>
      <c r="N115">
        <f>IF(L115&lt;&gt;"○",M115,INDEX(G$4:G114,MATCH(L115&amp;M115,F$4:F114,0)))</f>
        <v>99999859001</v>
      </c>
      <c r="O115" t="str">
        <f t="shared" si="22"/>
        <v>関連</v>
      </c>
      <c r="Q115" s="4">
        <v>44910</v>
      </c>
      <c r="S115" t="str">
        <f t="shared" si="23"/>
        <v>99999859034</v>
      </c>
      <c r="T115" t="s">
        <v>50</v>
      </c>
      <c r="U115" t="s">
        <v>50</v>
      </c>
      <c r="V115" t="s">
        <v>448</v>
      </c>
      <c r="AB115" t="str">
        <f t="shared" si="24"/>
        <v>99999859001関連</v>
      </c>
    </row>
    <row r="116" spans="2:28" x14ac:dyDescent="0.4">
      <c r="B116" t="s">
        <v>21</v>
      </c>
      <c r="C116">
        <f>IF(G116="","",MAX(C$4:C115)+1)</f>
        <v>104</v>
      </c>
      <c r="D116">
        <f>IF(AND(N116=""),"",MAX(D$4:D115)+1)</f>
        <v>104</v>
      </c>
      <c r="F116" s="26" t="str">
        <f t="shared" si="15"/>
        <v>99999859035</v>
      </c>
      <c r="G116" s="29">
        <f t="shared" si="16"/>
        <v>99999859035</v>
      </c>
      <c r="H116" s="20" t="str">
        <f t="shared" si="17"/>
        <v>-</v>
      </c>
      <c r="I116" s="20" t="str">
        <f t="shared" si="18"/>
        <v>ー</v>
      </c>
      <c r="J116" s="20" t="str">
        <f t="shared" si="19"/>
        <v>遊佐町</v>
      </c>
      <c r="K116" s="31" t="str">
        <f t="shared" si="20"/>
        <v>99999859001関連</v>
      </c>
      <c r="L116" s="23" t="str">
        <f t="shared" si="21"/>
        <v/>
      </c>
      <c r="M116" cm="1">
        <f t="array" ref="M116">IF(COUNT(INDEX(FIND(ROW($1:$10)-1,K116),)),VALUE(MID(K116,MIN(SEARCH({1,2,3,4,5,6,7,8,9,0},K116&amp;1234567890)),LEN(K116)-(LENB(K116)-LEN(K116)))),"")</f>
        <v>99999859001</v>
      </c>
      <c r="N116">
        <f>IF(L116&lt;&gt;"○",M116,INDEX(G$4:G115,MATCH(L116&amp;M116,F$4:F115,0)))</f>
        <v>99999859001</v>
      </c>
      <c r="O116" t="str">
        <f t="shared" si="22"/>
        <v>関連</v>
      </c>
      <c r="Q116" s="4">
        <v>44910</v>
      </c>
      <c r="S116" t="str">
        <f t="shared" si="23"/>
        <v>99999859035</v>
      </c>
      <c r="T116" t="s">
        <v>50</v>
      </c>
      <c r="U116" t="s">
        <v>50</v>
      </c>
      <c r="V116" t="s">
        <v>448</v>
      </c>
      <c r="AB116" t="str">
        <f t="shared" si="24"/>
        <v>99999859001関連</v>
      </c>
    </row>
    <row r="117" spans="2:28" x14ac:dyDescent="0.4">
      <c r="B117" t="s">
        <v>21</v>
      </c>
      <c r="C117">
        <f>IF(G117="","",MAX(C$4:C116)+1)</f>
        <v>105</v>
      </c>
      <c r="D117">
        <f>IF(AND(N117=""),"",MAX(D$4:D116)+1)</f>
        <v>105</v>
      </c>
      <c r="F117" s="26" t="str">
        <f t="shared" si="15"/>
        <v>99999859036</v>
      </c>
      <c r="G117" s="29">
        <f t="shared" si="16"/>
        <v>99999859036</v>
      </c>
      <c r="H117" s="20" t="str">
        <f t="shared" si="17"/>
        <v>-</v>
      </c>
      <c r="I117" s="20" t="str">
        <f t="shared" si="18"/>
        <v>ー</v>
      </c>
      <c r="J117" s="20" t="str">
        <f t="shared" si="19"/>
        <v>遊佐町</v>
      </c>
      <c r="K117" s="31" t="str">
        <f t="shared" si="20"/>
        <v>99999859001関連</v>
      </c>
      <c r="L117" s="23" t="str">
        <f t="shared" si="21"/>
        <v/>
      </c>
      <c r="M117" cm="1">
        <f t="array" ref="M117">IF(COUNT(INDEX(FIND(ROW($1:$10)-1,K117),)),VALUE(MID(K117,MIN(SEARCH({1,2,3,4,5,6,7,8,9,0},K117&amp;1234567890)),LEN(K117)-(LENB(K117)-LEN(K117)))),"")</f>
        <v>99999859001</v>
      </c>
      <c r="N117">
        <f>IF(L117&lt;&gt;"○",M117,INDEX(G$4:G116,MATCH(L117&amp;M117,F$4:F116,0)))</f>
        <v>99999859001</v>
      </c>
      <c r="O117" t="str">
        <f t="shared" si="22"/>
        <v>関連</v>
      </c>
      <c r="Q117" s="4">
        <v>44910</v>
      </c>
      <c r="S117" t="str">
        <f t="shared" si="23"/>
        <v>99999859036</v>
      </c>
      <c r="T117" t="s">
        <v>50</v>
      </c>
      <c r="U117" t="s">
        <v>50</v>
      </c>
      <c r="V117" t="s">
        <v>448</v>
      </c>
      <c r="AB117" t="str">
        <f t="shared" si="24"/>
        <v>99999859001関連</v>
      </c>
    </row>
    <row r="118" spans="2:28" x14ac:dyDescent="0.4">
      <c r="B118" t="s">
        <v>21</v>
      </c>
      <c r="C118">
        <f>IF(G118="","",MAX(C$4:C117)+1)</f>
        <v>106</v>
      </c>
      <c r="D118">
        <f>IF(AND(N118=""),"",MAX(D$4:D117)+1)</f>
        <v>106</v>
      </c>
      <c r="F118" s="26" t="str">
        <f t="shared" si="15"/>
        <v>99999859037</v>
      </c>
      <c r="G118" s="29">
        <f t="shared" si="16"/>
        <v>99999859037</v>
      </c>
      <c r="H118" s="20" t="str">
        <f t="shared" si="17"/>
        <v>-</v>
      </c>
      <c r="I118" s="20" t="str">
        <f t="shared" si="18"/>
        <v>ー</v>
      </c>
      <c r="J118" s="20" t="str">
        <f t="shared" si="19"/>
        <v>遊佐町</v>
      </c>
      <c r="K118" s="31" t="str">
        <f t="shared" si="20"/>
        <v>99999859001関連</v>
      </c>
      <c r="L118" s="23" t="str">
        <f t="shared" si="21"/>
        <v/>
      </c>
      <c r="M118" cm="1">
        <f t="array" ref="M118">IF(COUNT(INDEX(FIND(ROW($1:$10)-1,K118),)),VALUE(MID(K118,MIN(SEARCH({1,2,3,4,5,6,7,8,9,0},K118&amp;1234567890)),LEN(K118)-(LENB(K118)-LEN(K118)))),"")</f>
        <v>99999859001</v>
      </c>
      <c r="N118">
        <f>IF(L118&lt;&gt;"○",M118,INDEX(G$4:G117,MATCH(L118&amp;M118,F$4:F117,0)))</f>
        <v>99999859001</v>
      </c>
      <c r="O118" t="str">
        <f t="shared" si="22"/>
        <v>関連</v>
      </c>
      <c r="Q118" s="4">
        <v>44910</v>
      </c>
      <c r="S118" t="str">
        <f t="shared" si="23"/>
        <v>99999859037</v>
      </c>
      <c r="T118" t="s">
        <v>50</v>
      </c>
      <c r="U118" t="s">
        <v>50</v>
      </c>
      <c r="V118" t="s">
        <v>448</v>
      </c>
      <c r="AB118" t="str">
        <f t="shared" si="24"/>
        <v>99999859001関連</v>
      </c>
    </row>
    <row r="119" spans="2:28" x14ac:dyDescent="0.4">
      <c r="B119" t="s">
        <v>21</v>
      </c>
      <c r="C119">
        <f>IF(G119="","",MAX(C$4:C118)+1)</f>
        <v>107</v>
      </c>
      <c r="D119">
        <f>IF(AND(N119=""),"",MAX(D$4:D118)+1)</f>
        <v>107</v>
      </c>
      <c r="F119" s="26" t="str">
        <f t="shared" si="15"/>
        <v>99999859038</v>
      </c>
      <c r="G119" s="29">
        <f t="shared" si="16"/>
        <v>99999859038</v>
      </c>
      <c r="H119" s="20" t="str">
        <f t="shared" si="17"/>
        <v>-</v>
      </c>
      <c r="I119" s="20" t="str">
        <f t="shared" si="18"/>
        <v>ー</v>
      </c>
      <c r="J119" s="20" t="str">
        <f t="shared" si="19"/>
        <v>遊佐町</v>
      </c>
      <c r="K119" s="31" t="str">
        <f t="shared" si="20"/>
        <v>99999859001関連</v>
      </c>
      <c r="L119" s="23" t="str">
        <f t="shared" si="21"/>
        <v/>
      </c>
      <c r="M119" cm="1">
        <f t="array" ref="M119">IF(COUNT(INDEX(FIND(ROW($1:$10)-1,K119),)),VALUE(MID(K119,MIN(SEARCH({1,2,3,4,5,6,7,8,9,0},K119&amp;1234567890)),LEN(K119)-(LENB(K119)-LEN(K119)))),"")</f>
        <v>99999859001</v>
      </c>
      <c r="N119">
        <f>IF(L119&lt;&gt;"○",M119,INDEX(G$4:G118,MATCH(L119&amp;M119,F$4:F118,0)))</f>
        <v>99999859001</v>
      </c>
      <c r="O119" t="str">
        <f t="shared" si="22"/>
        <v>関連</v>
      </c>
      <c r="Q119" s="4">
        <v>44910</v>
      </c>
      <c r="S119" t="str">
        <f t="shared" si="23"/>
        <v>99999859038</v>
      </c>
      <c r="T119" t="s">
        <v>50</v>
      </c>
      <c r="U119" t="s">
        <v>50</v>
      </c>
      <c r="V119" t="s">
        <v>448</v>
      </c>
      <c r="AB119" t="str">
        <f t="shared" si="24"/>
        <v>99999859001関連</v>
      </c>
    </row>
    <row r="120" spans="2:28" x14ac:dyDescent="0.4">
      <c r="B120" t="s">
        <v>21</v>
      </c>
      <c r="C120">
        <f>IF(G120="","",MAX(C$4:C119)+1)</f>
        <v>108</v>
      </c>
      <c r="D120">
        <f>IF(AND(N120=""),"",MAX(D$4:D119)+1)</f>
        <v>108</v>
      </c>
      <c r="F120" s="26" t="str">
        <f t="shared" si="15"/>
        <v>99999859039</v>
      </c>
      <c r="G120" s="29">
        <f t="shared" si="16"/>
        <v>99999859039</v>
      </c>
      <c r="H120" s="20" t="str">
        <f t="shared" si="17"/>
        <v>-</v>
      </c>
      <c r="I120" s="20" t="str">
        <f t="shared" si="18"/>
        <v>ー</v>
      </c>
      <c r="J120" s="20" t="str">
        <f t="shared" si="19"/>
        <v>遊佐町</v>
      </c>
      <c r="K120" s="31" t="str">
        <f t="shared" si="20"/>
        <v>99999859001関連</v>
      </c>
      <c r="L120" s="23" t="str">
        <f t="shared" si="21"/>
        <v/>
      </c>
      <c r="M120" cm="1">
        <f t="array" ref="M120">IF(COUNT(INDEX(FIND(ROW($1:$10)-1,K120),)),VALUE(MID(K120,MIN(SEARCH({1,2,3,4,5,6,7,8,9,0},K120&amp;1234567890)),LEN(K120)-(LENB(K120)-LEN(K120)))),"")</f>
        <v>99999859001</v>
      </c>
      <c r="N120">
        <f>IF(L120&lt;&gt;"○",M120,INDEX(G$4:G119,MATCH(L120&amp;M120,F$4:F119,0)))</f>
        <v>99999859001</v>
      </c>
      <c r="O120" t="str">
        <f t="shared" si="22"/>
        <v>関連</v>
      </c>
      <c r="Q120" s="4">
        <v>44910</v>
      </c>
      <c r="S120" t="str">
        <f t="shared" si="23"/>
        <v>99999859039</v>
      </c>
      <c r="T120" t="s">
        <v>50</v>
      </c>
      <c r="U120" t="s">
        <v>50</v>
      </c>
      <c r="V120" t="s">
        <v>448</v>
      </c>
      <c r="AB120" t="str">
        <f t="shared" si="24"/>
        <v>99999859001関連</v>
      </c>
    </row>
    <row r="121" spans="2:28" x14ac:dyDescent="0.4">
      <c r="B121" t="s">
        <v>21</v>
      </c>
      <c r="C121">
        <f>IF(G121="","",MAX(C$4:C120)+1)</f>
        <v>109</v>
      </c>
      <c r="D121">
        <f>IF(AND(N121=""),"",MAX(D$4:D120)+1)</f>
        <v>109</v>
      </c>
      <c r="F121" s="26" t="str">
        <f t="shared" si="15"/>
        <v>99999859040</v>
      </c>
      <c r="G121" s="29">
        <f t="shared" si="16"/>
        <v>99999859040</v>
      </c>
      <c r="H121" s="20" t="str">
        <f t="shared" si="17"/>
        <v>-</v>
      </c>
      <c r="I121" s="20" t="str">
        <f t="shared" si="18"/>
        <v>ー</v>
      </c>
      <c r="J121" s="20" t="str">
        <f t="shared" si="19"/>
        <v>遊佐町</v>
      </c>
      <c r="K121" s="31" t="str">
        <f t="shared" si="20"/>
        <v>99999859001関連</v>
      </c>
      <c r="L121" s="23" t="str">
        <f t="shared" si="21"/>
        <v/>
      </c>
      <c r="M121" cm="1">
        <f t="array" ref="M121">IF(COUNT(INDEX(FIND(ROW($1:$10)-1,K121),)),VALUE(MID(K121,MIN(SEARCH({1,2,3,4,5,6,7,8,9,0},K121&amp;1234567890)),LEN(K121)-(LENB(K121)-LEN(K121)))),"")</f>
        <v>99999859001</v>
      </c>
      <c r="N121">
        <f>IF(L121&lt;&gt;"○",M121,INDEX(G$4:G120,MATCH(L121&amp;M121,F$4:F120,0)))</f>
        <v>99999859001</v>
      </c>
      <c r="O121" t="str">
        <f t="shared" si="22"/>
        <v>関連</v>
      </c>
      <c r="Q121" s="4">
        <v>44910</v>
      </c>
      <c r="S121" t="str">
        <f t="shared" si="23"/>
        <v>99999859040</v>
      </c>
      <c r="T121" t="s">
        <v>50</v>
      </c>
      <c r="U121" t="s">
        <v>50</v>
      </c>
      <c r="V121" t="s">
        <v>448</v>
      </c>
      <c r="AB121" t="str">
        <f t="shared" si="24"/>
        <v>99999859001関連</v>
      </c>
    </row>
    <row r="122" spans="2:28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5"/>
        <v/>
      </c>
      <c r="G122" s="29" t="str">
        <f t="shared" si="16"/>
        <v/>
      </c>
      <c r="H122" s="20" t="str">
        <f t="shared" si="17"/>
        <v/>
      </c>
      <c r="I122" s="20" t="str">
        <f t="shared" si="18"/>
        <v/>
      </c>
      <c r="J122" s="20" t="str">
        <f t="shared" si="19"/>
        <v/>
      </c>
      <c r="K122" s="31" t="str">
        <f t="shared" si="20"/>
        <v/>
      </c>
      <c r="L122" s="23" t="str">
        <f t="shared" si="21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2"/>
        <v/>
      </c>
      <c r="Q122" s="4"/>
    </row>
    <row r="123" spans="2:28" x14ac:dyDescent="0.4">
      <c r="B123" t="s">
        <v>21</v>
      </c>
      <c r="C123">
        <f>IF(G123="","",MAX(C$4:C122)+1)</f>
        <v>110</v>
      </c>
      <c r="D123">
        <f>IF(AND(N123=""),"",MAX(D$4:D122)+1)</f>
        <v>110</v>
      </c>
      <c r="F123" s="26" t="str">
        <f t="shared" si="15"/>
        <v>99999860001</v>
      </c>
      <c r="G123" s="29">
        <f t="shared" si="16"/>
        <v>99999860001</v>
      </c>
      <c r="H123" s="20" t="str">
        <f t="shared" si="17"/>
        <v>-</v>
      </c>
      <c r="I123" s="20" t="str">
        <f t="shared" si="18"/>
        <v>ー</v>
      </c>
      <c r="J123" s="20" t="str">
        <f t="shared" si="19"/>
        <v>山形市</v>
      </c>
      <c r="K123" s="31" t="str">
        <f t="shared" si="20"/>
        <v>99999860001介護施設</v>
      </c>
      <c r="L123" s="23" t="str">
        <f t="shared" si="21"/>
        <v/>
      </c>
      <c r="M123" cm="1">
        <f t="array" ref="M123">IF(COUNT(INDEX(FIND(ROW($1:$10)-1,K123),)),VALUE(MID(K123,MIN(SEARCH({1,2,3,4,5,6,7,8,9,0},K123&amp;1234567890)),LEN(K123)-(LENB(K123)-LEN(K123)))),"")</f>
        <v>99999860001</v>
      </c>
      <c r="N123">
        <f>IF(L123&lt;&gt;"○",M123,INDEX(G$4:G122,MATCH(L123&amp;M123,F$4:F122,0)))</f>
        <v>99999860001</v>
      </c>
      <c r="O123" t="str">
        <f t="shared" si="22"/>
        <v>介護施設</v>
      </c>
      <c r="Q123" s="4">
        <v>44910</v>
      </c>
      <c r="S123" t="str">
        <f>$O$1&amp;
860&amp;
REPT("0",3-LEN(ROW($S1)))&amp;ROW($S1)</f>
        <v>99999860001</v>
      </c>
      <c r="T123" t="s">
        <v>50</v>
      </c>
      <c r="U123" t="s">
        <v>50</v>
      </c>
      <c r="V123" t="s">
        <v>449</v>
      </c>
      <c r="AB123" t="str">
        <f>$S$123&amp;"介護施設"</f>
        <v>99999860001介護施設</v>
      </c>
    </row>
    <row r="124" spans="2:28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5"/>
        <v/>
      </c>
      <c r="G124" s="29" t="str">
        <f t="shared" si="16"/>
        <v/>
      </c>
      <c r="H124" s="20" t="str">
        <f t="shared" si="17"/>
        <v/>
      </c>
      <c r="I124" s="20" t="str">
        <f t="shared" si="18"/>
        <v/>
      </c>
      <c r="J124" s="20" t="str">
        <f t="shared" si="19"/>
        <v/>
      </c>
      <c r="K124" s="31" t="str">
        <f t="shared" si="20"/>
        <v/>
      </c>
      <c r="L124" s="23" t="str">
        <f t="shared" si="21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2"/>
        <v/>
      </c>
      <c r="Q124" s="4"/>
    </row>
    <row r="125" spans="2:28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5"/>
        <v/>
      </c>
      <c r="G125" s="29" t="str">
        <f t="shared" si="16"/>
        <v/>
      </c>
      <c r="H125" s="20" t="str">
        <f t="shared" si="17"/>
        <v/>
      </c>
      <c r="I125" s="20" t="str">
        <f t="shared" si="18"/>
        <v/>
      </c>
      <c r="J125" s="20" t="str">
        <f t="shared" si="19"/>
        <v/>
      </c>
      <c r="K125" s="31" t="str">
        <f t="shared" si="20"/>
        <v/>
      </c>
      <c r="L125" s="23" t="str">
        <f t="shared" si="21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2"/>
        <v/>
      </c>
      <c r="Q125" s="4"/>
    </row>
    <row r="126" spans="2:28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5"/>
        <v/>
      </c>
      <c r="G126" s="29" t="str">
        <f t="shared" si="16"/>
        <v/>
      </c>
      <c r="H126" s="20" t="str">
        <f t="shared" si="17"/>
        <v/>
      </c>
      <c r="I126" s="20" t="str">
        <f t="shared" si="18"/>
        <v/>
      </c>
      <c r="J126" s="20" t="str">
        <f t="shared" si="19"/>
        <v/>
      </c>
      <c r="K126" s="31" t="str">
        <f t="shared" si="20"/>
        <v/>
      </c>
      <c r="L126" s="23" t="str">
        <f t="shared" si="21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2"/>
        <v/>
      </c>
      <c r="Q126" s="4"/>
    </row>
    <row r="127" spans="2:28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5"/>
        <v/>
      </c>
      <c r="G127" s="29" t="str">
        <f t="shared" si="16"/>
        <v/>
      </c>
      <c r="H127" s="20" t="str">
        <f t="shared" si="17"/>
        <v/>
      </c>
      <c r="I127" s="20" t="str">
        <f t="shared" si="18"/>
        <v/>
      </c>
      <c r="J127" s="20" t="str">
        <f t="shared" si="19"/>
        <v/>
      </c>
      <c r="K127" s="31" t="str">
        <f t="shared" si="20"/>
        <v/>
      </c>
      <c r="L127" s="23" t="str">
        <f t="shared" si="21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2"/>
        <v/>
      </c>
      <c r="Q127" s="4"/>
    </row>
    <row r="128" spans="2:28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5"/>
        <v/>
      </c>
      <c r="G128" s="29" t="str">
        <f t="shared" si="16"/>
        <v/>
      </c>
      <c r="H128" s="20" t="str">
        <f t="shared" si="17"/>
        <v/>
      </c>
      <c r="I128" s="20" t="str">
        <f t="shared" si="18"/>
        <v/>
      </c>
      <c r="J128" s="20" t="str">
        <f t="shared" si="19"/>
        <v/>
      </c>
      <c r="K128" s="31" t="str">
        <f t="shared" si="20"/>
        <v/>
      </c>
      <c r="L128" s="23" t="str">
        <f t="shared" si="21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2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5"/>
        <v/>
      </c>
      <c r="G129" s="29" t="str">
        <f t="shared" si="16"/>
        <v/>
      </c>
      <c r="H129" s="20" t="str">
        <f t="shared" si="17"/>
        <v/>
      </c>
      <c r="I129" s="20" t="str">
        <f t="shared" si="18"/>
        <v/>
      </c>
      <c r="J129" s="20" t="str">
        <f t="shared" si="19"/>
        <v/>
      </c>
      <c r="K129" s="31" t="str">
        <f t="shared" si="20"/>
        <v/>
      </c>
      <c r="L129" s="23" t="str">
        <f t="shared" si="21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2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5"/>
        <v/>
      </c>
      <c r="G130" s="29" t="str">
        <f t="shared" si="16"/>
        <v/>
      </c>
      <c r="H130" s="20" t="str">
        <f t="shared" si="17"/>
        <v/>
      </c>
      <c r="I130" s="20" t="str">
        <f t="shared" si="18"/>
        <v/>
      </c>
      <c r="J130" s="20" t="str">
        <f t="shared" si="19"/>
        <v/>
      </c>
      <c r="K130" s="31" t="str">
        <f t="shared" si="20"/>
        <v/>
      </c>
      <c r="L130" s="23" t="str">
        <f t="shared" si="21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2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5"/>
        <v/>
      </c>
      <c r="G131" s="29" t="str">
        <f t="shared" si="16"/>
        <v/>
      </c>
      <c r="H131" s="20" t="str">
        <f t="shared" si="17"/>
        <v/>
      </c>
      <c r="I131" s="20" t="str">
        <f t="shared" si="18"/>
        <v/>
      </c>
      <c r="J131" s="20" t="str">
        <f t="shared" si="19"/>
        <v/>
      </c>
      <c r="K131" s="31" t="str">
        <f t="shared" si="20"/>
        <v/>
      </c>
      <c r="L131" s="23" t="str">
        <f t="shared" si="21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2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5"/>
        <v/>
      </c>
      <c r="G132" s="29" t="str">
        <f t="shared" si="16"/>
        <v/>
      </c>
      <c r="H132" s="20" t="str">
        <f t="shared" si="17"/>
        <v/>
      </c>
      <c r="I132" s="20" t="str">
        <f t="shared" si="18"/>
        <v/>
      </c>
      <c r="J132" s="20" t="str">
        <f t="shared" si="19"/>
        <v/>
      </c>
      <c r="K132" s="31" t="str">
        <f t="shared" si="20"/>
        <v/>
      </c>
      <c r="L132" s="23" t="str">
        <f t="shared" si="21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2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5"/>
        <v/>
      </c>
      <c r="G133" s="29" t="str">
        <f t="shared" si="16"/>
        <v/>
      </c>
      <c r="H133" s="20" t="str">
        <f t="shared" si="17"/>
        <v/>
      </c>
      <c r="I133" s="20" t="str">
        <f t="shared" si="18"/>
        <v/>
      </c>
      <c r="J133" s="20" t="str">
        <f t="shared" si="19"/>
        <v/>
      </c>
      <c r="K133" s="31" t="str">
        <f t="shared" si="20"/>
        <v/>
      </c>
      <c r="L133" s="23" t="str">
        <f t="shared" si="21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2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5"/>
        <v/>
      </c>
      <c r="G134" s="29" t="str">
        <f t="shared" si="16"/>
        <v/>
      </c>
      <c r="H134" s="20" t="str">
        <f t="shared" si="17"/>
        <v/>
      </c>
      <c r="I134" s="20" t="str">
        <f t="shared" si="18"/>
        <v/>
      </c>
      <c r="J134" s="20" t="str">
        <f t="shared" si="19"/>
        <v/>
      </c>
      <c r="K134" s="31" t="str">
        <f t="shared" si="20"/>
        <v/>
      </c>
      <c r="L134" s="23" t="str">
        <f t="shared" si="21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2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5"/>
        <v/>
      </c>
      <c r="G135" s="29" t="str">
        <f t="shared" si="16"/>
        <v/>
      </c>
      <c r="H135" s="20" t="str">
        <f t="shared" si="17"/>
        <v/>
      </c>
      <c r="I135" s="20" t="str">
        <f t="shared" si="18"/>
        <v/>
      </c>
      <c r="J135" s="20" t="str">
        <f t="shared" si="19"/>
        <v/>
      </c>
      <c r="K135" s="31" t="str">
        <f t="shared" si="20"/>
        <v/>
      </c>
      <c r="L135" s="23" t="str">
        <f t="shared" si="21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2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5"/>
        <v/>
      </c>
      <c r="G136" s="29" t="str">
        <f t="shared" si="16"/>
        <v/>
      </c>
      <c r="H136" s="20" t="str">
        <f t="shared" si="17"/>
        <v/>
      </c>
      <c r="I136" s="20" t="str">
        <f t="shared" si="18"/>
        <v/>
      </c>
      <c r="J136" s="20" t="str">
        <f t="shared" si="19"/>
        <v/>
      </c>
      <c r="K136" s="31" t="str">
        <f t="shared" si="20"/>
        <v/>
      </c>
      <c r="L136" s="23" t="str">
        <f t="shared" si="21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2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5">IF(G137&lt;&gt;"",R137&amp;S137,"")</f>
        <v/>
      </c>
      <c r="G137" s="29" t="str">
        <f t="shared" ref="G137:G199" si="26">IF(AND((S137 &lt;&gt; ""),(S137 &gt;= 0)), ABS(IF(OR((R137=""),(R137="　")), S137, T137)), "")</f>
        <v/>
      </c>
      <c r="H137" s="20" t="str">
        <f t="shared" ref="H137:H199" si="27">IF(OR((R137=""),(R137="　")),IF(G137 &lt;&gt; "", T137, ""),IF(G137 &lt;&gt; "", U137, ""))</f>
        <v/>
      </c>
      <c r="I137" s="20" t="str">
        <f t="shared" ref="I137:I199" si="28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9">IF(G137 &lt;&gt; "", IF(OR((R137=""),(R137="　")), V137, W137),"")</f>
        <v/>
      </c>
      <c r="K137" s="31" t="str">
        <f t="shared" ref="K137:K199" si="30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31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32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5"/>
        <v/>
      </c>
      <c r="G138" s="29" t="str">
        <f t="shared" si="26"/>
        <v/>
      </c>
      <c r="H138" s="20" t="str">
        <f t="shared" si="27"/>
        <v/>
      </c>
      <c r="I138" s="20" t="str">
        <f t="shared" si="28"/>
        <v/>
      </c>
      <c r="J138" s="20" t="str">
        <f t="shared" si="29"/>
        <v/>
      </c>
      <c r="K138" s="31" t="str">
        <f t="shared" si="30"/>
        <v/>
      </c>
      <c r="L138" s="23" t="str">
        <f t="shared" si="31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32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5"/>
        <v/>
      </c>
      <c r="G139" s="29" t="str">
        <f t="shared" si="26"/>
        <v/>
      </c>
      <c r="H139" s="20" t="str">
        <f t="shared" si="27"/>
        <v/>
      </c>
      <c r="I139" s="20" t="str">
        <f t="shared" si="28"/>
        <v/>
      </c>
      <c r="J139" s="20" t="str">
        <f t="shared" si="29"/>
        <v/>
      </c>
      <c r="K139" s="31" t="str">
        <f t="shared" si="30"/>
        <v/>
      </c>
      <c r="L139" s="23" t="str">
        <f t="shared" si="31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32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5"/>
        <v/>
      </c>
      <c r="G140" s="29" t="str">
        <f t="shared" si="26"/>
        <v/>
      </c>
      <c r="H140" s="20" t="str">
        <f t="shared" si="27"/>
        <v/>
      </c>
      <c r="I140" s="20" t="str">
        <f t="shared" si="28"/>
        <v/>
      </c>
      <c r="J140" s="20" t="str">
        <f t="shared" si="29"/>
        <v/>
      </c>
      <c r="K140" s="31" t="str">
        <f t="shared" si="30"/>
        <v/>
      </c>
      <c r="L140" s="23" t="str">
        <f t="shared" si="31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32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5"/>
        <v/>
      </c>
      <c r="G141" s="29" t="str">
        <f t="shared" si="26"/>
        <v/>
      </c>
      <c r="H141" s="20" t="str">
        <f t="shared" si="27"/>
        <v/>
      </c>
      <c r="I141" s="20" t="str">
        <f t="shared" si="28"/>
        <v/>
      </c>
      <c r="J141" s="20" t="str">
        <f t="shared" si="29"/>
        <v/>
      </c>
      <c r="K141" s="31" t="str">
        <f t="shared" si="30"/>
        <v/>
      </c>
      <c r="L141" s="23" t="str">
        <f t="shared" si="31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32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5"/>
        <v/>
      </c>
      <c r="G142" s="29" t="str">
        <f t="shared" si="26"/>
        <v/>
      </c>
      <c r="H142" s="20" t="str">
        <f t="shared" si="27"/>
        <v/>
      </c>
      <c r="I142" s="20" t="str">
        <f t="shared" si="28"/>
        <v/>
      </c>
      <c r="J142" s="20" t="str">
        <f t="shared" si="29"/>
        <v/>
      </c>
      <c r="K142" s="31" t="str">
        <f t="shared" si="30"/>
        <v/>
      </c>
      <c r="L142" s="23" t="str">
        <f t="shared" si="31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32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5"/>
        <v/>
      </c>
      <c r="G143" s="29" t="str">
        <f t="shared" si="26"/>
        <v/>
      </c>
      <c r="H143" s="20" t="str">
        <f t="shared" si="27"/>
        <v/>
      </c>
      <c r="I143" s="20" t="str">
        <f t="shared" si="28"/>
        <v/>
      </c>
      <c r="J143" s="20" t="str">
        <f t="shared" si="29"/>
        <v/>
      </c>
      <c r="K143" s="31" t="str">
        <f t="shared" si="30"/>
        <v/>
      </c>
      <c r="L143" s="23" t="str">
        <f t="shared" si="31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32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5"/>
        <v/>
      </c>
      <c r="G144" s="29" t="str">
        <f t="shared" si="26"/>
        <v/>
      </c>
      <c r="H144" s="20" t="str">
        <f t="shared" si="27"/>
        <v/>
      </c>
      <c r="I144" s="20" t="str">
        <f t="shared" si="28"/>
        <v/>
      </c>
      <c r="J144" s="20" t="str">
        <f t="shared" si="29"/>
        <v/>
      </c>
      <c r="K144" s="31" t="str">
        <f t="shared" si="30"/>
        <v/>
      </c>
      <c r="L144" s="23" t="str">
        <f t="shared" si="31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32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5"/>
        <v/>
      </c>
      <c r="G145" s="29" t="str">
        <f t="shared" si="26"/>
        <v/>
      </c>
      <c r="H145" s="20" t="str">
        <f t="shared" si="27"/>
        <v/>
      </c>
      <c r="I145" s="20" t="str">
        <f t="shared" si="28"/>
        <v/>
      </c>
      <c r="J145" s="20" t="str">
        <f t="shared" si="29"/>
        <v/>
      </c>
      <c r="K145" s="31" t="str">
        <f t="shared" si="30"/>
        <v/>
      </c>
      <c r="L145" s="23" t="str">
        <f t="shared" si="31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32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5"/>
        <v/>
      </c>
      <c r="G146" s="29" t="str">
        <f t="shared" si="26"/>
        <v/>
      </c>
      <c r="H146" s="20" t="str">
        <f t="shared" si="27"/>
        <v/>
      </c>
      <c r="I146" s="20" t="str">
        <f t="shared" si="28"/>
        <v/>
      </c>
      <c r="J146" s="20" t="str">
        <f t="shared" si="29"/>
        <v/>
      </c>
      <c r="K146" s="31" t="str">
        <f t="shared" si="30"/>
        <v/>
      </c>
      <c r="L146" s="23" t="str">
        <f t="shared" si="31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32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5"/>
        <v/>
      </c>
      <c r="G147" s="29" t="str">
        <f t="shared" si="26"/>
        <v/>
      </c>
      <c r="H147" s="20" t="str">
        <f t="shared" si="27"/>
        <v/>
      </c>
      <c r="I147" s="20" t="str">
        <f t="shared" si="28"/>
        <v/>
      </c>
      <c r="J147" s="20" t="str">
        <f t="shared" si="29"/>
        <v/>
      </c>
      <c r="K147" s="31" t="str">
        <f t="shared" si="30"/>
        <v/>
      </c>
      <c r="L147" s="23" t="str">
        <f t="shared" si="31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32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5"/>
        <v/>
      </c>
      <c r="G148" s="29" t="str">
        <f t="shared" si="26"/>
        <v/>
      </c>
      <c r="H148" s="20" t="str">
        <f t="shared" si="27"/>
        <v/>
      </c>
      <c r="I148" s="20" t="str">
        <f t="shared" si="28"/>
        <v/>
      </c>
      <c r="J148" s="20" t="str">
        <f t="shared" si="29"/>
        <v/>
      </c>
      <c r="K148" s="31" t="str">
        <f t="shared" si="30"/>
        <v/>
      </c>
      <c r="L148" s="23" t="str">
        <f t="shared" si="31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32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5"/>
        <v/>
      </c>
      <c r="G149" s="29" t="str">
        <f t="shared" si="26"/>
        <v/>
      </c>
      <c r="H149" s="20" t="str">
        <f t="shared" si="27"/>
        <v/>
      </c>
      <c r="I149" s="20" t="str">
        <f t="shared" si="28"/>
        <v/>
      </c>
      <c r="J149" s="20" t="str">
        <f t="shared" si="29"/>
        <v/>
      </c>
      <c r="K149" s="31" t="str">
        <f t="shared" si="30"/>
        <v/>
      </c>
      <c r="L149" s="23" t="str">
        <f t="shared" si="31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32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5"/>
        <v/>
      </c>
      <c r="G150" s="29" t="str">
        <f t="shared" si="26"/>
        <v/>
      </c>
      <c r="H150" s="20" t="str">
        <f t="shared" si="27"/>
        <v/>
      </c>
      <c r="I150" s="20" t="str">
        <f t="shared" si="28"/>
        <v/>
      </c>
      <c r="J150" s="20" t="str">
        <f t="shared" si="29"/>
        <v/>
      </c>
      <c r="K150" s="31" t="str">
        <f t="shared" si="30"/>
        <v/>
      </c>
      <c r="L150" s="23" t="str">
        <f t="shared" si="31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32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5"/>
        <v/>
      </c>
      <c r="G151" s="29" t="str">
        <f t="shared" si="26"/>
        <v/>
      </c>
      <c r="H151" s="20" t="str">
        <f t="shared" si="27"/>
        <v/>
      </c>
      <c r="I151" s="20" t="str">
        <f t="shared" si="28"/>
        <v/>
      </c>
      <c r="J151" s="20" t="str">
        <f t="shared" si="29"/>
        <v/>
      </c>
      <c r="K151" s="31" t="str">
        <f t="shared" si="30"/>
        <v/>
      </c>
      <c r="L151" s="23" t="str">
        <f t="shared" si="31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32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5"/>
        <v/>
      </c>
      <c r="G152" s="29" t="str">
        <f t="shared" si="26"/>
        <v/>
      </c>
      <c r="H152" s="20" t="str">
        <f t="shared" si="27"/>
        <v/>
      </c>
      <c r="I152" s="20" t="str">
        <f t="shared" si="28"/>
        <v/>
      </c>
      <c r="J152" s="20" t="str">
        <f t="shared" si="29"/>
        <v/>
      </c>
      <c r="K152" s="31" t="str">
        <f t="shared" si="30"/>
        <v/>
      </c>
      <c r="L152" s="23" t="str">
        <f t="shared" si="31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32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5"/>
        <v/>
      </c>
      <c r="G153" s="29" t="str">
        <f t="shared" si="26"/>
        <v/>
      </c>
      <c r="H153" s="20" t="str">
        <f t="shared" si="27"/>
        <v/>
      </c>
      <c r="I153" s="20" t="str">
        <f t="shared" si="28"/>
        <v/>
      </c>
      <c r="J153" s="20" t="str">
        <f t="shared" si="29"/>
        <v/>
      </c>
      <c r="K153" s="31" t="str">
        <f t="shared" si="30"/>
        <v/>
      </c>
      <c r="L153" s="23" t="str">
        <f t="shared" si="31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32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5"/>
        <v/>
      </c>
      <c r="G154" s="29" t="str">
        <f t="shared" si="26"/>
        <v/>
      </c>
      <c r="H154" s="20" t="str">
        <f t="shared" si="27"/>
        <v/>
      </c>
      <c r="I154" s="20" t="str">
        <f t="shared" si="28"/>
        <v/>
      </c>
      <c r="J154" s="20" t="str">
        <f t="shared" si="29"/>
        <v/>
      </c>
      <c r="K154" s="31" t="str">
        <f t="shared" si="30"/>
        <v/>
      </c>
      <c r="L154" s="23" t="str">
        <f t="shared" si="31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32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5"/>
        <v/>
      </c>
      <c r="G155" s="29" t="str">
        <f t="shared" si="26"/>
        <v/>
      </c>
      <c r="H155" s="20" t="str">
        <f t="shared" si="27"/>
        <v/>
      </c>
      <c r="I155" s="20" t="str">
        <f t="shared" si="28"/>
        <v/>
      </c>
      <c r="J155" s="20" t="str">
        <f t="shared" si="29"/>
        <v/>
      </c>
      <c r="K155" s="31" t="str">
        <f t="shared" si="30"/>
        <v/>
      </c>
      <c r="L155" s="23" t="str">
        <f t="shared" si="31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32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5"/>
        <v/>
      </c>
      <c r="G156" s="29" t="str">
        <f t="shared" si="26"/>
        <v/>
      </c>
      <c r="H156" s="20" t="str">
        <f t="shared" si="27"/>
        <v/>
      </c>
      <c r="I156" s="20" t="str">
        <f t="shared" si="28"/>
        <v/>
      </c>
      <c r="J156" s="20" t="str">
        <f t="shared" si="29"/>
        <v/>
      </c>
      <c r="K156" s="31" t="str">
        <f t="shared" si="30"/>
        <v/>
      </c>
      <c r="L156" s="23" t="str">
        <f t="shared" si="31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32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5"/>
        <v/>
      </c>
      <c r="G157" s="29" t="str">
        <f t="shared" si="26"/>
        <v/>
      </c>
      <c r="H157" s="20" t="str">
        <f t="shared" si="27"/>
        <v/>
      </c>
      <c r="I157" s="20" t="str">
        <f t="shared" si="28"/>
        <v/>
      </c>
      <c r="J157" s="20" t="str">
        <f t="shared" si="29"/>
        <v/>
      </c>
      <c r="K157" s="31" t="str">
        <f t="shared" si="30"/>
        <v/>
      </c>
      <c r="L157" s="23" t="str">
        <f t="shared" si="31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32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5"/>
        <v/>
      </c>
      <c r="G158" s="29" t="str">
        <f t="shared" si="26"/>
        <v/>
      </c>
      <c r="H158" s="20" t="str">
        <f t="shared" si="27"/>
        <v/>
      </c>
      <c r="I158" s="20" t="str">
        <f t="shared" si="28"/>
        <v/>
      </c>
      <c r="J158" s="20" t="str">
        <f t="shared" si="29"/>
        <v/>
      </c>
      <c r="K158" s="31" t="str">
        <f t="shared" si="30"/>
        <v/>
      </c>
      <c r="L158" s="23" t="str">
        <f t="shared" si="31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32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5"/>
        <v/>
      </c>
      <c r="G159" s="29" t="str">
        <f t="shared" si="26"/>
        <v/>
      </c>
      <c r="H159" s="20" t="str">
        <f t="shared" si="27"/>
        <v/>
      </c>
      <c r="I159" s="20" t="str">
        <f t="shared" si="28"/>
        <v/>
      </c>
      <c r="J159" s="20" t="str">
        <f t="shared" si="29"/>
        <v/>
      </c>
      <c r="K159" s="31" t="str">
        <f t="shared" si="30"/>
        <v/>
      </c>
      <c r="L159" s="23" t="str">
        <f t="shared" si="31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32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5"/>
        <v/>
      </c>
      <c r="G160" s="29" t="str">
        <f t="shared" si="26"/>
        <v/>
      </c>
      <c r="H160" s="20" t="str">
        <f t="shared" si="27"/>
        <v/>
      </c>
      <c r="I160" s="20" t="str">
        <f t="shared" si="28"/>
        <v/>
      </c>
      <c r="J160" s="20" t="str">
        <f t="shared" si="29"/>
        <v/>
      </c>
      <c r="K160" s="31" t="str">
        <f t="shared" si="30"/>
        <v/>
      </c>
      <c r="L160" s="23" t="str">
        <f t="shared" si="31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32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5"/>
        <v/>
      </c>
      <c r="G161" s="29" t="str">
        <f t="shared" si="26"/>
        <v/>
      </c>
      <c r="H161" s="20" t="str">
        <f t="shared" si="27"/>
        <v/>
      </c>
      <c r="I161" s="20" t="str">
        <f t="shared" si="28"/>
        <v/>
      </c>
      <c r="J161" s="20" t="str">
        <f t="shared" si="29"/>
        <v/>
      </c>
      <c r="K161" s="31" t="str">
        <f t="shared" si="30"/>
        <v/>
      </c>
      <c r="L161" s="23" t="str">
        <f t="shared" si="31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32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5"/>
        <v/>
      </c>
      <c r="G162" s="29" t="str">
        <f t="shared" si="26"/>
        <v/>
      </c>
      <c r="H162" s="20" t="str">
        <f t="shared" si="27"/>
        <v/>
      </c>
      <c r="I162" s="20" t="str">
        <f t="shared" si="28"/>
        <v/>
      </c>
      <c r="J162" s="20" t="str">
        <f t="shared" si="29"/>
        <v/>
      </c>
      <c r="K162" s="31" t="str">
        <f t="shared" si="30"/>
        <v/>
      </c>
      <c r="L162" s="23" t="str">
        <f t="shared" si="31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32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5"/>
        <v/>
      </c>
      <c r="G163" s="29" t="str">
        <f t="shared" si="26"/>
        <v/>
      </c>
      <c r="H163" s="20" t="str">
        <f t="shared" si="27"/>
        <v/>
      </c>
      <c r="I163" s="20" t="str">
        <f t="shared" si="28"/>
        <v/>
      </c>
      <c r="J163" s="20" t="str">
        <f t="shared" si="29"/>
        <v/>
      </c>
      <c r="K163" s="31" t="str">
        <f t="shared" si="30"/>
        <v/>
      </c>
      <c r="L163" s="23" t="str">
        <f t="shared" si="31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32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5"/>
        <v/>
      </c>
      <c r="G164" s="29" t="str">
        <f t="shared" si="26"/>
        <v/>
      </c>
      <c r="H164" s="20" t="str">
        <f t="shared" si="27"/>
        <v/>
      </c>
      <c r="I164" s="20" t="str">
        <f t="shared" si="28"/>
        <v/>
      </c>
      <c r="J164" s="20" t="str">
        <f t="shared" si="29"/>
        <v/>
      </c>
      <c r="K164" s="31" t="str">
        <f t="shared" si="30"/>
        <v/>
      </c>
      <c r="L164" s="23" t="str">
        <f t="shared" si="31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32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5"/>
        <v/>
      </c>
      <c r="G165" s="29" t="str">
        <f t="shared" si="26"/>
        <v/>
      </c>
      <c r="H165" s="20" t="str">
        <f t="shared" si="27"/>
        <v/>
      </c>
      <c r="I165" s="20" t="str">
        <f t="shared" si="28"/>
        <v/>
      </c>
      <c r="J165" s="20" t="str">
        <f t="shared" si="29"/>
        <v/>
      </c>
      <c r="K165" s="31" t="str">
        <f t="shared" si="30"/>
        <v/>
      </c>
      <c r="L165" s="23" t="str">
        <f t="shared" si="31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32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5"/>
        <v/>
      </c>
      <c r="G166" s="29" t="str">
        <f t="shared" si="26"/>
        <v/>
      </c>
      <c r="H166" s="20" t="str">
        <f t="shared" si="27"/>
        <v/>
      </c>
      <c r="I166" s="20" t="str">
        <f t="shared" si="28"/>
        <v/>
      </c>
      <c r="J166" s="20" t="str">
        <f t="shared" si="29"/>
        <v/>
      </c>
      <c r="K166" s="31" t="str">
        <f t="shared" si="30"/>
        <v/>
      </c>
      <c r="L166" s="23" t="str">
        <f t="shared" si="31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32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5"/>
        <v/>
      </c>
      <c r="G167" s="29" t="str">
        <f t="shared" si="26"/>
        <v/>
      </c>
      <c r="H167" s="20" t="str">
        <f t="shared" si="27"/>
        <v/>
      </c>
      <c r="I167" s="20" t="str">
        <f t="shared" si="28"/>
        <v/>
      </c>
      <c r="J167" s="20" t="str">
        <f t="shared" si="29"/>
        <v/>
      </c>
      <c r="K167" s="31" t="str">
        <f t="shared" si="30"/>
        <v/>
      </c>
      <c r="L167" s="23" t="str">
        <f t="shared" si="31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32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5"/>
        <v/>
      </c>
      <c r="G168" s="29" t="str">
        <f t="shared" si="26"/>
        <v/>
      </c>
      <c r="H168" s="20" t="str">
        <f t="shared" si="27"/>
        <v/>
      </c>
      <c r="I168" s="20" t="str">
        <f t="shared" si="28"/>
        <v/>
      </c>
      <c r="J168" s="20" t="str">
        <f t="shared" si="29"/>
        <v/>
      </c>
      <c r="K168" s="31" t="str">
        <f t="shared" si="30"/>
        <v/>
      </c>
      <c r="L168" s="23" t="str">
        <f t="shared" si="31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32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5"/>
        <v/>
      </c>
      <c r="G169" s="29" t="str">
        <f t="shared" si="26"/>
        <v/>
      </c>
      <c r="H169" s="20" t="str">
        <f t="shared" si="27"/>
        <v/>
      </c>
      <c r="I169" s="20" t="str">
        <f t="shared" si="28"/>
        <v/>
      </c>
      <c r="J169" s="20" t="str">
        <f t="shared" si="29"/>
        <v/>
      </c>
      <c r="K169" s="31" t="str">
        <f t="shared" si="30"/>
        <v/>
      </c>
      <c r="L169" s="23" t="str">
        <f t="shared" si="31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32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5"/>
        <v/>
      </c>
      <c r="G170" s="29" t="str">
        <f t="shared" si="26"/>
        <v/>
      </c>
      <c r="H170" s="20" t="str">
        <f t="shared" si="27"/>
        <v/>
      </c>
      <c r="I170" s="20" t="str">
        <f t="shared" si="28"/>
        <v/>
      </c>
      <c r="J170" s="20" t="str">
        <f t="shared" si="29"/>
        <v/>
      </c>
      <c r="K170" s="31" t="str">
        <f t="shared" si="30"/>
        <v/>
      </c>
      <c r="L170" s="23" t="str">
        <f t="shared" si="31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32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5"/>
        <v/>
      </c>
      <c r="G171" s="29" t="str">
        <f t="shared" si="26"/>
        <v/>
      </c>
      <c r="H171" s="20" t="str">
        <f t="shared" si="27"/>
        <v/>
      </c>
      <c r="I171" s="20" t="str">
        <f t="shared" si="28"/>
        <v/>
      </c>
      <c r="J171" s="20" t="str">
        <f t="shared" si="29"/>
        <v/>
      </c>
      <c r="K171" s="31" t="str">
        <f t="shared" si="30"/>
        <v/>
      </c>
      <c r="L171" s="23" t="str">
        <f t="shared" si="31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32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5"/>
        <v/>
      </c>
      <c r="G172" s="29" t="str">
        <f t="shared" si="26"/>
        <v/>
      </c>
      <c r="H172" s="20" t="str">
        <f t="shared" si="27"/>
        <v/>
      </c>
      <c r="I172" s="20" t="str">
        <f t="shared" si="28"/>
        <v/>
      </c>
      <c r="J172" s="20" t="str">
        <f t="shared" si="29"/>
        <v/>
      </c>
      <c r="K172" s="31" t="str">
        <f t="shared" si="30"/>
        <v/>
      </c>
      <c r="L172" s="23" t="str">
        <f t="shared" si="31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32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5"/>
        <v/>
      </c>
      <c r="G173" s="29" t="str">
        <f t="shared" si="26"/>
        <v/>
      </c>
      <c r="H173" s="20" t="str">
        <f t="shared" si="27"/>
        <v/>
      </c>
      <c r="I173" s="20" t="str">
        <f t="shared" si="28"/>
        <v/>
      </c>
      <c r="J173" s="20" t="str">
        <f t="shared" si="29"/>
        <v/>
      </c>
      <c r="K173" s="31" t="str">
        <f t="shared" si="30"/>
        <v/>
      </c>
      <c r="L173" s="23" t="str">
        <f t="shared" si="31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32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5"/>
        <v/>
      </c>
      <c r="G174" s="29" t="str">
        <f t="shared" si="26"/>
        <v/>
      </c>
      <c r="H174" s="20" t="str">
        <f t="shared" si="27"/>
        <v/>
      </c>
      <c r="I174" s="20" t="str">
        <f t="shared" si="28"/>
        <v/>
      </c>
      <c r="J174" s="20" t="str">
        <f t="shared" si="29"/>
        <v/>
      </c>
      <c r="K174" s="31" t="str">
        <f t="shared" si="30"/>
        <v/>
      </c>
      <c r="L174" s="23" t="str">
        <f t="shared" si="31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32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5"/>
        <v/>
      </c>
      <c r="G175" s="29" t="str">
        <f t="shared" si="26"/>
        <v/>
      </c>
      <c r="H175" s="20" t="str">
        <f t="shared" si="27"/>
        <v/>
      </c>
      <c r="I175" s="20" t="str">
        <f t="shared" si="28"/>
        <v/>
      </c>
      <c r="J175" s="20" t="str">
        <f t="shared" si="29"/>
        <v/>
      </c>
      <c r="K175" s="31" t="str">
        <f t="shared" si="30"/>
        <v/>
      </c>
      <c r="L175" s="23" t="str">
        <f t="shared" si="31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32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5"/>
        <v/>
      </c>
      <c r="G176" s="29" t="str">
        <f t="shared" si="26"/>
        <v/>
      </c>
      <c r="H176" s="20" t="str">
        <f t="shared" si="27"/>
        <v/>
      </c>
      <c r="I176" s="20" t="str">
        <f t="shared" si="28"/>
        <v/>
      </c>
      <c r="J176" s="20" t="str">
        <f t="shared" si="29"/>
        <v/>
      </c>
      <c r="K176" s="31" t="str">
        <f t="shared" si="30"/>
        <v/>
      </c>
      <c r="L176" s="23" t="str">
        <f t="shared" si="31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32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5"/>
        <v/>
      </c>
      <c r="G177" s="29" t="str">
        <f t="shared" si="26"/>
        <v/>
      </c>
      <c r="H177" s="20" t="str">
        <f t="shared" si="27"/>
        <v/>
      </c>
      <c r="I177" s="20" t="str">
        <f t="shared" si="28"/>
        <v/>
      </c>
      <c r="J177" s="20" t="str">
        <f t="shared" si="29"/>
        <v/>
      </c>
      <c r="K177" s="31" t="str">
        <f t="shared" si="30"/>
        <v/>
      </c>
      <c r="L177" s="23" t="str">
        <f t="shared" si="31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32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5"/>
        <v/>
      </c>
      <c r="G178" s="29" t="str">
        <f t="shared" si="26"/>
        <v/>
      </c>
      <c r="H178" s="20" t="str">
        <f t="shared" si="27"/>
        <v/>
      </c>
      <c r="I178" s="20" t="str">
        <f t="shared" si="28"/>
        <v/>
      </c>
      <c r="J178" s="20" t="str">
        <f t="shared" si="29"/>
        <v/>
      </c>
      <c r="K178" s="31" t="str">
        <f t="shared" si="30"/>
        <v/>
      </c>
      <c r="L178" s="23" t="str">
        <f t="shared" si="31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32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5"/>
        <v/>
      </c>
      <c r="G179" s="29" t="str">
        <f t="shared" si="26"/>
        <v/>
      </c>
      <c r="H179" s="20" t="str">
        <f t="shared" si="27"/>
        <v/>
      </c>
      <c r="I179" s="20" t="str">
        <f t="shared" si="28"/>
        <v/>
      </c>
      <c r="J179" s="20" t="str">
        <f t="shared" si="29"/>
        <v/>
      </c>
      <c r="K179" s="31" t="str">
        <f t="shared" si="30"/>
        <v/>
      </c>
      <c r="L179" s="23" t="str">
        <f t="shared" si="31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32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5"/>
        <v/>
      </c>
      <c r="G180" s="29" t="str">
        <f t="shared" si="26"/>
        <v/>
      </c>
      <c r="H180" s="20" t="str">
        <f t="shared" si="27"/>
        <v/>
      </c>
      <c r="I180" s="20" t="str">
        <f t="shared" si="28"/>
        <v/>
      </c>
      <c r="J180" s="20" t="str">
        <f t="shared" si="29"/>
        <v/>
      </c>
      <c r="K180" s="31" t="str">
        <f t="shared" si="30"/>
        <v/>
      </c>
      <c r="L180" s="23" t="str">
        <f t="shared" si="31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32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5"/>
        <v/>
      </c>
      <c r="G181" s="29" t="str">
        <f t="shared" si="26"/>
        <v/>
      </c>
      <c r="H181" s="20" t="str">
        <f t="shared" si="27"/>
        <v/>
      </c>
      <c r="I181" s="20" t="str">
        <f t="shared" si="28"/>
        <v/>
      </c>
      <c r="J181" s="20" t="str">
        <f t="shared" si="29"/>
        <v/>
      </c>
      <c r="K181" s="31" t="str">
        <f t="shared" si="30"/>
        <v/>
      </c>
      <c r="L181" s="23" t="str">
        <f t="shared" si="31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32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5"/>
        <v/>
      </c>
      <c r="G182" s="29" t="str">
        <f t="shared" si="26"/>
        <v/>
      </c>
      <c r="H182" s="20" t="str">
        <f t="shared" si="27"/>
        <v/>
      </c>
      <c r="I182" s="20" t="str">
        <f t="shared" si="28"/>
        <v/>
      </c>
      <c r="J182" s="20" t="str">
        <f t="shared" si="29"/>
        <v/>
      </c>
      <c r="K182" s="31" t="str">
        <f t="shared" si="30"/>
        <v/>
      </c>
      <c r="L182" s="23" t="str">
        <f t="shared" si="31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32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5"/>
        <v/>
      </c>
      <c r="G183" s="29" t="str">
        <f t="shared" si="26"/>
        <v/>
      </c>
      <c r="H183" s="20" t="str">
        <f t="shared" si="27"/>
        <v/>
      </c>
      <c r="I183" s="20" t="str">
        <f t="shared" si="28"/>
        <v/>
      </c>
      <c r="J183" s="20" t="str">
        <f t="shared" si="29"/>
        <v/>
      </c>
      <c r="K183" s="31" t="str">
        <f t="shared" si="30"/>
        <v/>
      </c>
      <c r="L183" s="23" t="str">
        <f t="shared" si="31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32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5"/>
        <v/>
      </c>
      <c r="G184" s="29" t="str">
        <f t="shared" si="26"/>
        <v/>
      </c>
      <c r="H184" s="20" t="str">
        <f t="shared" si="27"/>
        <v/>
      </c>
      <c r="I184" s="20" t="str">
        <f t="shared" si="28"/>
        <v/>
      </c>
      <c r="J184" s="20" t="str">
        <f t="shared" si="29"/>
        <v/>
      </c>
      <c r="K184" s="31" t="str">
        <f t="shared" si="30"/>
        <v/>
      </c>
      <c r="L184" s="23" t="str">
        <f t="shared" si="31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32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5"/>
        <v/>
      </c>
      <c r="G185" s="29" t="str">
        <f t="shared" si="26"/>
        <v/>
      </c>
      <c r="H185" s="20" t="str">
        <f t="shared" si="27"/>
        <v/>
      </c>
      <c r="I185" s="20" t="str">
        <f t="shared" si="28"/>
        <v/>
      </c>
      <c r="J185" s="20" t="str">
        <f t="shared" si="29"/>
        <v/>
      </c>
      <c r="K185" s="31" t="str">
        <f t="shared" si="30"/>
        <v/>
      </c>
      <c r="L185" s="23" t="str">
        <f t="shared" si="31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32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5"/>
        <v/>
      </c>
      <c r="G186" s="29" t="str">
        <f t="shared" si="26"/>
        <v/>
      </c>
      <c r="H186" s="20" t="str">
        <f t="shared" si="27"/>
        <v/>
      </c>
      <c r="I186" s="20" t="str">
        <f t="shared" si="28"/>
        <v/>
      </c>
      <c r="J186" s="20" t="str">
        <f t="shared" si="29"/>
        <v/>
      </c>
      <c r="K186" s="31" t="str">
        <f t="shared" si="30"/>
        <v/>
      </c>
      <c r="L186" s="23" t="str">
        <f t="shared" si="31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32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5"/>
        <v/>
      </c>
      <c r="G187" s="29" t="str">
        <f t="shared" si="26"/>
        <v/>
      </c>
      <c r="H187" s="20" t="str">
        <f t="shared" si="27"/>
        <v/>
      </c>
      <c r="I187" s="20" t="str">
        <f t="shared" si="28"/>
        <v/>
      </c>
      <c r="J187" s="20" t="str">
        <f t="shared" si="29"/>
        <v/>
      </c>
      <c r="K187" s="31" t="str">
        <f t="shared" si="30"/>
        <v/>
      </c>
      <c r="L187" s="23" t="str">
        <f t="shared" si="31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32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5"/>
        <v/>
      </c>
      <c r="G188" s="29" t="str">
        <f t="shared" si="26"/>
        <v/>
      </c>
      <c r="H188" s="20" t="str">
        <f t="shared" si="27"/>
        <v/>
      </c>
      <c r="I188" s="20" t="str">
        <f t="shared" si="28"/>
        <v/>
      </c>
      <c r="J188" s="20" t="str">
        <f t="shared" si="29"/>
        <v/>
      </c>
      <c r="K188" s="31" t="str">
        <f t="shared" si="30"/>
        <v/>
      </c>
      <c r="L188" s="23" t="str">
        <f t="shared" si="31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32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5"/>
        <v/>
      </c>
      <c r="G189" s="29" t="str">
        <f t="shared" si="26"/>
        <v/>
      </c>
      <c r="H189" s="20" t="str">
        <f t="shared" si="27"/>
        <v/>
      </c>
      <c r="I189" s="20" t="str">
        <f t="shared" si="28"/>
        <v/>
      </c>
      <c r="J189" s="20" t="str">
        <f t="shared" si="29"/>
        <v/>
      </c>
      <c r="K189" s="31" t="str">
        <f t="shared" si="30"/>
        <v/>
      </c>
      <c r="L189" s="23" t="str">
        <f t="shared" si="31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32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5"/>
        <v/>
      </c>
      <c r="G190" s="29" t="str">
        <f t="shared" si="26"/>
        <v/>
      </c>
      <c r="H190" s="20" t="str">
        <f t="shared" si="27"/>
        <v/>
      </c>
      <c r="I190" s="20" t="str">
        <f t="shared" si="28"/>
        <v/>
      </c>
      <c r="J190" s="20" t="str">
        <f t="shared" si="29"/>
        <v/>
      </c>
      <c r="K190" s="31" t="str">
        <f t="shared" si="30"/>
        <v/>
      </c>
      <c r="L190" s="23" t="str">
        <f t="shared" si="31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32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5"/>
        <v/>
      </c>
      <c r="G191" s="29" t="str">
        <f t="shared" si="26"/>
        <v/>
      </c>
      <c r="H191" s="20" t="str">
        <f t="shared" si="27"/>
        <v/>
      </c>
      <c r="I191" s="20" t="str">
        <f t="shared" si="28"/>
        <v/>
      </c>
      <c r="J191" s="20" t="str">
        <f t="shared" si="29"/>
        <v/>
      </c>
      <c r="K191" s="31" t="str">
        <f t="shared" si="30"/>
        <v/>
      </c>
      <c r="L191" s="23" t="str">
        <f t="shared" si="31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32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5"/>
        <v/>
      </c>
      <c r="G192" s="29" t="str">
        <f t="shared" si="26"/>
        <v/>
      </c>
      <c r="H192" s="20" t="str">
        <f t="shared" si="27"/>
        <v/>
      </c>
      <c r="I192" s="20" t="str">
        <f t="shared" si="28"/>
        <v/>
      </c>
      <c r="J192" s="20" t="str">
        <f t="shared" si="29"/>
        <v/>
      </c>
      <c r="K192" s="31" t="str">
        <f t="shared" si="30"/>
        <v/>
      </c>
      <c r="L192" s="23" t="str">
        <f t="shared" si="31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32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5"/>
        <v/>
      </c>
      <c r="G193" s="29" t="str">
        <f t="shared" si="26"/>
        <v/>
      </c>
      <c r="H193" s="20" t="str">
        <f t="shared" si="27"/>
        <v/>
      </c>
      <c r="I193" s="20" t="str">
        <f t="shared" si="28"/>
        <v/>
      </c>
      <c r="J193" s="20" t="str">
        <f t="shared" si="29"/>
        <v/>
      </c>
      <c r="K193" s="31" t="str">
        <f t="shared" si="30"/>
        <v/>
      </c>
      <c r="L193" s="23" t="str">
        <f t="shared" si="31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32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5"/>
        <v/>
      </c>
      <c r="G194" s="29" t="str">
        <f t="shared" si="26"/>
        <v/>
      </c>
      <c r="H194" s="20" t="str">
        <f t="shared" si="27"/>
        <v/>
      </c>
      <c r="I194" s="20" t="str">
        <f t="shared" si="28"/>
        <v/>
      </c>
      <c r="J194" s="20" t="str">
        <f t="shared" si="29"/>
        <v/>
      </c>
      <c r="K194" s="31" t="str">
        <f t="shared" si="30"/>
        <v/>
      </c>
      <c r="L194" s="23" t="str">
        <f t="shared" si="31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32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5"/>
        <v/>
      </c>
      <c r="G195" s="29" t="str">
        <f t="shared" si="26"/>
        <v/>
      </c>
      <c r="H195" s="20" t="str">
        <f t="shared" si="27"/>
        <v/>
      </c>
      <c r="I195" s="20" t="str">
        <f t="shared" si="28"/>
        <v/>
      </c>
      <c r="J195" s="20" t="str">
        <f t="shared" si="29"/>
        <v/>
      </c>
      <c r="K195" s="31" t="str">
        <f t="shared" si="30"/>
        <v/>
      </c>
      <c r="L195" s="23" t="str">
        <f t="shared" si="31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32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5"/>
        <v/>
      </c>
      <c r="G196" s="29" t="str">
        <f t="shared" si="26"/>
        <v/>
      </c>
      <c r="H196" s="20" t="str">
        <f t="shared" si="27"/>
        <v/>
      </c>
      <c r="I196" s="20" t="str">
        <f t="shared" si="28"/>
        <v/>
      </c>
      <c r="J196" s="20" t="str">
        <f t="shared" si="29"/>
        <v/>
      </c>
      <c r="K196" s="31" t="str">
        <f t="shared" si="30"/>
        <v/>
      </c>
      <c r="L196" s="23" t="str">
        <f t="shared" si="31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32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5"/>
        <v/>
      </c>
      <c r="G197" s="29" t="str">
        <f t="shared" si="26"/>
        <v/>
      </c>
      <c r="H197" s="20" t="str">
        <f t="shared" si="27"/>
        <v/>
      </c>
      <c r="I197" s="20" t="str">
        <f t="shared" si="28"/>
        <v/>
      </c>
      <c r="J197" s="20" t="str">
        <f t="shared" si="29"/>
        <v/>
      </c>
      <c r="K197" s="31" t="str">
        <f t="shared" si="30"/>
        <v/>
      </c>
      <c r="L197" s="23" t="str">
        <f t="shared" si="31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32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5"/>
        <v/>
      </c>
      <c r="G198" s="29" t="str">
        <f t="shared" si="26"/>
        <v/>
      </c>
      <c r="H198" s="20" t="str">
        <f t="shared" si="27"/>
        <v/>
      </c>
      <c r="I198" s="20" t="str">
        <f t="shared" si="28"/>
        <v/>
      </c>
      <c r="J198" s="20" t="str">
        <f t="shared" si="29"/>
        <v/>
      </c>
      <c r="K198" s="31" t="str">
        <f t="shared" si="30"/>
        <v/>
      </c>
      <c r="L198" s="23" t="str">
        <f t="shared" si="31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32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5"/>
        <v/>
      </c>
      <c r="G199" s="29" t="str">
        <f t="shared" si="26"/>
        <v/>
      </c>
      <c r="H199" s="20" t="str">
        <f t="shared" si="27"/>
        <v/>
      </c>
      <c r="I199" s="20" t="str">
        <f t="shared" si="28"/>
        <v/>
      </c>
      <c r="J199" s="20" t="str">
        <f t="shared" si="29"/>
        <v/>
      </c>
      <c r="K199" s="31" t="str">
        <f t="shared" si="30"/>
        <v/>
      </c>
      <c r="L199" s="23" t="str">
        <f t="shared" si="31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32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33">IF(G200&lt;&gt;"",R200&amp;S200,"")</f>
        <v/>
      </c>
      <c r="G200" s="29" t="str">
        <f t="shared" ref="G200" si="34">IF(AND((S200 &lt;&gt; ""),(S200 &gt;= 0)), ABS(IF(OR((R200=""),(R200="　")), S200, T200)), "")</f>
        <v/>
      </c>
      <c r="H200" s="20" t="str">
        <f t="shared" ref="H200" si="35">IF(OR((R200=""),(R200="　")),IF(G200 &lt;&gt; "", T200, ""),IF(G200 &lt;&gt; "", U200, ""))</f>
        <v/>
      </c>
      <c r="I200" s="20" t="str">
        <f t="shared" ref="I200" si="36">IF(G200 &lt;&gt; "", IF(COUNTIF(IF(OR((R200=""),(R200="　")), U200, V200),"*男*"),"男性",IF(COUNTIF(IF(OR((R200=""),(R200="　")), U200, V200),"*女*"),"女性","ー")),"")</f>
        <v/>
      </c>
      <c r="J200" s="20" t="str">
        <f t="shared" ref="J200" si="37">IF(G200 &lt;&gt; "", IF(OR((R200=""),(R200="　")), V200, W200),"")</f>
        <v/>
      </c>
      <c r="K200" s="31" t="str">
        <f t="shared" ref="K200" si="38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9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40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2022/12/15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99999856001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鶴岡市</v>
      </c>
      <c r="H3" s="10" t="str">
        <f>IF(ROW(G1)&gt;MAX(Main!$C$4:$C$1048576),"",INDEX(Main!K$4:K$1048576,MATCH(ROW(G1),Main!$C$4:$C$1048576,0)))</f>
        <v>99999856001医療機関</v>
      </c>
      <c r="I3" s="1">
        <f>IF(H3&lt;&gt;"",IF(ROW(G1)&gt;MAX(Main!$C$4:$C$1048576),"",INDEX(Main!N$4:N$1048576,MATCH(ROW(G1),Main!$C$4:$C$1048576,0))),"")</f>
        <v>99999856001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医療機関</v>
      </c>
      <c r="K3" s="27" t="str">
        <f t="shared" ref="K3:K66" si="1">IF(ISERROR(FIND($Y$1, $C3)), $C3&amp;
"例目",
"クラスターNo."&amp;LEFT(REPLACE($C3, 1, LEN($Y$1), ""), LEN($C3)-3-LEN($Y$1)))</f>
        <v>クラスターNo.856</v>
      </c>
      <c r="M3" s="4" t="str">
        <f>TEXT(IF(ROW(A1)&gt;MAX(Main!$D$4:$D$1048576),"",INDEX(Main!Q$4:Q$1048576,MATCH(ROW(A1),Main!$D$4:$D$1048576,0))), "yyyy/m/d")</f>
        <v>2022/12/15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99999856001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鶴岡市</v>
      </c>
      <c r="S3" s="9" t="str">
        <f>IF(ROW(G1)&gt;MAX(Main!$D$4:$D$1048576),"",INDEX(Main!K$4:K$1048576,MATCH(ROW(G1),Main!$D$4:$D$1048576,0)))</f>
        <v>99999856001医療機関</v>
      </c>
      <c r="T3" s="1">
        <f>IF(S3&lt;&gt;"",IF(ROW(G1)&gt;MAX(Main!$D$4:$D$1048576),"",INDEX(Main!N$4:N$1048576,MATCH(ROW(G1),Main!$D$4:$D$1048576,0))),"")</f>
        <v>99999856001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医療機関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2022/12/15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99999856002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鶴岡市</v>
      </c>
      <c r="H4" s="10" t="str">
        <f>IF(ROW(G2)&gt;MAX(Main!$C$4:$C$1048576),"",INDEX(Main!K$4:K$1048576,MATCH(ROW(G2),Main!$C$4:$C$1048576,0)))</f>
        <v>99999856001関連</v>
      </c>
      <c r="I4" s="1">
        <f>IF(H4&lt;&gt;"",IF(ROW(G2)&gt;MAX(Main!$C$4:$C$1048576),"",INDEX(Main!N$4:N$1048576,MATCH(ROW(G2),Main!$C$4:$C$1048576,0))),"")</f>
        <v>99999856001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クラスターNo.856</v>
      </c>
      <c r="M4" s="4" t="str">
        <f>TEXT(IF(ROW(A2)&gt;MAX(Main!$D$4:$D$1048576),"",INDEX(Main!Q$4:Q$1048576,MATCH(ROW(A2),Main!$D$4:$D$1048576,0))), "yyyy/m/d")</f>
        <v>2022/12/15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99999856002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鶴岡市</v>
      </c>
      <c r="S4" s="9" t="str">
        <f>IF(ROW(G2)&gt;MAX(Main!$D$4:$D$1048576),"",INDEX(Main!K$4:K$1048576,MATCH(ROW(G2),Main!$D$4:$D$1048576,0)))</f>
        <v>99999856001関連</v>
      </c>
      <c r="T4" s="1">
        <f>IF(S4&lt;&gt;"",IF(ROW(G2)&gt;MAX(Main!$D$4:$D$1048576),"",INDEX(Main!N$4:N$1048576,MATCH(ROW(G2),Main!$D$4:$D$1048576,0))),"")</f>
        <v>99999856001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2022/12/15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99999856003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鶴岡市</v>
      </c>
      <c r="H5" s="10" t="str">
        <f>IF(ROW(G3)&gt;MAX(Main!$C$4:$C$1048576),"",INDEX(Main!K$4:K$1048576,MATCH(ROW(G3),Main!$C$4:$C$1048576,0)))</f>
        <v>99999856001関連</v>
      </c>
      <c r="I5" s="1">
        <f>IF(H5&lt;&gt;"",IF(ROW(G3)&gt;MAX(Main!$C$4:$C$1048576),"",INDEX(Main!N$4:N$1048576,MATCH(ROW(G3),Main!$C$4:$C$1048576,0))),"")</f>
        <v>99999856001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クラスターNo.856</v>
      </c>
      <c r="M5" s="4" t="str">
        <f>TEXT(IF(ROW(A3)&gt;MAX(Main!$D$4:$D$1048576),"",INDEX(Main!Q$4:Q$1048576,MATCH(ROW(A3),Main!$D$4:$D$1048576,0))), "yyyy/m/d")</f>
        <v>2022/12/15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99999856003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鶴岡市</v>
      </c>
      <c r="S5" s="9" t="str">
        <f>IF(ROW(G3)&gt;MAX(Main!$D$4:$D$1048576),"",INDEX(Main!K$4:K$1048576,MATCH(ROW(G3),Main!$D$4:$D$1048576,0)))</f>
        <v>99999856001関連</v>
      </c>
      <c r="T5" s="1">
        <f>IF(S5&lt;&gt;"",IF(ROW(G3)&gt;MAX(Main!$D$4:$D$1048576),"",INDEX(Main!N$4:N$1048576,MATCH(ROW(G3),Main!$D$4:$D$1048576,0))),"")</f>
        <v>99999856001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2022/12/15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99999856004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鶴岡市</v>
      </c>
      <c r="H6" s="10" t="str">
        <f>IF(ROW(G4)&gt;MAX(Main!$C$4:$C$1048576),"",INDEX(Main!K$4:K$1048576,MATCH(ROW(G4),Main!$C$4:$C$1048576,0)))</f>
        <v>99999856001関連</v>
      </c>
      <c r="I6" s="1">
        <f>IF(H6&lt;&gt;"",IF(ROW(G4)&gt;MAX(Main!$C$4:$C$1048576),"",INDEX(Main!N$4:N$1048576,MATCH(ROW(G4),Main!$C$4:$C$1048576,0))),"")</f>
        <v>99999856001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クラスターNo.856</v>
      </c>
      <c r="M6" s="4" t="str">
        <f>TEXT(IF(ROW(A4)&gt;MAX(Main!$D$4:$D$1048576),"",INDEX(Main!Q$4:Q$1048576,MATCH(ROW(A4),Main!$D$4:$D$1048576,0))), "yyyy/m/d")</f>
        <v>2022/12/15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99999856004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鶴岡市</v>
      </c>
      <c r="S6" s="9" t="str">
        <f>IF(ROW(G4)&gt;MAX(Main!$D$4:$D$1048576),"",INDEX(Main!K$4:K$1048576,MATCH(ROW(G4),Main!$D$4:$D$1048576,0)))</f>
        <v>99999856001関連</v>
      </c>
      <c r="T6" s="1">
        <f>IF(S6&lt;&gt;"",IF(ROW(G4)&gt;MAX(Main!$D$4:$D$1048576),"",INDEX(Main!N$4:N$1048576,MATCH(ROW(G4),Main!$D$4:$D$1048576,0))),"")</f>
        <v>99999856001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2022/12/15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99999856005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鶴岡市</v>
      </c>
      <c r="H7" s="10" t="str">
        <f>IF(ROW(G5)&gt;MAX(Main!$C$4:$C$1048576),"",INDEX(Main!K$4:K$1048576,MATCH(ROW(G5),Main!$C$4:$C$1048576,0)))</f>
        <v>99999856001関連</v>
      </c>
      <c r="I7" s="1">
        <f>IF(H7&lt;&gt;"",IF(ROW(G5)&gt;MAX(Main!$C$4:$C$1048576),"",INDEX(Main!N$4:N$1048576,MATCH(ROW(G5),Main!$C$4:$C$1048576,0))),"")</f>
        <v>99999856001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クラスターNo.856</v>
      </c>
      <c r="M7" s="4" t="str">
        <f>TEXT(IF(ROW(A5)&gt;MAX(Main!$D$4:$D$1048576),"",INDEX(Main!Q$4:Q$1048576,MATCH(ROW(A5),Main!$D$4:$D$1048576,0))), "yyyy/m/d")</f>
        <v>2022/12/15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99999856005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鶴岡市</v>
      </c>
      <c r="S7" s="9" t="str">
        <f>IF(ROW(G5)&gt;MAX(Main!$D$4:$D$1048576),"",INDEX(Main!K$4:K$1048576,MATCH(ROW(G5),Main!$D$4:$D$1048576,0)))</f>
        <v>99999856001関連</v>
      </c>
      <c r="T7" s="1">
        <f>IF(S7&lt;&gt;"",IF(ROW(G5)&gt;MAX(Main!$D$4:$D$1048576),"",INDEX(Main!N$4:N$1048576,MATCH(ROW(G5),Main!$D$4:$D$1048576,0))),"")</f>
        <v>99999856001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2022/12/15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99999856006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鶴岡市</v>
      </c>
      <c r="H8" s="10" t="str">
        <f>IF(ROW(G6)&gt;MAX(Main!$C$4:$C$1048576),"",INDEX(Main!K$4:K$1048576,MATCH(ROW(G6),Main!$C$4:$C$1048576,0)))</f>
        <v>99999856001関連</v>
      </c>
      <c r="I8" s="1">
        <f>IF(H8&lt;&gt;"",IF(ROW(G6)&gt;MAX(Main!$C$4:$C$1048576),"",INDEX(Main!N$4:N$1048576,MATCH(ROW(G6),Main!$C$4:$C$1048576,0))),"")</f>
        <v>99999856001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クラスターNo.856</v>
      </c>
      <c r="M8" s="4" t="str">
        <f>TEXT(IF(ROW(A6)&gt;MAX(Main!$D$4:$D$1048576),"",INDEX(Main!Q$4:Q$1048576,MATCH(ROW(A6),Main!$D$4:$D$1048576,0))), "yyyy/m/d")</f>
        <v>2022/12/15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99999856006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鶴岡市</v>
      </c>
      <c r="S8" s="9" t="str">
        <f>IF(ROW(G6)&gt;MAX(Main!$D$4:$D$1048576),"",INDEX(Main!K$4:K$1048576,MATCH(ROW(G6),Main!$D$4:$D$1048576,0)))</f>
        <v>99999856001関連</v>
      </c>
      <c r="T8" s="1">
        <f>IF(S8&lt;&gt;"",IF(ROW(G6)&gt;MAX(Main!$D$4:$D$1048576),"",INDEX(Main!N$4:N$1048576,MATCH(ROW(G6),Main!$D$4:$D$1048576,0))),"")</f>
        <v>99999856001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2022/12/15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99999856007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鶴岡市</v>
      </c>
      <c r="H9" s="10" t="str">
        <f>IF(ROW(G7)&gt;MAX(Main!$C$4:$C$1048576),"",INDEX(Main!K$4:K$1048576,MATCH(ROW(G7),Main!$C$4:$C$1048576,0)))</f>
        <v>99999856001関連</v>
      </c>
      <c r="I9" s="1">
        <f>IF(H9&lt;&gt;"",IF(ROW(G7)&gt;MAX(Main!$C$4:$C$1048576),"",INDEX(Main!N$4:N$1048576,MATCH(ROW(G7),Main!$C$4:$C$1048576,0))),"")</f>
        <v>99999856001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クラスターNo.856</v>
      </c>
      <c r="M9" s="4" t="str">
        <f>TEXT(IF(ROW(A7)&gt;MAX(Main!$D$4:$D$1048576),"",INDEX(Main!Q$4:Q$1048576,MATCH(ROW(A7),Main!$D$4:$D$1048576,0))), "yyyy/m/d")</f>
        <v>2022/12/15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99999856007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鶴岡市</v>
      </c>
      <c r="S9" s="9" t="str">
        <f>IF(ROW(G7)&gt;MAX(Main!$D$4:$D$1048576),"",INDEX(Main!K$4:K$1048576,MATCH(ROW(G7),Main!$D$4:$D$1048576,0)))</f>
        <v>99999856001関連</v>
      </c>
      <c r="T9" s="1">
        <f>IF(S9&lt;&gt;"",IF(ROW(G7)&gt;MAX(Main!$D$4:$D$1048576),"",INDEX(Main!N$4:N$1048576,MATCH(ROW(G7),Main!$D$4:$D$1048576,0))),"")</f>
        <v>99999856001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2022/12/15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99999856008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鶴岡市</v>
      </c>
      <c r="H10" s="10" t="str">
        <f>IF(ROW(G8)&gt;MAX(Main!$C$4:$C$1048576),"",INDEX(Main!K$4:K$1048576,MATCH(ROW(G8),Main!$C$4:$C$1048576,0)))</f>
        <v>99999856001関連</v>
      </c>
      <c r="I10" s="1">
        <f>IF(H10&lt;&gt;"",IF(ROW(G8)&gt;MAX(Main!$C$4:$C$1048576),"",INDEX(Main!N$4:N$1048576,MATCH(ROW(G8),Main!$C$4:$C$1048576,0))),"")</f>
        <v>99999856001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クラスターNo.856</v>
      </c>
      <c r="M10" s="4" t="str">
        <f>TEXT(IF(ROW(A8)&gt;MAX(Main!$D$4:$D$1048576),"",INDEX(Main!Q$4:Q$1048576,MATCH(ROW(A8),Main!$D$4:$D$1048576,0))), "yyyy/m/d")</f>
        <v>2022/12/15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99999856008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鶴岡市</v>
      </c>
      <c r="S10" s="9" t="str">
        <f>IF(ROW(G8)&gt;MAX(Main!$D$4:$D$1048576),"",INDEX(Main!K$4:K$1048576,MATCH(ROW(G8),Main!$D$4:$D$1048576,0)))</f>
        <v>99999856001関連</v>
      </c>
      <c r="T10" s="1">
        <f>IF(S10&lt;&gt;"",IF(ROW(G8)&gt;MAX(Main!$D$4:$D$1048576),"",INDEX(Main!N$4:N$1048576,MATCH(ROW(G8),Main!$D$4:$D$1048576,0))),"")</f>
        <v>99999856001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2022/12/15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99999856009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鶴岡市</v>
      </c>
      <c r="H11" s="10" t="str">
        <f>IF(ROW(G9)&gt;MAX(Main!$C$4:$C$1048576),"",INDEX(Main!K$4:K$1048576,MATCH(ROW(G9),Main!$C$4:$C$1048576,0)))</f>
        <v>99999856001関連</v>
      </c>
      <c r="I11" s="1">
        <f>IF(H11&lt;&gt;"",IF(ROW(G9)&gt;MAX(Main!$C$4:$C$1048576),"",INDEX(Main!N$4:N$1048576,MATCH(ROW(G9),Main!$C$4:$C$1048576,0))),"")</f>
        <v>99999856001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クラスターNo.856</v>
      </c>
      <c r="M11" s="4" t="str">
        <f>TEXT(IF(ROW(A9)&gt;MAX(Main!$D$4:$D$1048576),"",INDEX(Main!Q$4:Q$1048576,MATCH(ROW(A9),Main!$D$4:$D$1048576,0))), "yyyy/m/d")</f>
        <v>2022/12/15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99999856009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鶴岡市</v>
      </c>
      <c r="S11" s="9" t="str">
        <f>IF(ROW(G9)&gt;MAX(Main!$D$4:$D$1048576),"",INDEX(Main!K$4:K$1048576,MATCH(ROW(G9),Main!$D$4:$D$1048576,0)))</f>
        <v>99999856001関連</v>
      </c>
      <c r="T11" s="1">
        <f>IF(S11&lt;&gt;"",IF(ROW(G9)&gt;MAX(Main!$D$4:$D$1048576),"",INDEX(Main!N$4:N$1048576,MATCH(ROW(G9),Main!$D$4:$D$1048576,0))),"")</f>
        <v>99999856001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2022/12/15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99999856010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鶴岡市</v>
      </c>
      <c r="H12" s="10" t="str">
        <f>IF(ROW(G10)&gt;MAX(Main!$C$4:$C$1048576),"",INDEX(Main!K$4:K$1048576,MATCH(ROW(G10),Main!$C$4:$C$1048576,0)))</f>
        <v>99999856001関連</v>
      </c>
      <c r="I12" s="1">
        <f>IF(H12&lt;&gt;"",IF(ROW(G10)&gt;MAX(Main!$C$4:$C$1048576),"",INDEX(Main!N$4:N$1048576,MATCH(ROW(G10),Main!$C$4:$C$1048576,0))),"")</f>
        <v>99999856001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クラスターNo.856</v>
      </c>
      <c r="M12" s="4" t="str">
        <f>TEXT(IF(ROW(A10)&gt;MAX(Main!$D$4:$D$1048576),"",INDEX(Main!Q$4:Q$1048576,MATCH(ROW(A10),Main!$D$4:$D$1048576,0))), "yyyy/m/d")</f>
        <v>2022/12/15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99999856010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鶴岡市</v>
      </c>
      <c r="S12" s="9" t="str">
        <f>IF(ROW(G10)&gt;MAX(Main!$D$4:$D$1048576),"",INDEX(Main!K$4:K$1048576,MATCH(ROW(G10),Main!$D$4:$D$1048576,0)))</f>
        <v>99999856001関連</v>
      </c>
      <c r="T12" s="1">
        <f>IF(S12&lt;&gt;"",IF(ROW(G10)&gt;MAX(Main!$D$4:$D$1048576),"",INDEX(Main!N$4:N$1048576,MATCH(ROW(G10),Main!$D$4:$D$1048576,0))),"")</f>
        <v>99999856001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2022/12/15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99999856011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鶴岡市</v>
      </c>
      <c r="H13" s="10" t="str">
        <f>IF(ROW(G11)&gt;MAX(Main!$C$4:$C$1048576),"",INDEX(Main!K$4:K$1048576,MATCH(ROW(G11),Main!$C$4:$C$1048576,0)))</f>
        <v>99999856001関連</v>
      </c>
      <c r="I13" s="1">
        <f>IF(H13&lt;&gt;"",IF(ROW(G11)&gt;MAX(Main!$C$4:$C$1048576),"",INDEX(Main!N$4:N$1048576,MATCH(ROW(G11),Main!$C$4:$C$1048576,0))),"")</f>
        <v>99999856001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クラスターNo.856</v>
      </c>
      <c r="M13" s="4" t="str">
        <f>TEXT(IF(ROW(A11)&gt;MAX(Main!$D$4:$D$1048576),"",INDEX(Main!Q$4:Q$1048576,MATCH(ROW(A11),Main!$D$4:$D$1048576,0))), "yyyy/m/d")</f>
        <v>2022/12/15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99999856011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鶴岡市</v>
      </c>
      <c r="S13" s="9" t="str">
        <f>IF(ROW(G11)&gt;MAX(Main!$D$4:$D$1048576),"",INDEX(Main!K$4:K$1048576,MATCH(ROW(G11),Main!$D$4:$D$1048576,0)))</f>
        <v>99999856001関連</v>
      </c>
      <c r="T13" s="1">
        <f>IF(S13&lt;&gt;"",IF(ROW(G11)&gt;MAX(Main!$D$4:$D$1048576),"",INDEX(Main!N$4:N$1048576,MATCH(ROW(G11),Main!$D$4:$D$1048576,0))),"")</f>
        <v>99999856001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2022/12/15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99999856012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鶴岡市</v>
      </c>
      <c r="H14" s="10" t="str">
        <f>IF(ROW(G12)&gt;MAX(Main!$C$4:$C$1048576),"",INDEX(Main!K$4:K$1048576,MATCH(ROW(G12),Main!$C$4:$C$1048576,0)))</f>
        <v>99999856001関連</v>
      </c>
      <c r="I14" s="1">
        <f>IF(H14&lt;&gt;"",IF(ROW(G12)&gt;MAX(Main!$C$4:$C$1048576),"",INDEX(Main!N$4:N$1048576,MATCH(ROW(G12),Main!$C$4:$C$1048576,0))),"")</f>
        <v>99999856001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クラスターNo.856</v>
      </c>
      <c r="M14" s="4" t="str">
        <f>TEXT(IF(ROW(A12)&gt;MAX(Main!$D$4:$D$1048576),"",INDEX(Main!Q$4:Q$1048576,MATCH(ROW(A12),Main!$D$4:$D$1048576,0))), "yyyy/m/d")</f>
        <v>2022/12/15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99999856012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鶴岡市</v>
      </c>
      <c r="S14" s="9" t="str">
        <f>IF(ROW(G12)&gt;MAX(Main!$D$4:$D$1048576),"",INDEX(Main!K$4:K$1048576,MATCH(ROW(G12),Main!$D$4:$D$1048576,0)))</f>
        <v>99999856001関連</v>
      </c>
      <c r="T14" s="1">
        <f>IF(S14&lt;&gt;"",IF(ROW(G12)&gt;MAX(Main!$D$4:$D$1048576),"",INDEX(Main!N$4:N$1048576,MATCH(ROW(G12),Main!$D$4:$D$1048576,0))),"")</f>
        <v>99999856001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2022/12/15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99999856013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鶴岡市</v>
      </c>
      <c r="H15" s="10" t="str">
        <f>IF(ROW(G13)&gt;MAX(Main!$C$4:$C$1048576),"",INDEX(Main!K$4:K$1048576,MATCH(ROW(G13),Main!$C$4:$C$1048576,0)))</f>
        <v>99999856001関連</v>
      </c>
      <c r="I15" s="1">
        <f>IF(H15&lt;&gt;"",IF(ROW(G13)&gt;MAX(Main!$C$4:$C$1048576),"",INDEX(Main!N$4:N$1048576,MATCH(ROW(G13),Main!$C$4:$C$1048576,0))),"")</f>
        <v>99999856001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クラスターNo.856</v>
      </c>
      <c r="M15" s="4" t="str">
        <f>TEXT(IF(ROW(A13)&gt;MAX(Main!$D$4:$D$1048576),"",INDEX(Main!Q$4:Q$1048576,MATCH(ROW(A13),Main!$D$4:$D$1048576,0))), "yyyy/m/d")</f>
        <v>2022/12/15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99999856013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鶴岡市</v>
      </c>
      <c r="S15" s="9" t="str">
        <f>IF(ROW(G13)&gt;MAX(Main!$D$4:$D$1048576),"",INDEX(Main!K$4:K$1048576,MATCH(ROW(G13),Main!$D$4:$D$1048576,0)))</f>
        <v>99999856001関連</v>
      </c>
      <c r="T15" s="1">
        <f>IF(S15&lt;&gt;"",IF(ROW(G13)&gt;MAX(Main!$D$4:$D$1048576),"",INDEX(Main!N$4:N$1048576,MATCH(ROW(G13),Main!$D$4:$D$1048576,0))),"")</f>
        <v>99999856001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2022/12/15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99999856014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鶴岡市</v>
      </c>
      <c r="H16" s="10" t="str">
        <f>IF(ROW(G14)&gt;MAX(Main!$C$4:$C$1048576),"",INDEX(Main!K$4:K$1048576,MATCH(ROW(G14),Main!$C$4:$C$1048576,0)))</f>
        <v>99999856001関連</v>
      </c>
      <c r="I16" s="1">
        <f>IF(H16&lt;&gt;"",IF(ROW(G14)&gt;MAX(Main!$C$4:$C$1048576),"",INDEX(Main!N$4:N$1048576,MATCH(ROW(G14),Main!$C$4:$C$1048576,0))),"")</f>
        <v>99999856001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クラスターNo.856</v>
      </c>
      <c r="M16" s="4" t="str">
        <f>TEXT(IF(ROW(A14)&gt;MAX(Main!$D$4:$D$1048576),"",INDEX(Main!Q$4:Q$1048576,MATCH(ROW(A14),Main!$D$4:$D$1048576,0))), "yyyy/m/d")</f>
        <v>2022/12/15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99999856014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鶴岡市</v>
      </c>
      <c r="S16" s="9" t="str">
        <f>IF(ROW(G14)&gt;MAX(Main!$D$4:$D$1048576),"",INDEX(Main!K$4:K$1048576,MATCH(ROW(G14),Main!$D$4:$D$1048576,0)))</f>
        <v>99999856001関連</v>
      </c>
      <c r="T16" s="1">
        <f>IF(S16&lt;&gt;"",IF(ROW(G14)&gt;MAX(Main!$D$4:$D$1048576),"",INDEX(Main!N$4:N$1048576,MATCH(ROW(G14),Main!$D$4:$D$1048576,0))),"")</f>
        <v>99999856001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2022/12/15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99999856015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鶴岡市</v>
      </c>
      <c r="H17" s="10" t="str">
        <f>IF(ROW(G15)&gt;MAX(Main!$C$4:$C$1048576),"",INDEX(Main!K$4:K$1048576,MATCH(ROW(G15),Main!$C$4:$C$1048576,0)))</f>
        <v>99999856001関連</v>
      </c>
      <c r="I17" s="1">
        <f>IF(H17&lt;&gt;"",IF(ROW(G15)&gt;MAX(Main!$C$4:$C$1048576),"",INDEX(Main!N$4:N$1048576,MATCH(ROW(G15),Main!$C$4:$C$1048576,0))),"")</f>
        <v>99999856001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クラスターNo.856</v>
      </c>
      <c r="M17" s="4" t="str">
        <f>TEXT(IF(ROW(A15)&gt;MAX(Main!$D$4:$D$1048576),"",INDEX(Main!Q$4:Q$1048576,MATCH(ROW(A15),Main!$D$4:$D$1048576,0))), "yyyy/m/d")</f>
        <v>2022/12/15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99999856015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鶴岡市</v>
      </c>
      <c r="S17" s="9" t="str">
        <f>IF(ROW(G15)&gt;MAX(Main!$D$4:$D$1048576),"",INDEX(Main!K$4:K$1048576,MATCH(ROW(G15),Main!$D$4:$D$1048576,0)))</f>
        <v>99999856001関連</v>
      </c>
      <c r="T17" s="1">
        <f>IF(S17&lt;&gt;"",IF(ROW(G15)&gt;MAX(Main!$D$4:$D$1048576),"",INDEX(Main!N$4:N$1048576,MATCH(ROW(G15),Main!$D$4:$D$1048576,0))),"")</f>
        <v>99999856001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2022/12/15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99999856016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鶴岡市</v>
      </c>
      <c r="H18" s="10" t="str">
        <f>IF(ROW(G16)&gt;MAX(Main!$C$4:$C$1048576),"",INDEX(Main!K$4:K$1048576,MATCH(ROW(G16),Main!$C$4:$C$1048576,0)))</f>
        <v>99999856001関連</v>
      </c>
      <c r="I18" s="1">
        <f>IF(H18&lt;&gt;"",IF(ROW(G16)&gt;MAX(Main!$C$4:$C$1048576),"",INDEX(Main!N$4:N$1048576,MATCH(ROW(G16),Main!$C$4:$C$1048576,0))),"")</f>
        <v>99999856001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関連</v>
      </c>
      <c r="K18" s="27" t="str">
        <f t="shared" si="1"/>
        <v>クラスターNo.856</v>
      </c>
      <c r="M18" s="4" t="str">
        <f>TEXT(IF(ROW(A16)&gt;MAX(Main!$D$4:$D$1048576),"",INDEX(Main!Q$4:Q$1048576,MATCH(ROW(A16),Main!$D$4:$D$1048576,0))), "yyyy/m/d")</f>
        <v>2022/12/15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99999856016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鶴岡市</v>
      </c>
      <c r="S18" s="9" t="str">
        <f>IF(ROW(G16)&gt;MAX(Main!$D$4:$D$1048576),"",INDEX(Main!K$4:K$1048576,MATCH(ROW(G16),Main!$D$4:$D$1048576,0)))</f>
        <v>99999856001関連</v>
      </c>
      <c r="T18" s="1">
        <f>IF(S18&lt;&gt;"",IF(ROW(G16)&gt;MAX(Main!$D$4:$D$1048576),"",INDEX(Main!N$4:N$1048576,MATCH(ROW(G16),Main!$D$4:$D$1048576,0))),"")</f>
        <v>99999856001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関連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2022/12/15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99999856017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鶴岡市</v>
      </c>
      <c r="H19" s="10" t="str">
        <f>IF(ROW(G17)&gt;MAX(Main!$C$4:$C$1048576),"",INDEX(Main!K$4:K$1048576,MATCH(ROW(G17),Main!$C$4:$C$1048576,0)))</f>
        <v>99999856001関連</v>
      </c>
      <c r="I19" s="1">
        <f>IF(H19&lt;&gt;"",IF(ROW(G17)&gt;MAX(Main!$C$4:$C$1048576),"",INDEX(Main!N$4:N$1048576,MATCH(ROW(G17),Main!$C$4:$C$1048576,0))),"")</f>
        <v>99999856001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関連</v>
      </c>
      <c r="K19" s="27" t="str">
        <f t="shared" si="1"/>
        <v>クラスターNo.856</v>
      </c>
      <c r="M19" s="4" t="str">
        <f>TEXT(IF(ROW(A17)&gt;MAX(Main!$D$4:$D$1048576),"",INDEX(Main!Q$4:Q$1048576,MATCH(ROW(A17),Main!$D$4:$D$1048576,0))), "yyyy/m/d")</f>
        <v>2022/12/15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99999856017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鶴岡市</v>
      </c>
      <c r="S19" s="9" t="str">
        <f>IF(ROW(G17)&gt;MAX(Main!$D$4:$D$1048576),"",INDEX(Main!K$4:K$1048576,MATCH(ROW(G17),Main!$D$4:$D$1048576,0)))</f>
        <v>99999856001関連</v>
      </c>
      <c r="T19" s="1">
        <f>IF(S19&lt;&gt;"",IF(ROW(G17)&gt;MAX(Main!$D$4:$D$1048576),"",INDEX(Main!N$4:N$1048576,MATCH(ROW(G17),Main!$D$4:$D$1048576,0))),"")</f>
        <v>99999856001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関連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>2022/12/15</v>
      </c>
      <c r="C20" s="1">
        <f>IF(IF(ROW(A18)&gt;MAX(Main!$C$4:$C$1048576),"",INDEX(Main!G$4:G$1048576,MATCH(ROW(A18),Main!$C$4:$C$1048576,0)))="",IF(B20="","",C19),IF(ROW(A18)&gt;MAX(Main!$C$4:$C$1048576),"",INDEX(Main!G$4:G$1048576,MATCH(ROW(A18),Main!$C$4:$C$1048576,0))))</f>
        <v>99999856018</v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>-</v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>ー</v>
      </c>
      <c r="F20" s="1" t="str">
        <f t="shared" si="0"/>
        <v>else</v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>鶴岡市</v>
      </c>
      <c r="H20" s="10" t="str">
        <f>IF(ROW(G18)&gt;MAX(Main!$C$4:$C$1048576),"",INDEX(Main!K$4:K$1048576,MATCH(ROW(G18),Main!$C$4:$C$1048576,0)))</f>
        <v>99999856001関連</v>
      </c>
      <c r="I20" s="1">
        <f>IF(H20&lt;&gt;"",IF(ROW(G18)&gt;MAX(Main!$C$4:$C$1048576),"",INDEX(Main!N$4:N$1048576,MATCH(ROW(G18),Main!$C$4:$C$1048576,0))),"")</f>
        <v>99999856001</v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>関連</v>
      </c>
      <c r="K20" s="27" t="str">
        <f t="shared" si="1"/>
        <v>クラスターNo.856</v>
      </c>
      <c r="M20" s="4" t="str">
        <f>TEXT(IF(ROW(A18)&gt;MAX(Main!$D$4:$D$1048576),"",INDEX(Main!Q$4:Q$1048576,MATCH(ROW(A18),Main!$D$4:$D$1048576,0))), "yyyy/m/d")</f>
        <v>2022/12/15</v>
      </c>
      <c r="N20" s="1">
        <f>IF(IF(ROW(A18)&gt;MAX(Main!$D$4:$D$1048576),"",INDEX(Main!G$4:G$1048576,MATCH(ROW(A18),Main!$D$4:$D$1048576,0)))="",IF(M20="","",N19),IF(ROW(A18)&gt;MAX(Main!$D$4:$D$1048576),"",INDEX(Main!G$4:G$1048576,MATCH(ROW(A18),Main!$D$4:$D$1048576,0))))</f>
        <v>99999856018</v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>-</v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>ー</v>
      </c>
      <c r="Q20" s="1" t="str">
        <f t="shared" si="2"/>
        <v>else</v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>鶴岡市</v>
      </c>
      <c r="S20" s="9" t="str">
        <f>IF(ROW(G18)&gt;MAX(Main!$D$4:$D$1048576),"",INDEX(Main!K$4:K$1048576,MATCH(ROW(G18),Main!$D$4:$D$1048576,0)))</f>
        <v>99999856001関連</v>
      </c>
      <c r="T20" s="1">
        <f>IF(S20&lt;&gt;"",IF(ROW(G18)&gt;MAX(Main!$D$4:$D$1048576),"",INDEX(Main!N$4:N$1048576,MATCH(ROW(G18),Main!$D$4:$D$1048576,0))),"")</f>
        <v>99999856001</v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>関連</v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>2022/12/15</v>
      </c>
      <c r="C21" s="1">
        <f>IF(IF(ROW(A19)&gt;MAX(Main!$C$4:$C$1048576),"",INDEX(Main!G$4:G$1048576,MATCH(ROW(A19),Main!$C$4:$C$1048576,0)))="",IF(B21="","",C20),IF(ROW(A19)&gt;MAX(Main!$C$4:$C$1048576),"",INDEX(Main!G$4:G$1048576,MATCH(ROW(A19),Main!$C$4:$C$1048576,0))))</f>
        <v>99999856019</v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>-</v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>ー</v>
      </c>
      <c r="F21" s="1" t="str">
        <f t="shared" si="0"/>
        <v>else</v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>鶴岡市</v>
      </c>
      <c r="H21" s="10" t="str">
        <f>IF(ROW(G19)&gt;MAX(Main!$C$4:$C$1048576),"",INDEX(Main!K$4:K$1048576,MATCH(ROW(G19),Main!$C$4:$C$1048576,0)))</f>
        <v>99999856001関連</v>
      </c>
      <c r="I21" s="1">
        <f>IF(H21&lt;&gt;"",IF(ROW(G19)&gt;MAX(Main!$C$4:$C$1048576),"",INDEX(Main!N$4:N$1048576,MATCH(ROW(G19),Main!$C$4:$C$1048576,0))),"")</f>
        <v>99999856001</v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>関連</v>
      </c>
      <c r="K21" s="27" t="str">
        <f t="shared" si="1"/>
        <v>クラスターNo.856</v>
      </c>
      <c r="M21" s="4" t="str">
        <f>TEXT(IF(ROW(A19)&gt;MAX(Main!$D$4:$D$1048576),"",INDEX(Main!Q$4:Q$1048576,MATCH(ROW(A19),Main!$D$4:$D$1048576,0))), "yyyy/m/d")</f>
        <v>2022/12/15</v>
      </c>
      <c r="N21" s="1">
        <f>IF(IF(ROW(A19)&gt;MAX(Main!$D$4:$D$1048576),"",INDEX(Main!G$4:G$1048576,MATCH(ROW(A19),Main!$D$4:$D$1048576,0)))="",IF(M21="","",N20),IF(ROW(A19)&gt;MAX(Main!$D$4:$D$1048576),"",INDEX(Main!G$4:G$1048576,MATCH(ROW(A19),Main!$D$4:$D$1048576,0))))</f>
        <v>99999856019</v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>-</v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>ー</v>
      </c>
      <c r="Q21" s="1" t="str">
        <f t="shared" si="2"/>
        <v>else</v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>鶴岡市</v>
      </c>
      <c r="S21" s="9" t="str">
        <f>IF(ROW(G19)&gt;MAX(Main!$D$4:$D$1048576),"",INDEX(Main!K$4:K$1048576,MATCH(ROW(G19),Main!$D$4:$D$1048576,0)))</f>
        <v>99999856001関連</v>
      </c>
      <c r="T21" s="1">
        <f>IF(S21&lt;&gt;"",IF(ROW(G19)&gt;MAX(Main!$D$4:$D$1048576),"",INDEX(Main!N$4:N$1048576,MATCH(ROW(G19),Main!$D$4:$D$1048576,0))),"")</f>
        <v>99999856001</v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>関連</v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>2022/12/15</v>
      </c>
      <c r="C22" s="1">
        <f>IF(IF(ROW(A20)&gt;MAX(Main!$C$4:$C$1048576),"",INDEX(Main!G$4:G$1048576,MATCH(ROW(A20),Main!$C$4:$C$1048576,0)))="",IF(B22="","",C21),IF(ROW(A20)&gt;MAX(Main!$C$4:$C$1048576),"",INDEX(Main!G$4:G$1048576,MATCH(ROW(A20),Main!$C$4:$C$1048576,0))))</f>
        <v>99999856020</v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>-</v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>ー</v>
      </c>
      <c r="F22" s="1" t="str">
        <f t="shared" si="0"/>
        <v>else</v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>鶴岡市</v>
      </c>
      <c r="H22" s="10" t="str">
        <f>IF(ROW(G20)&gt;MAX(Main!$C$4:$C$1048576),"",INDEX(Main!K$4:K$1048576,MATCH(ROW(G20),Main!$C$4:$C$1048576,0)))</f>
        <v>99999856001関連</v>
      </c>
      <c r="I22" s="1">
        <f>IF(H22&lt;&gt;"",IF(ROW(G20)&gt;MAX(Main!$C$4:$C$1048576),"",INDEX(Main!N$4:N$1048576,MATCH(ROW(G20),Main!$C$4:$C$1048576,0))),"")</f>
        <v>99999856001</v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>関連</v>
      </c>
      <c r="K22" s="27" t="str">
        <f t="shared" si="1"/>
        <v>クラスターNo.856</v>
      </c>
      <c r="M22" s="4" t="str">
        <f>TEXT(IF(ROW(A20)&gt;MAX(Main!$D$4:$D$1048576),"",INDEX(Main!Q$4:Q$1048576,MATCH(ROW(A20),Main!$D$4:$D$1048576,0))), "yyyy/m/d")</f>
        <v>2022/12/15</v>
      </c>
      <c r="N22" s="1">
        <f>IF(IF(ROW(A20)&gt;MAX(Main!$D$4:$D$1048576),"",INDEX(Main!G$4:G$1048576,MATCH(ROW(A20),Main!$D$4:$D$1048576,0)))="",IF(M22="","",N21),IF(ROW(A20)&gt;MAX(Main!$D$4:$D$1048576),"",INDEX(Main!G$4:G$1048576,MATCH(ROW(A20),Main!$D$4:$D$1048576,0))))</f>
        <v>99999856020</v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>-</v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>ー</v>
      </c>
      <c r="Q22" s="1" t="str">
        <f t="shared" si="2"/>
        <v>else</v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>鶴岡市</v>
      </c>
      <c r="S22" s="9" t="str">
        <f>IF(ROW(G20)&gt;MAX(Main!$D$4:$D$1048576),"",INDEX(Main!K$4:K$1048576,MATCH(ROW(G20),Main!$D$4:$D$1048576,0)))</f>
        <v>99999856001関連</v>
      </c>
      <c r="T22" s="1">
        <f>IF(S22&lt;&gt;"",IF(ROW(G20)&gt;MAX(Main!$D$4:$D$1048576),"",INDEX(Main!N$4:N$1048576,MATCH(ROW(G20),Main!$D$4:$D$1048576,0))),"")</f>
        <v>99999856001</v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>関連</v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>2022/12/15</v>
      </c>
      <c r="C23" s="1">
        <f>IF(IF(ROW(A21)&gt;MAX(Main!$C$4:$C$1048576),"",INDEX(Main!G$4:G$1048576,MATCH(ROW(A21),Main!$C$4:$C$1048576,0)))="",IF(B23="","",C22),IF(ROW(A21)&gt;MAX(Main!$C$4:$C$1048576),"",INDEX(Main!G$4:G$1048576,MATCH(ROW(A21),Main!$C$4:$C$1048576,0))))</f>
        <v>99999856021</v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>-</v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>ー</v>
      </c>
      <c r="F23" s="1" t="str">
        <f t="shared" si="0"/>
        <v>else</v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>鶴岡市</v>
      </c>
      <c r="H23" s="10" t="str">
        <f>IF(ROW(G21)&gt;MAX(Main!$C$4:$C$1048576),"",INDEX(Main!K$4:K$1048576,MATCH(ROW(G21),Main!$C$4:$C$1048576,0)))</f>
        <v>99999856001関連</v>
      </c>
      <c r="I23" s="1">
        <f>IF(H23&lt;&gt;"",IF(ROW(G21)&gt;MAX(Main!$C$4:$C$1048576),"",INDEX(Main!N$4:N$1048576,MATCH(ROW(G21),Main!$C$4:$C$1048576,0))),"")</f>
        <v>99999856001</v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>関連</v>
      </c>
      <c r="K23" s="27" t="str">
        <f t="shared" si="1"/>
        <v>クラスターNo.856</v>
      </c>
      <c r="M23" s="4" t="str">
        <f>TEXT(IF(ROW(A21)&gt;MAX(Main!$D$4:$D$1048576),"",INDEX(Main!Q$4:Q$1048576,MATCH(ROW(A21),Main!$D$4:$D$1048576,0))), "yyyy/m/d")</f>
        <v>2022/12/15</v>
      </c>
      <c r="N23" s="1">
        <f>IF(IF(ROW(A21)&gt;MAX(Main!$D$4:$D$1048576),"",INDEX(Main!G$4:G$1048576,MATCH(ROW(A21),Main!$D$4:$D$1048576,0)))="",IF(M23="","",N22),IF(ROW(A21)&gt;MAX(Main!$D$4:$D$1048576),"",INDEX(Main!G$4:G$1048576,MATCH(ROW(A21),Main!$D$4:$D$1048576,0))))</f>
        <v>99999856021</v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>-</v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>ー</v>
      </c>
      <c r="Q23" s="1" t="str">
        <f t="shared" si="2"/>
        <v>else</v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>鶴岡市</v>
      </c>
      <c r="S23" s="9" t="str">
        <f>IF(ROW(G21)&gt;MAX(Main!$D$4:$D$1048576),"",INDEX(Main!K$4:K$1048576,MATCH(ROW(G21),Main!$D$4:$D$1048576,0)))</f>
        <v>99999856001関連</v>
      </c>
      <c r="T23" s="1">
        <f>IF(S23&lt;&gt;"",IF(ROW(G21)&gt;MAX(Main!$D$4:$D$1048576),"",INDEX(Main!N$4:N$1048576,MATCH(ROW(G21),Main!$D$4:$D$1048576,0))),"")</f>
        <v>99999856001</v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>関連</v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>2022/12/15</v>
      </c>
      <c r="C24" s="1">
        <f>IF(IF(ROW(A22)&gt;MAX(Main!$C$4:$C$1048576),"",INDEX(Main!G$4:G$1048576,MATCH(ROW(A22),Main!$C$4:$C$1048576,0)))="",IF(B24="","",C23),IF(ROW(A22)&gt;MAX(Main!$C$4:$C$1048576),"",INDEX(Main!G$4:G$1048576,MATCH(ROW(A22),Main!$C$4:$C$1048576,0))))</f>
        <v>99999856022</v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>-</v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>ー</v>
      </c>
      <c r="F24" s="1" t="str">
        <f t="shared" si="0"/>
        <v>else</v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>鶴岡市</v>
      </c>
      <c r="H24" s="10" t="str">
        <f>IF(ROW(G22)&gt;MAX(Main!$C$4:$C$1048576),"",INDEX(Main!K$4:K$1048576,MATCH(ROW(G22),Main!$C$4:$C$1048576,0)))</f>
        <v>99999856001関連</v>
      </c>
      <c r="I24" s="1">
        <f>IF(H24&lt;&gt;"",IF(ROW(G22)&gt;MAX(Main!$C$4:$C$1048576),"",INDEX(Main!N$4:N$1048576,MATCH(ROW(G22),Main!$C$4:$C$1048576,0))),"")</f>
        <v>99999856001</v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>関連</v>
      </c>
      <c r="K24" s="27" t="str">
        <f t="shared" si="1"/>
        <v>クラスターNo.856</v>
      </c>
      <c r="M24" s="4" t="str">
        <f>TEXT(IF(ROW(A22)&gt;MAX(Main!$D$4:$D$1048576),"",INDEX(Main!Q$4:Q$1048576,MATCH(ROW(A22),Main!$D$4:$D$1048576,0))), "yyyy/m/d")</f>
        <v>2022/12/15</v>
      </c>
      <c r="N24" s="1">
        <f>IF(IF(ROW(A22)&gt;MAX(Main!$D$4:$D$1048576),"",INDEX(Main!G$4:G$1048576,MATCH(ROW(A22),Main!$D$4:$D$1048576,0)))="",IF(M24="","",N23),IF(ROW(A22)&gt;MAX(Main!$D$4:$D$1048576),"",INDEX(Main!G$4:G$1048576,MATCH(ROW(A22),Main!$D$4:$D$1048576,0))))</f>
        <v>99999856022</v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>-</v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>ー</v>
      </c>
      <c r="Q24" s="1" t="str">
        <f t="shared" si="2"/>
        <v>else</v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>鶴岡市</v>
      </c>
      <c r="S24" s="9" t="str">
        <f>IF(ROW(G22)&gt;MAX(Main!$D$4:$D$1048576),"",INDEX(Main!K$4:K$1048576,MATCH(ROW(G22),Main!$D$4:$D$1048576,0)))</f>
        <v>99999856001関連</v>
      </c>
      <c r="T24" s="1">
        <f>IF(S24&lt;&gt;"",IF(ROW(G22)&gt;MAX(Main!$D$4:$D$1048576),"",INDEX(Main!N$4:N$1048576,MATCH(ROW(G22),Main!$D$4:$D$1048576,0))),"")</f>
        <v>99999856001</v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>関連</v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>2022/12/15</v>
      </c>
      <c r="C25" s="1">
        <f>IF(IF(ROW(A23)&gt;MAX(Main!$C$4:$C$1048576),"",INDEX(Main!G$4:G$1048576,MATCH(ROW(A23),Main!$C$4:$C$1048576,0)))="",IF(B25="","",C24),IF(ROW(A23)&gt;MAX(Main!$C$4:$C$1048576),"",INDEX(Main!G$4:G$1048576,MATCH(ROW(A23),Main!$C$4:$C$1048576,0))))</f>
        <v>99999856023</v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>-</v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>ー</v>
      </c>
      <c r="F25" s="1" t="str">
        <f t="shared" si="0"/>
        <v>else</v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>鶴岡市</v>
      </c>
      <c r="H25" s="10" t="str">
        <f>IF(ROW(G23)&gt;MAX(Main!$C$4:$C$1048576),"",INDEX(Main!K$4:K$1048576,MATCH(ROW(G23),Main!$C$4:$C$1048576,0)))</f>
        <v>99999856001関連</v>
      </c>
      <c r="I25" s="1">
        <f>IF(H25&lt;&gt;"",IF(ROW(G23)&gt;MAX(Main!$C$4:$C$1048576),"",INDEX(Main!N$4:N$1048576,MATCH(ROW(G23),Main!$C$4:$C$1048576,0))),"")</f>
        <v>99999856001</v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>関連</v>
      </c>
      <c r="K25" s="27" t="str">
        <f t="shared" si="1"/>
        <v>クラスターNo.856</v>
      </c>
      <c r="M25" s="4" t="str">
        <f>TEXT(IF(ROW(A23)&gt;MAX(Main!$D$4:$D$1048576),"",INDEX(Main!Q$4:Q$1048576,MATCH(ROW(A23),Main!$D$4:$D$1048576,0))), "yyyy/m/d")</f>
        <v>2022/12/15</v>
      </c>
      <c r="N25" s="1">
        <f>IF(IF(ROW(A23)&gt;MAX(Main!$D$4:$D$1048576),"",INDEX(Main!G$4:G$1048576,MATCH(ROW(A23),Main!$D$4:$D$1048576,0)))="",IF(M25="","",N24),IF(ROW(A23)&gt;MAX(Main!$D$4:$D$1048576),"",INDEX(Main!G$4:G$1048576,MATCH(ROW(A23),Main!$D$4:$D$1048576,0))))</f>
        <v>99999856023</v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>-</v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>ー</v>
      </c>
      <c r="Q25" s="1" t="str">
        <f t="shared" si="2"/>
        <v>else</v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>鶴岡市</v>
      </c>
      <c r="S25" s="9" t="str">
        <f>IF(ROW(G23)&gt;MAX(Main!$D$4:$D$1048576),"",INDEX(Main!K$4:K$1048576,MATCH(ROW(G23),Main!$D$4:$D$1048576,0)))</f>
        <v>99999856001関連</v>
      </c>
      <c r="T25" s="1">
        <f>IF(S25&lt;&gt;"",IF(ROW(G23)&gt;MAX(Main!$D$4:$D$1048576),"",INDEX(Main!N$4:N$1048576,MATCH(ROW(G23),Main!$D$4:$D$1048576,0))),"")</f>
        <v>99999856001</v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>関連</v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>2022/12/15</v>
      </c>
      <c r="C26" s="1">
        <f>IF(IF(ROW(A24)&gt;MAX(Main!$C$4:$C$1048576),"",INDEX(Main!G$4:G$1048576,MATCH(ROW(A24),Main!$C$4:$C$1048576,0)))="",IF(B26="","",C25),IF(ROW(A24)&gt;MAX(Main!$C$4:$C$1048576),"",INDEX(Main!G$4:G$1048576,MATCH(ROW(A24),Main!$C$4:$C$1048576,0))))</f>
        <v>99999856024</v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>-</v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>ー</v>
      </c>
      <c r="F26" s="1" t="str">
        <f t="shared" si="0"/>
        <v>else</v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>鶴岡市</v>
      </c>
      <c r="H26" s="10" t="str">
        <f>IF(ROW(G24)&gt;MAX(Main!$C$4:$C$1048576),"",INDEX(Main!K$4:K$1048576,MATCH(ROW(G24),Main!$C$4:$C$1048576,0)))</f>
        <v>99999856001関連</v>
      </c>
      <c r="I26" s="1">
        <f>IF(H26&lt;&gt;"",IF(ROW(G24)&gt;MAX(Main!$C$4:$C$1048576),"",INDEX(Main!N$4:N$1048576,MATCH(ROW(G24),Main!$C$4:$C$1048576,0))),"")</f>
        <v>99999856001</v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>関連</v>
      </c>
      <c r="K26" s="27" t="str">
        <f t="shared" si="1"/>
        <v>クラスターNo.856</v>
      </c>
      <c r="M26" s="4" t="str">
        <f>TEXT(IF(ROW(A24)&gt;MAX(Main!$D$4:$D$1048576),"",INDEX(Main!Q$4:Q$1048576,MATCH(ROW(A24),Main!$D$4:$D$1048576,0))), "yyyy/m/d")</f>
        <v>2022/12/15</v>
      </c>
      <c r="N26" s="1">
        <f>IF(IF(ROW(A24)&gt;MAX(Main!$D$4:$D$1048576),"",INDEX(Main!G$4:G$1048576,MATCH(ROW(A24),Main!$D$4:$D$1048576,0)))="",IF(M26="","",N25),IF(ROW(A24)&gt;MAX(Main!$D$4:$D$1048576),"",INDEX(Main!G$4:G$1048576,MATCH(ROW(A24),Main!$D$4:$D$1048576,0))))</f>
        <v>99999856024</v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>-</v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>ー</v>
      </c>
      <c r="Q26" s="1" t="str">
        <f t="shared" si="2"/>
        <v>else</v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>鶴岡市</v>
      </c>
      <c r="S26" s="9" t="str">
        <f>IF(ROW(G24)&gt;MAX(Main!$D$4:$D$1048576),"",INDEX(Main!K$4:K$1048576,MATCH(ROW(G24),Main!$D$4:$D$1048576,0)))</f>
        <v>99999856001関連</v>
      </c>
      <c r="T26" s="1">
        <f>IF(S26&lt;&gt;"",IF(ROW(G24)&gt;MAX(Main!$D$4:$D$1048576),"",INDEX(Main!N$4:N$1048576,MATCH(ROW(G24),Main!$D$4:$D$1048576,0))),"")</f>
        <v>99999856001</v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>関連</v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>2022/12/15</v>
      </c>
      <c r="C27" s="1">
        <f>IF(IF(ROW(A25)&gt;MAX(Main!$C$4:$C$1048576),"",INDEX(Main!G$4:G$1048576,MATCH(ROW(A25),Main!$C$4:$C$1048576,0)))="",IF(B27="","",C26),IF(ROW(A25)&gt;MAX(Main!$C$4:$C$1048576),"",INDEX(Main!G$4:G$1048576,MATCH(ROW(A25),Main!$C$4:$C$1048576,0))))</f>
        <v>99999856025</v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>-</v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>ー</v>
      </c>
      <c r="F27" s="1" t="str">
        <f t="shared" si="0"/>
        <v>else</v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>鶴岡市</v>
      </c>
      <c r="H27" s="10" t="str">
        <f>IF(ROW(G25)&gt;MAX(Main!$C$4:$C$1048576),"",INDEX(Main!K$4:K$1048576,MATCH(ROW(G25),Main!$C$4:$C$1048576,0)))</f>
        <v>99999856001関連</v>
      </c>
      <c r="I27" s="1">
        <f>IF(H27&lt;&gt;"",IF(ROW(G25)&gt;MAX(Main!$C$4:$C$1048576),"",INDEX(Main!N$4:N$1048576,MATCH(ROW(G25),Main!$C$4:$C$1048576,0))),"")</f>
        <v>99999856001</v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>関連</v>
      </c>
      <c r="K27" s="27" t="str">
        <f t="shared" si="1"/>
        <v>クラスターNo.856</v>
      </c>
      <c r="M27" s="4" t="str">
        <f>TEXT(IF(ROW(A25)&gt;MAX(Main!$D$4:$D$1048576),"",INDEX(Main!Q$4:Q$1048576,MATCH(ROW(A25),Main!$D$4:$D$1048576,0))), "yyyy/m/d")</f>
        <v>2022/12/15</v>
      </c>
      <c r="N27" s="1">
        <f>IF(IF(ROW(A25)&gt;MAX(Main!$D$4:$D$1048576),"",INDEX(Main!G$4:G$1048576,MATCH(ROW(A25),Main!$D$4:$D$1048576,0)))="",IF(M27="","",N26),IF(ROW(A25)&gt;MAX(Main!$D$4:$D$1048576),"",INDEX(Main!G$4:G$1048576,MATCH(ROW(A25),Main!$D$4:$D$1048576,0))))</f>
        <v>99999856025</v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>-</v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>ー</v>
      </c>
      <c r="Q27" s="1" t="str">
        <f t="shared" si="2"/>
        <v>else</v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>鶴岡市</v>
      </c>
      <c r="S27" s="9" t="str">
        <f>IF(ROW(G25)&gt;MAX(Main!$D$4:$D$1048576),"",INDEX(Main!K$4:K$1048576,MATCH(ROW(G25),Main!$D$4:$D$1048576,0)))</f>
        <v>99999856001関連</v>
      </c>
      <c r="T27" s="1">
        <f>IF(S27&lt;&gt;"",IF(ROW(G25)&gt;MAX(Main!$D$4:$D$1048576),"",INDEX(Main!N$4:N$1048576,MATCH(ROW(G25),Main!$D$4:$D$1048576,0))),"")</f>
        <v>99999856001</v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>関連</v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>2022/12/15</v>
      </c>
      <c r="C28" s="1">
        <f>IF(IF(ROW(A26)&gt;MAX(Main!$C$4:$C$1048576),"",INDEX(Main!G$4:G$1048576,MATCH(ROW(A26),Main!$C$4:$C$1048576,0)))="",IF(B28="","",C27),IF(ROW(A26)&gt;MAX(Main!$C$4:$C$1048576),"",INDEX(Main!G$4:G$1048576,MATCH(ROW(A26),Main!$C$4:$C$1048576,0))))</f>
        <v>99999856026</v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>-</v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>ー</v>
      </c>
      <c r="F28" s="1" t="str">
        <f t="shared" si="0"/>
        <v>else</v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>鶴岡市</v>
      </c>
      <c r="H28" s="10" t="str">
        <f>IF(ROW(G26)&gt;MAX(Main!$C$4:$C$1048576),"",INDEX(Main!K$4:K$1048576,MATCH(ROW(G26),Main!$C$4:$C$1048576,0)))</f>
        <v>99999856001関連</v>
      </c>
      <c r="I28" s="1">
        <f>IF(H28&lt;&gt;"",IF(ROW(G26)&gt;MAX(Main!$C$4:$C$1048576),"",INDEX(Main!N$4:N$1048576,MATCH(ROW(G26),Main!$C$4:$C$1048576,0))),"")</f>
        <v>99999856001</v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>関連</v>
      </c>
      <c r="K28" s="27" t="str">
        <f t="shared" si="1"/>
        <v>クラスターNo.856</v>
      </c>
      <c r="M28" s="4" t="str">
        <f>TEXT(IF(ROW(A26)&gt;MAX(Main!$D$4:$D$1048576),"",INDEX(Main!Q$4:Q$1048576,MATCH(ROW(A26),Main!$D$4:$D$1048576,0))), "yyyy/m/d")</f>
        <v>2022/12/15</v>
      </c>
      <c r="N28" s="1">
        <f>IF(IF(ROW(A26)&gt;MAX(Main!$D$4:$D$1048576),"",INDEX(Main!G$4:G$1048576,MATCH(ROW(A26),Main!$D$4:$D$1048576,0)))="",IF(M28="","",N27),IF(ROW(A26)&gt;MAX(Main!$D$4:$D$1048576),"",INDEX(Main!G$4:G$1048576,MATCH(ROW(A26),Main!$D$4:$D$1048576,0))))</f>
        <v>99999856026</v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>-</v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>ー</v>
      </c>
      <c r="Q28" s="1" t="str">
        <f t="shared" si="2"/>
        <v>else</v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>鶴岡市</v>
      </c>
      <c r="S28" s="9" t="str">
        <f>IF(ROW(G26)&gt;MAX(Main!$D$4:$D$1048576),"",INDEX(Main!K$4:K$1048576,MATCH(ROW(G26),Main!$D$4:$D$1048576,0)))</f>
        <v>99999856001関連</v>
      </c>
      <c r="T28" s="1">
        <f>IF(S28&lt;&gt;"",IF(ROW(G26)&gt;MAX(Main!$D$4:$D$1048576),"",INDEX(Main!N$4:N$1048576,MATCH(ROW(G26),Main!$D$4:$D$1048576,0))),"")</f>
        <v>99999856001</v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>関連</v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>2022/12/15</v>
      </c>
      <c r="C29" s="1">
        <f>IF(IF(ROW(A27)&gt;MAX(Main!$C$4:$C$1048576),"",INDEX(Main!G$4:G$1048576,MATCH(ROW(A27),Main!$C$4:$C$1048576,0)))="",IF(B29="","",C28),IF(ROW(A27)&gt;MAX(Main!$C$4:$C$1048576),"",INDEX(Main!G$4:G$1048576,MATCH(ROW(A27),Main!$C$4:$C$1048576,0))))</f>
        <v>99999856027</v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>-</v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>ー</v>
      </c>
      <c r="F29" s="1" t="str">
        <f t="shared" si="0"/>
        <v>else</v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>鶴岡市</v>
      </c>
      <c r="H29" s="10" t="str">
        <f>IF(ROW(G27)&gt;MAX(Main!$C$4:$C$1048576),"",INDEX(Main!K$4:K$1048576,MATCH(ROW(G27),Main!$C$4:$C$1048576,0)))</f>
        <v>99999856001関連</v>
      </c>
      <c r="I29" s="1">
        <f>IF(H29&lt;&gt;"",IF(ROW(G27)&gt;MAX(Main!$C$4:$C$1048576),"",INDEX(Main!N$4:N$1048576,MATCH(ROW(G27),Main!$C$4:$C$1048576,0))),"")</f>
        <v>99999856001</v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>関連</v>
      </c>
      <c r="K29" s="27" t="str">
        <f t="shared" si="1"/>
        <v>クラスターNo.856</v>
      </c>
      <c r="M29" s="4" t="str">
        <f>TEXT(IF(ROW(A27)&gt;MAX(Main!$D$4:$D$1048576),"",INDEX(Main!Q$4:Q$1048576,MATCH(ROW(A27),Main!$D$4:$D$1048576,0))), "yyyy/m/d")</f>
        <v>2022/12/15</v>
      </c>
      <c r="N29" s="1">
        <f>IF(IF(ROW(A27)&gt;MAX(Main!$D$4:$D$1048576),"",INDEX(Main!G$4:G$1048576,MATCH(ROW(A27),Main!$D$4:$D$1048576,0)))="",IF(M29="","",N28),IF(ROW(A27)&gt;MAX(Main!$D$4:$D$1048576),"",INDEX(Main!G$4:G$1048576,MATCH(ROW(A27),Main!$D$4:$D$1048576,0))))</f>
        <v>99999856027</v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>-</v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>ー</v>
      </c>
      <c r="Q29" s="1" t="str">
        <f t="shared" si="2"/>
        <v>else</v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>鶴岡市</v>
      </c>
      <c r="S29" s="9" t="str">
        <f>IF(ROW(G27)&gt;MAX(Main!$D$4:$D$1048576),"",INDEX(Main!K$4:K$1048576,MATCH(ROW(G27),Main!$D$4:$D$1048576,0)))</f>
        <v>99999856001関連</v>
      </c>
      <c r="T29" s="1">
        <f>IF(S29&lt;&gt;"",IF(ROW(G27)&gt;MAX(Main!$D$4:$D$1048576),"",INDEX(Main!N$4:N$1048576,MATCH(ROW(G27),Main!$D$4:$D$1048576,0))),"")</f>
        <v>99999856001</v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>関連</v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>2022/12/15</v>
      </c>
      <c r="C30" s="1">
        <f>IF(IF(ROW(A28)&gt;MAX(Main!$C$4:$C$1048576),"",INDEX(Main!G$4:G$1048576,MATCH(ROW(A28),Main!$C$4:$C$1048576,0)))="",IF(B30="","",C29),IF(ROW(A28)&gt;MAX(Main!$C$4:$C$1048576),"",INDEX(Main!G$4:G$1048576,MATCH(ROW(A28),Main!$C$4:$C$1048576,0))))</f>
        <v>99999856028</v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>-</v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>ー</v>
      </c>
      <c r="F30" s="1" t="str">
        <f t="shared" si="0"/>
        <v>else</v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>鶴岡市</v>
      </c>
      <c r="H30" s="10" t="str">
        <f>IF(ROW(G28)&gt;MAX(Main!$C$4:$C$1048576),"",INDEX(Main!K$4:K$1048576,MATCH(ROW(G28),Main!$C$4:$C$1048576,0)))</f>
        <v>99999856001関連</v>
      </c>
      <c r="I30" s="1">
        <f>IF(H30&lt;&gt;"",IF(ROW(G28)&gt;MAX(Main!$C$4:$C$1048576),"",INDEX(Main!N$4:N$1048576,MATCH(ROW(G28),Main!$C$4:$C$1048576,0))),"")</f>
        <v>99999856001</v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>関連</v>
      </c>
      <c r="K30" s="27" t="str">
        <f t="shared" si="1"/>
        <v>クラスターNo.856</v>
      </c>
      <c r="M30" s="4" t="str">
        <f>TEXT(IF(ROW(A28)&gt;MAX(Main!$D$4:$D$1048576),"",INDEX(Main!Q$4:Q$1048576,MATCH(ROW(A28),Main!$D$4:$D$1048576,0))), "yyyy/m/d")</f>
        <v>2022/12/15</v>
      </c>
      <c r="N30" s="1">
        <f>IF(IF(ROW(A28)&gt;MAX(Main!$D$4:$D$1048576),"",INDEX(Main!G$4:G$1048576,MATCH(ROW(A28),Main!$D$4:$D$1048576,0)))="",IF(M30="","",N29),IF(ROW(A28)&gt;MAX(Main!$D$4:$D$1048576),"",INDEX(Main!G$4:G$1048576,MATCH(ROW(A28),Main!$D$4:$D$1048576,0))))</f>
        <v>99999856028</v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>-</v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>ー</v>
      </c>
      <c r="Q30" s="1" t="str">
        <f t="shared" si="2"/>
        <v>else</v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>鶴岡市</v>
      </c>
      <c r="S30" s="9" t="str">
        <f>IF(ROW(G28)&gt;MAX(Main!$D$4:$D$1048576),"",INDEX(Main!K$4:K$1048576,MATCH(ROW(G28),Main!$D$4:$D$1048576,0)))</f>
        <v>99999856001関連</v>
      </c>
      <c r="T30" s="1">
        <f>IF(S30&lt;&gt;"",IF(ROW(G28)&gt;MAX(Main!$D$4:$D$1048576),"",INDEX(Main!N$4:N$1048576,MATCH(ROW(G28),Main!$D$4:$D$1048576,0))),"")</f>
        <v>99999856001</v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>関連</v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>2022/12/15</v>
      </c>
      <c r="C31" s="1">
        <f>IF(IF(ROW(A29)&gt;MAX(Main!$C$4:$C$1048576),"",INDEX(Main!G$4:G$1048576,MATCH(ROW(A29),Main!$C$4:$C$1048576,0)))="",IF(B31="","",C30),IF(ROW(A29)&gt;MAX(Main!$C$4:$C$1048576),"",INDEX(Main!G$4:G$1048576,MATCH(ROW(A29),Main!$C$4:$C$1048576,0))))</f>
        <v>99999856029</v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>-</v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>ー</v>
      </c>
      <c r="F31" s="1" t="str">
        <f t="shared" si="0"/>
        <v>else</v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>鶴岡市</v>
      </c>
      <c r="H31" s="10" t="str">
        <f>IF(ROW(G29)&gt;MAX(Main!$C$4:$C$1048576),"",INDEX(Main!K$4:K$1048576,MATCH(ROW(G29),Main!$C$4:$C$1048576,0)))</f>
        <v>99999856001関連</v>
      </c>
      <c r="I31" s="1">
        <f>IF(H31&lt;&gt;"",IF(ROW(G29)&gt;MAX(Main!$C$4:$C$1048576),"",INDEX(Main!N$4:N$1048576,MATCH(ROW(G29),Main!$C$4:$C$1048576,0))),"")</f>
        <v>99999856001</v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>関連</v>
      </c>
      <c r="K31" s="27" t="str">
        <f t="shared" si="1"/>
        <v>クラスターNo.856</v>
      </c>
      <c r="M31" s="4" t="str">
        <f>TEXT(IF(ROW(A29)&gt;MAX(Main!$D$4:$D$1048576),"",INDEX(Main!Q$4:Q$1048576,MATCH(ROW(A29),Main!$D$4:$D$1048576,0))), "yyyy/m/d")</f>
        <v>2022/12/15</v>
      </c>
      <c r="N31" s="1">
        <f>IF(IF(ROW(A29)&gt;MAX(Main!$D$4:$D$1048576),"",INDEX(Main!G$4:G$1048576,MATCH(ROW(A29),Main!$D$4:$D$1048576,0)))="",IF(M31="","",N30),IF(ROW(A29)&gt;MAX(Main!$D$4:$D$1048576),"",INDEX(Main!G$4:G$1048576,MATCH(ROW(A29),Main!$D$4:$D$1048576,0))))</f>
        <v>99999856029</v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>-</v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>ー</v>
      </c>
      <c r="Q31" s="1" t="str">
        <f t="shared" si="2"/>
        <v>else</v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>鶴岡市</v>
      </c>
      <c r="S31" s="9" t="str">
        <f>IF(ROW(G29)&gt;MAX(Main!$D$4:$D$1048576),"",INDEX(Main!K$4:K$1048576,MATCH(ROW(G29),Main!$D$4:$D$1048576,0)))</f>
        <v>99999856001関連</v>
      </c>
      <c r="T31" s="1">
        <f>IF(S31&lt;&gt;"",IF(ROW(G29)&gt;MAX(Main!$D$4:$D$1048576),"",INDEX(Main!N$4:N$1048576,MATCH(ROW(G29),Main!$D$4:$D$1048576,0))),"")</f>
        <v>99999856001</v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>関連</v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>2022/12/15</v>
      </c>
      <c r="C32" s="1">
        <f>IF(IF(ROW(A30)&gt;MAX(Main!$C$4:$C$1048576),"",INDEX(Main!G$4:G$1048576,MATCH(ROW(A30),Main!$C$4:$C$1048576,0)))="",IF(B32="","",C31),IF(ROW(A30)&gt;MAX(Main!$C$4:$C$1048576),"",INDEX(Main!G$4:G$1048576,MATCH(ROW(A30),Main!$C$4:$C$1048576,0))))</f>
        <v>99999856030</v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>-</v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>ー</v>
      </c>
      <c r="F32" s="1" t="str">
        <f t="shared" si="0"/>
        <v>else</v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>鶴岡市</v>
      </c>
      <c r="H32" s="10" t="str">
        <f>IF(ROW(G30)&gt;MAX(Main!$C$4:$C$1048576),"",INDEX(Main!K$4:K$1048576,MATCH(ROW(G30),Main!$C$4:$C$1048576,0)))</f>
        <v>99999856001関連</v>
      </c>
      <c r="I32" s="1">
        <f>IF(H32&lt;&gt;"",IF(ROW(G30)&gt;MAX(Main!$C$4:$C$1048576),"",INDEX(Main!N$4:N$1048576,MATCH(ROW(G30),Main!$C$4:$C$1048576,0))),"")</f>
        <v>99999856001</v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>関連</v>
      </c>
      <c r="K32" s="27" t="str">
        <f t="shared" si="1"/>
        <v>クラスターNo.856</v>
      </c>
      <c r="M32" s="4" t="str">
        <f>TEXT(IF(ROW(A30)&gt;MAX(Main!$D$4:$D$1048576),"",INDEX(Main!Q$4:Q$1048576,MATCH(ROW(A30),Main!$D$4:$D$1048576,0))), "yyyy/m/d")</f>
        <v>2022/12/15</v>
      </c>
      <c r="N32" s="1">
        <f>IF(IF(ROW(A30)&gt;MAX(Main!$D$4:$D$1048576),"",INDEX(Main!G$4:G$1048576,MATCH(ROW(A30),Main!$D$4:$D$1048576,0)))="",IF(M32="","",N31),IF(ROW(A30)&gt;MAX(Main!$D$4:$D$1048576),"",INDEX(Main!G$4:G$1048576,MATCH(ROW(A30),Main!$D$4:$D$1048576,0))))</f>
        <v>99999856030</v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>-</v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>ー</v>
      </c>
      <c r="Q32" s="1" t="str">
        <f t="shared" si="2"/>
        <v>else</v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>鶴岡市</v>
      </c>
      <c r="S32" s="9" t="str">
        <f>IF(ROW(G30)&gt;MAX(Main!$D$4:$D$1048576),"",INDEX(Main!K$4:K$1048576,MATCH(ROW(G30),Main!$D$4:$D$1048576,0)))</f>
        <v>99999856001関連</v>
      </c>
      <c r="T32" s="1">
        <f>IF(S32&lt;&gt;"",IF(ROW(G30)&gt;MAX(Main!$D$4:$D$1048576),"",INDEX(Main!N$4:N$1048576,MATCH(ROW(G30),Main!$D$4:$D$1048576,0))),"")</f>
        <v>99999856001</v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>関連</v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>2022/12/15</v>
      </c>
      <c r="C33" s="1">
        <f>IF(IF(ROW(A31)&gt;MAX(Main!$C$4:$C$1048576),"",INDEX(Main!G$4:G$1048576,MATCH(ROW(A31),Main!$C$4:$C$1048576,0)))="",IF(B33="","",C32),IF(ROW(A31)&gt;MAX(Main!$C$4:$C$1048576),"",INDEX(Main!G$4:G$1048576,MATCH(ROW(A31),Main!$C$4:$C$1048576,0))))</f>
        <v>99999856031</v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>-</v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>ー</v>
      </c>
      <c r="F33" s="1" t="str">
        <f t="shared" si="0"/>
        <v>else</v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>鶴岡市</v>
      </c>
      <c r="H33" s="10" t="str">
        <f>IF(ROW(G31)&gt;MAX(Main!$C$4:$C$1048576),"",INDEX(Main!K$4:K$1048576,MATCH(ROW(G31),Main!$C$4:$C$1048576,0)))</f>
        <v>99999856001関連</v>
      </c>
      <c r="I33" s="1">
        <f>IF(H33&lt;&gt;"",IF(ROW(G31)&gt;MAX(Main!$C$4:$C$1048576),"",INDEX(Main!N$4:N$1048576,MATCH(ROW(G31),Main!$C$4:$C$1048576,0))),"")</f>
        <v>99999856001</v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>関連</v>
      </c>
      <c r="K33" s="27" t="str">
        <f t="shared" si="1"/>
        <v>クラスターNo.856</v>
      </c>
      <c r="M33" s="4" t="str">
        <f>TEXT(IF(ROW(A31)&gt;MAX(Main!$D$4:$D$1048576),"",INDEX(Main!Q$4:Q$1048576,MATCH(ROW(A31),Main!$D$4:$D$1048576,0))), "yyyy/m/d")</f>
        <v>2022/12/15</v>
      </c>
      <c r="N33" s="1">
        <f>IF(IF(ROW(A31)&gt;MAX(Main!$D$4:$D$1048576),"",INDEX(Main!G$4:G$1048576,MATCH(ROW(A31),Main!$D$4:$D$1048576,0)))="",IF(M33="","",N32),IF(ROW(A31)&gt;MAX(Main!$D$4:$D$1048576),"",INDEX(Main!G$4:G$1048576,MATCH(ROW(A31),Main!$D$4:$D$1048576,0))))</f>
        <v>99999856031</v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>-</v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>ー</v>
      </c>
      <c r="Q33" s="1" t="str">
        <f t="shared" si="2"/>
        <v>else</v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>鶴岡市</v>
      </c>
      <c r="S33" s="9" t="str">
        <f>IF(ROW(G31)&gt;MAX(Main!$D$4:$D$1048576),"",INDEX(Main!K$4:K$1048576,MATCH(ROW(G31),Main!$D$4:$D$1048576,0)))</f>
        <v>99999856001関連</v>
      </c>
      <c r="T33" s="1">
        <f>IF(S33&lt;&gt;"",IF(ROW(G31)&gt;MAX(Main!$D$4:$D$1048576),"",INDEX(Main!N$4:N$1048576,MATCH(ROW(G31),Main!$D$4:$D$1048576,0))),"")</f>
        <v>99999856001</v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>関連</v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>2022/12/15</v>
      </c>
      <c r="C34" s="1">
        <f>IF(IF(ROW(A32)&gt;MAX(Main!$C$4:$C$1048576),"",INDEX(Main!G$4:G$1048576,MATCH(ROW(A32),Main!$C$4:$C$1048576,0)))="",IF(B34="","",C33),IF(ROW(A32)&gt;MAX(Main!$C$4:$C$1048576),"",INDEX(Main!G$4:G$1048576,MATCH(ROW(A32),Main!$C$4:$C$1048576,0))))</f>
        <v>99999856032</v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>-</v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>ー</v>
      </c>
      <c r="F34" s="1" t="str">
        <f t="shared" si="0"/>
        <v>else</v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>鶴岡市</v>
      </c>
      <c r="H34" s="10" t="str">
        <f>IF(ROW(G32)&gt;MAX(Main!$C$4:$C$1048576),"",INDEX(Main!K$4:K$1048576,MATCH(ROW(G32),Main!$C$4:$C$1048576,0)))</f>
        <v>99999856001関連</v>
      </c>
      <c r="I34" s="1">
        <f>IF(H34&lt;&gt;"",IF(ROW(G32)&gt;MAX(Main!$C$4:$C$1048576),"",INDEX(Main!N$4:N$1048576,MATCH(ROW(G32),Main!$C$4:$C$1048576,0))),"")</f>
        <v>99999856001</v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>関連</v>
      </c>
      <c r="K34" s="27" t="str">
        <f t="shared" si="1"/>
        <v>クラスターNo.856</v>
      </c>
      <c r="M34" s="4" t="str">
        <f>TEXT(IF(ROW(A32)&gt;MAX(Main!$D$4:$D$1048576),"",INDEX(Main!Q$4:Q$1048576,MATCH(ROW(A32),Main!$D$4:$D$1048576,0))), "yyyy/m/d")</f>
        <v>2022/12/15</v>
      </c>
      <c r="N34" s="1">
        <f>IF(IF(ROW(A32)&gt;MAX(Main!$D$4:$D$1048576),"",INDEX(Main!G$4:G$1048576,MATCH(ROW(A32),Main!$D$4:$D$1048576,0)))="",IF(M34="","",N33),IF(ROW(A32)&gt;MAX(Main!$D$4:$D$1048576),"",INDEX(Main!G$4:G$1048576,MATCH(ROW(A32),Main!$D$4:$D$1048576,0))))</f>
        <v>99999856032</v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>-</v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>ー</v>
      </c>
      <c r="Q34" s="1" t="str">
        <f t="shared" si="2"/>
        <v>else</v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>鶴岡市</v>
      </c>
      <c r="S34" s="9" t="str">
        <f>IF(ROW(G32)&gt;MAX(Main!$D$4:$D$1048576),"",INDEX(Main!K$4:K$1048576,MATCH(ROW(G32),Main!$D$4:$D$1048576,0)))</f>
        <v>99999856001関連</v>
      </c>
      <c r="T34" s="1">
        <f>IF(S34&lt;&gt;"",IF(ROW(G32)&gt;MAX(Main!$D$4:$D$1048576),"",INDEX(Main!N$4:N$1048576,MATCH(ROW(G32),Main!$D$4:$D$1048576,0))),"")</f>
        <v>99999856001</v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>関連</v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>2022/12/15</v>
      </c>
      <c r="C35" s="1">
        <f>IF(IF(ROW(A33)&gt;MAX(Main!$C$4:$C$1048576),"",INDEX(Main!G$4:G$1048576,MATCH(ROW(A33),Main!$C$4:$C$1048576,0)))="",IF(B35="","",C34),IF(ROW(A33)&gt;MAX(Main!$C$4:$C$1048576),"",INDEX(Main!G$4:G$1048576,MATCH(ROW(A33),Main!$C$4:$C$1048576,0))))</f>
        <v>99999856033</v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>-</v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>ー</v>
      </c>
      <c r="F35" s="1" t="str">
        <f t="shared" si="0"/>
        <v>else</v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>鶴岡市</v>
      </c>
      <c r="H35" s="10" t="str">
        <f>IF(ROW(G33)&gt;MAX(Main!$C$4:$C$1048576),"",INDEX(Main!K$4:K$1048576,MATCH(ROW(G33),Main!$C$4:$C$1048576,0)))</f>
        <v>99999856001関連</v>
      </c>
      <c r="I35" s="1">
        <f>IF(H35&lt;&gt;"",IF(ROW(G33)&gt;MAX(Main!$C$4:$C$1048576),"",INDEX(Main!N$4:N$1048576,MATCH(ROW(G33),Main!$C$4:$C$1048576,0))),"")</f>
        <v>99999856001</v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>関連</v>
      </c>
      <c r="K35" s="27" t="str">
        <f t="shared" si="1"/>
        <v>クラスターNo.856</v>
      </c>
      <c r="M35" s="4" t="str">
        <f>TEXT(IF(ROW(A33)&gt;MAX(Main!$D$4:$D$1048576),"",INDEX(Main!Q$4:Q$1048576,MATCH(ROW(A33),Main!$D$4:$D$1048576,0))), "yyyy/m/d")</f>
        <v>2022/12/15</v>
      </c>
      <c r="N35" s="1">
        <f>IF(IF(ROW(A33)&gt;MAX(Main!$D$4:$D$1048576),"",INDEX(Main!G$4:G$1048576,MATCH(ROW(A33),Main!$D$4:$D$1048576,0)))="",IF(M35="","",N34),IF(ROW(A33)&gt;MAX(Main!$D$4:$D$1048576),"",INDEX(Main!G$4:G$1048576,MATCH(ROW(A33),Main!$D$4:$D$1048576,0))))</f>
        <v>99999856033</v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>-</v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>ー</v>
      </c>
      <c r="Q35" s="1" t="str">
        <f t="shared" si="2"/>
        <v>else</v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>鶴岡市</v>
      </c>
      <c r="S35" s="9" t="str">
        <f>IF(ROW(G33)&gt;MAX(Main!$D$4:$D$1048576),"",INDEX(Main!K$4:K$1048576,MATCH(ROW(G33),Main!$D$4:$D$1048576,0)))</f>
        <v>99999856001関連</v>
      </c>
      <c r="T35" s="1">
        <f>IF(S35&lt;&gt;"",IF(ROW(G33)&gt;MAX(Main!$D$4:$D$1048576),"",INDEX(Main!N$4:N$1048576,MATCH(ROW(G33),Main!$D$4:$D$1048576,0))),"")</f>
        <v>99999856001</v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>関連</v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>2022/12/15</v>
      </c>
      <c r="C36" s="1">
        <f>IF(IF(ROW(A34)&gt;MAX(Main!$C$4:$C$1048576),"",INDEX(Main!G$4:G$1048576,MATCH(ROW(A34),Main!$C$4:$C$1048576,0)))="",IF(B36="","",C35),IF(ROW(A34)&gt;MAX(Main!$C$4:$C$1048576),"",INDEX(Main!G$4:G$1048576,MATCH(ROW(A34),Main!$C$4:$C$1048576,0))))</f>
        <v>99999856034</v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>-</v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>ー</v>
      </c>
      <c r="F36" s="1" t="str">
        <f t="shared" si="0"/>
        <v>else</v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>鶴岡市</v>
      </c>
      <c r="H36" s="10" t="str">
        <f>IF(ROW(G34)&gt;MAX(Main!$C$4:$C$1048576),"",INDEX(Main!K$4:K$1048576,MATCH(ROW(G34),Main!$C$4:$C$1048576,0)))</f>
        <v>99999856001関連</v>
      </c>
      <c r="I36" s="1">
        <f>IF(H36&lt;&gt;"",IF(ROW(G34)&gt;MAX(Main!$C$4:$C$1048576),"",INDEX(Main!N$4:N$1048576,MATCH(ROW(G34),Main!$C$4:$C$1048576,0))),"")</f>
        <v>99999856001</v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>関連</v>
      </c>
      <c r="K36" s="27" t="str">
        <f t="shared" si="1"/>
        <v>クラスターNo.856</v>
      </c>
      <c r="M36" s="4" t="str">
        <f>TEXT(IF(ROW(A34)&gt;MAX(Main!$D$4:$D$1048576),"",INDEX(Main!Q$4:Q$1048576,MATCH(ROW(A34),Main!$D$4:$D$1048576,0))), "yyyy/m/d")</f>
        <v>2022/12/15</v>
      </c>
      <c r="N36" s="1">
        <f>IF(IF(ROW(A34)&gt;MAX(Main!$D$4:$D$1048576),"",INDEX(Main!G$4:G$1048576,MATCH(ROW(A34),Main!$D$4:$D$1048576,0)))="",IF(M36="","",N35),IF(ROW(A34)&gt;MAX(Main!$D$4:$D$1048576),"",INDEX(Main!G$4:G$1048576,MATCH(ROW(A34),Main!$D$4:$D$1048576,0))))</f>
        <v>99999856034</v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>-</v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>ー</v>
      </c>
      <c r="Q36" s="1" t="str">
        <f t="shared" si="2"/>
        <v>else</v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>鶴岡市</v>
      </c>
      <c r="S36" s="9" t="str">
        <f>IF(ROW(G34)&gt;MAX(Main!$D$4:$D$1048576),"",INDEX(Main!K$4:K$1048576,MATCH(ROW(G34),Main!$D$4:$D$1048576,0)))</f>
        <v>99999856001関連</v>
      </c>
      <c r="T36" s="1">
        <f>IF(S36&lt;&gt;"",IF(ROW(G34)&gt;MAX(Main!$D$4:$D$1048576),"",INDEX(Main!N$4:N$1048576,MATCH(ROW(G34),Main!$D$4:$D$1048576,0))),"")</f>
        <v>99999856001</v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>関連</v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>2022/12/15</v>
      </c>
      <c r="C37" s="1">
        <f>IF(IF(ROW(A35)&gt;MAX(Main!$C$4:$C$1048576),"",INDEX(Main!G$4:G$1048576,MATCH(ROW(A35),Main!$C$4:$C$1048576,0)))="",IF(B37="","",C36),IF(ROW(A35)&gt;MAX(Main!$C$4:$C$1048576),"",INDEX(Main!G$4:G$1048576,MATCH(ROW(A35),Main!$C$4:$C$1048576,0))))</f>
        <v>99999857001</v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>-</v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>ー</v>
      </c>
      <c r="F37" s="1" t="str">
        <f t="shared" si="0"/>
        <v>else</v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>庄内町</v>
      </c>
      <c r="H37" s="10" t="str">
        <f>IF(ROW(G35)&gt;MAX(Main!$C$4:$C$1048576),"",INDEX(Main!K$4:K$1048576,MATCH(ROW(G35),Main!$C$4:$C$1048576,0)))</f>
        <v>99999857001介護施設</v>
      </c>
      <c r="I37" s="1">
        <f>IF(H37&lt;&gt;"",IF(ROW(G35)&gt;MAX(Main!$C$4:$C$1048576),"",INDEX(Main!N$4:N$1048576,MATCH(ROW(G35),Main!$C$4:$C$1048576,0))),"")</f>
        <v>99999857001</v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>介護施設</v>
      </c>
      <c r="K37" s="27" t="str">
        <f t="shared" si="1"/>
        <v>クラスターNo.857</v>
      </c>
      <c r="M37" s="4" t="str">
        <f>TEXT(IF(ROW(A35)&gt;MAX(Main!$D$4:$D$1048576),"",INDEX(Main!Q$4:Q$1048576,MATCH(ROW(A35),Main!$D$4:$D$1048576,0))), "yyyy/m/d")</f>
        <v>2022/12/15</v>
      </c>
      <c r="N37" s="1">
        <f>IF(IF(ROW(A35)&gt;MAX(Main!$D$4:$D$1048576),"",INDEX(Main!G$4:G$1048576,MATCH(ROW(A35),Main!$D$4:$D$1048576,0)))="",IF(M37="","",N36),IF(ROW(A35)&gt;MAX(Main!$D$4:$D$1048576),"",INDEX(Main!G$4:G$1048576,MATCH(ROW(A35),Main!$D$4:$D$1048576,0))))</f>
        <v>99999857001</v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>-</v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>ー</v>
      </c>
      <c r="Q37" s="1" t="str">
        <f t="shared" si="2"/>
        <v>else</v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>庄内町</v>
      </c>
      <c r="S37" s="9" t="str">
        <f>IF(ROW(G35)&gt;MAX(Main!$D$4:$D$1048576),"",INDEX(Main!K$4:K$1048576,MATCH(ROW(G35),Main!$D$4:$D$1048576,0)))</f>
        <v>99999857001介護施設</v>
      </c>
      <c r="T37" s="1">
        <f>IF(S37&lt;&gt;"",IF(ROW(G35)&gt;MAX(Main!$D$4:$D$1048576),"",INDEX(Main!N$4:N$1048576,MATCH(ROW(G35),Main!$D$4:$D$1048576,0))),"")</f>
        <v>99999857001</v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>介護施設</v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>2022/12/15</v>
      </c>
      <c r="C38" s="1">
        <f>IF(IF(ROW(A36)&gt;MAX(Main!$C$4:$C$1048576),"",INDEX(Main!G$4:G$1048576,MATCH(ROW(A36),Main!$C$4:$C$1048576,0)))="",IF(B38="","",C37),IF(ROW(A36)&gt;MAX(Main!$C$4:$C$1048576),"",INDEX(Main!G$4:G$1048576,MATCH(ROW(A36),Main!$C$4:$C$1048576,0))))</f>
        <v>99999857002</v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>-</v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>ー</v>
      </c>
      <c r="F38" s="1" t="str">
        <f t="shared" si="0"/>
        <v>else</v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>庄内町</v>
      </c>
      <c r="H38" s="10" t="str">
        <f>IF(ROW(G36)&gt;MAX(Main!$C$4:$C$1048576),"",INDEX(Main!K$4:K$1048576,MATCH(ROW(G36),Main!$C$4:$C$1048576,0)))</f>
        <v>99999857001関連</v>
      </c>
      <c r="I38" s="1">
        <f>IF(H38&lt;&gt;"",IF(ROW(G36)&gt;MAX(Main!$C$4:$C$1048576),"",INDEX(Main!N$4:N$1048576,MATCH(ROW(G36),Main!$C$4:$C$1048576,0))),"")</f>
        <v>99999857001</v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>関連</v>
      </c>
      <c r="K38" s="27" t="str">
        <f t="shared" si="1"/>
        <v>クラスターNo.857</v>
      </c>
      <c r="M38" s="4" t="str">
        <f>TEXT(IF(ROW(A36)&gt;MAX(Main!$D$4:$D$1048576),"",INDEX(Main!Q$4:Q$1048576,MATCH(ROW(A36),Main!$D$4:$D$1048576,0))), "yyyy/m/d")</f>
        <v>2022/12/15</v>
      </c>
      <c r="N38" s="1">
        <f>IF(IF(ROW(A36)&gt;MAX(Main!$D$4:$D$1048576),"",INDEX(Main!G$4:G$1048576,MATCH(ROW(A36),Main!$D$4:$D$1048576,0)))="",IF(M38="","",N37),IF(ROW(A36)&gt;MAX(Main!$D$4:$D$1048576),"",INDEX(Main!G$4:G$1048576,MATCH(ROW(A36),Main!$D$4:$D$1048576,0))))</f>
        <v>99999857002</v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>-</v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>ー</v>
      </c>
      <c r="Q38" s="1" t="str">
        <f t="shared" si="2"/>
        <v>else</v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>庄内町</v>
      </c>
      <c r="S38" s="9" t="str">
        <f>IF(ROW(G36)&gt;MAX(Main!$D$4:$D$1048576),"",INDEX(Main!K$4:K$1048576,MATCH(ROW(G36),Main!$D$4:$D$1048576,0)))</f>
        <v>99999857001関連</v>
      </c>
      <c r="T38" s="1">
        <f>IF(S38&lt;&gt;"",IF(ROW(G36)&gt;MAX(Main!$D$4:$D$1048576),"",INDEX(Main!N$4:N$1048576,MATCH(ROW(G36),Main!$D$4:$D$1048576,0))),"")</f>
        <v>99999857001</v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>関連</v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>2022/12/15</v>
      </c>
      <c r="C39" s="1">
        <f>IF(IF(ROW(A37)&gt;MAX(Main!$C$4:$C$1048576),"",INDEX(Main!G$4:G$1048576,MATCH(ROW(A37),Main!$C$4:$C$1048576,0)))="",IF(B39="","",C38),IF(ROW(A37)&gt;MAX(Main!$C$4:$C$1048576),"",INDEX(Main!G$4:G$1048576,MATCH(ROW(A37),Main!$C$4:$C$1048576,0))))</f>
        <v>99999857003</v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>-</v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>ー</v>
      </c>
      <c r="F39" s="1" t="str">
        <f t="shared" si="0"/>
        <v>else</v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>庄内町</v>
      </c>
      <c r="H39" s="10" t="str">
        <f>IF(ROW(G37)&gt;MAX(Main!$C$4:$C$1048576),"",INDEX(Main!K$4:K$1048576,MATCH(ROW(G37),Main!$C$4:$C$1048576,0)))</f>
        <v>99999857001関連</v>
      </c>
      <c r="I39" s="1">
        <f>IF(H39&lt;&gt;"",IF(ROW(G37)&gt;MAX(Main!$C$4:$C$1048576),"",INDEX(Main!N$4:N$1048576,MATCH(ROW(G37),Main!$C$4:$C$1048576,0))),"")</f>
        <v>99999857001</v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>関連</v>
      </c>
      <c r="K39" s="27" t="str">
        <f t="shared" si="1"/>
        <v>クラスターNo.857</v>
      </c>
      <c r="M39" s="4" t="str">
        <f>TEXT(IF(ROW(A37)&gt;MAX(Main!$D$4:$D$1048576),"",INDEX(Main!Q$4:Q$1048576,MATCH(ROW(A37),Main!$D$4:$D$1048576,0))), "yyyy/m/d")</f>
        <v>2022/12/15</v>
      </c>
      <c r="N39" s="1">
        <f>IF(IF(ROW(A37)&gt;MAX(Main!$D$4:$D$1048576),"",INDEX(Main!G$4:G$1048576,MATCH(ROW(A37),Main!$D$4:$D$1048576,0)))="",IF(M39="","",N38),IF(ROW(A37)&gt;MAX(Main!$D$4:$D$1048576),"",INDEX(Main!G$4:G$1048576,MATCH(ROW(A37),Main!$D$4:$D$1048576,0))))</f>
        <v>99999857003</v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>-</v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>ー</v>
      </c>
      <c r="Q39" s="1" t="str">
        <f t="shared" si="2"/>
        <v>else</v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>庄内町</v>
      </c>
      <c r="S39" s="9" t="str">
        <f>IF(ROW(G37)&gt;MAX(Main!$D$4:$D$1048576),"",INDEX(Main!K$4:K$1048576,MATCH(ROW(G37),Main!$D$4:$D$1048576,0)))</f>
        <v>99999857001関連</v>
      </c>
      <c r="T39" s="1">
        <f>IF(S39&lt;&gt;"",IF(ROW(G37)&gt;MAX(Main!$D$4:$D$1048576),"",INDEX(Main!N$4:N$1048576,MATCH(ROW(G37),Main!$D$4:$D$1048576,0))),"")</f>
        <v>99999857001</v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>関連</v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>2022/12/15</v>
      </c>
      <c r="C40" s="1">
        <f>IF(IF(ROW(A38)&gt;MAX(Main!$C$4:$C$1048576),"",INDEX(Main!G$4:G$1048576,MATCH(ROW(A38),Main!$C$4:$C$1048576,0)))="",IF(B40="","",C39),IF(ROW(A38)&gt;MAX(Main!$C$4:$C$1048576),"",INDEX(Main!G$4:G$1048576,MATCH(ROW(A38),Main!$C$4:$C$1048576,0))))</f>
        <v>99999857004</v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>-</v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>ー</v>
      </c>
      <c r="F40" s="1" t="str">
        <f t="shared" si="0"/>
        <v>else</v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>庄内町</v>
      </c>
      <c r="H40" s="10" t="str">
        <f>IF(ROW(G38)&gt;MAX(Main!$C$4:$C$1048576),"",INDEX(Main!K$4:K$1048576,MATCH(ROW(G38),Main!$C$4:$C$1048576,0)))</f>
        <v>99999857001関連</v>
      </c>
      <c r="I40" s="1">
        <f>IF(H40&lt;&gt;"",IF(ROW(G38)&gt;MAX(Main!$C$4:$C$1048576),"",INDEX(Main!N$4:N$1048576,MATCH(ROW(G38),Main!$C$4:$C$1048576,0))),"")</f>
        <v>99999857001</v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>関連</v>
      </c>
      <c r="K40" s="27" t="str">
        <f t="shared" si="1"/>
        <v>クラスターNo.857</v>
      </c>
      <c r="M40" s="4" t="str">
        <f>TEXT(IF(ROW(A38)&gt;MAX(Main!$D$4:$D$1048576),"",INDEX(Main!Q$4:Q$1048576,MATCH(ROW(A38),Main!$D$4:$D$1048576,0))), "yyyy/m/d")</f>
        <v>2022/12/15</v>
      </c>
      <c r="N40" s="1">
        <f>IF(IF(ROW(A38)&gt;MAX(Main!$D$4:$D$1048576),"",INDEX(Main!G$4:G$1048576,MATCH(ROW(A38),Main!$D$4:$D$1048576,0)))="",IF(M40="","",N39),IF(ROW(A38)&gt;MAX(Main!$D$4:$D$1048576),"",INDEX(Main!G$4:G$1048576,MATCH(ROW(A38),Main!$D$4:$D$1048576,0))))</f>
        <v>99999857004</v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>-</v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>ー</v>
      </c>
      <c r="Q40" s="1" t="str">
        <f t="shared" si="2"/>
        <v>else</v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>庄内町</v>
      </c>
      <c r="S40" s="9" t="str">
        <f>IF(ROW(G38)&gt;MAX(Main!$D$4:$D$1048576),"",INDEX(Main!K$4:K$1048576,MATCH(ROW(G38),Main!$D$4:$D$1048576,0)))</f>
        <v>99999857001関連</v>
      </c>
      <c r="T40" s="1">
        <f>IF(S40&lt;&gt;"",IF(ROW(G38)&gt;MAX(Main!$D$4:$D$1048576),"",INDEX(Main!N$4:N$1048576,MATCH(ROW(G38),Main!$D$4:$D$1048576,0))),"")</f>
        <v>99999857001</v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>関連</v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>2022/12/15</v>
      </c>
      <c r="C41" s="1">
        <f>IF(IF(ROW(A39)&gt;MAX(Main!$C$4:$C$1048576),"",INDEX(Main!G$4:G$1048576,MATCH(ROW(A39),Main!$C$4:$C$1048576,0)))="",IF(B41="","",C40),IF(ROW(A39)&gt;MAX(Main!$C$4:$C$1048576),"",INDEX(Main!G$4:G$1048576,MATCH(ROW(A39),Main!$C$4:$C$1048576,0))))</f>
        <v>99999857005</v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>-</v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>ー</v>
      </c>
      <c r="F41" s="1" t="str">
        <f t="shared" si="0"/>
        <v>else</v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>庄内町</v>
      </c>
      <c r="H41" s="10" t="str">
        <f>IF(ROW(G39)&gt;MAX(Main!$C$4:$C$1048576),"",INDEX(Main!K$4:K$1048576,MATCH(ROW(G39),Main!$C$4:$C$1048576,0)))</f>
        <v>99999857001関連</v>
      </c>
      <c r="I41" s="1">
        <f>IF(H41&lt;&gt;"",IF(ROW(G39)&gt;MAX(Main!$C$4:$C$1048576),"",INDEX(Main!N$4:N$1048576,MATCH(ROW(G39),Main!$C$4:$C$1048576,0))),"")</f>
        <v>99999857001</v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>関連</v>
      </c>
      <c r="K41" s="27" t="str">
        <f t="shared" si="1"/>
        <v>クラスターNo.857</v>
      </c>
      <c r="M41" s="4" t="str">
        <f>TEXT(IF(ROW(A39)&gt;MAX(Main!$D$4:$D$1048576),"",INDEX(Main!Q$4:Q$1048576,MATCH(ROW(A39),Main!$D$4:$D$1048576,0))), "yyyy/m/d")</f>
        <v>2022/12/15</v>
      </c>
      <c r="N41" s="1">
        <f>IF(IF(ROW(A39)&gt;MAX(Main!$D$4:$D$1048576),"",INDEX(Main!G$4:G$1048576,MATCH(ROW(A39),Main!$D$4:$D$1048576,0)))="",IF(M41="","",N40),IF(ROW(A39)&gt;MAX(Main!$D$4:$D$1048576),"",INDEX(Main!G$4:G$1048576,MATCH(ROW(A39),Main!$D$4:$D$1048576,0))))</f>
        <v>99999857005</v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>-</v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>ー</v>
      </c>
      <c r="Q41" s="1" t="str">
        <f t="shared" si="2"/>
        <v>else</v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>庄内町</v>
      </c>
      <c r="S41" s="9" t="str">
        <f>IF(ROW(G39)&gt;MAX(Main!$D$4:$D$1048576),"",INDEX(Main!K$4:K$1048576,MATCH(ROW(G39),Main!$D$4:$D$1048576,0)))</f>
        <v>99999857001関連</v>
      </c>
      <c r="T41" s="1">
        <f>IF(S41&lt;&gt;"",IF(ROW(G39)&gt;MAX(Main!$D$4:$D$1048576),"",INDEX(Main!N$4:N$1048576,MATCH(ROW(G39),Main!$D$4:$D$1048576,0))),"")</f>
        <v>99999857001</v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>関連</v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>2022/12/15</v>
      </c>
      <c r="C42" s="1">
        <f>IF(IF(ROW(A40)&gt;MAX(Main!$C$4:$C$1048576),"",INDEX(Main!G$4:G$1048576,MATCH(ROW(A40),Main!$C$4:$C$1048576,0)))="",IF(B42="","",C41),IF(ROW(A40)&gt;MAX(Main!$C$4:$C$1048576),"",INDEX(Main!G$4:G$1048576,MATCH(ROW(A40),Main!$C$4:$C$1048576,0))))</f>
        <v>99999857006</v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>-</v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>ー</v>
      </c>
      <c r="F42" s="1" t="str">
        <f t="shared" si="0"/>
        <v>else</v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>庄内町</v>
      </c>
      <c r="H42" s="10" t="str">
        <f>IF(ROW(G40)&gt;MAX(Main!$C$4:$C$1048576),"",INDEX(Main!K$4:K$1048576,MATCH(ROW(G40),Main!$C$4:$C$1048576,0)))</f>
        <v>99999857001関連</v>
      </c>
      <c r="I42" s="1">
        <f>IF(H42&lt;&gt;"",IF(ROW(G40)&gt;MAX(Main!$C$4:$C$1048576),"",INDEX(Main!N$4:N$1048576,MATCH(ROW(G40),Main!$C$4:$C$1048576,0))),"")</f>
        <v>99999857001</v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>関連</v>
      </c>
      <c r="K42" s="27" t="str">
        <f t="shared" si="1"/>
        <v>クラスターNo.857</v>
      </c>
      <c r="M42" s="4" t="str">
        <f>TEXT(IF(ROW(A40)&gt;MAX(Main!$D$4:$D$1048576),"",INDEX(Main!Q$4:Q$1048576,MATCH(ROW(A40),Main!$D$4:$D$1048576,0))), "yyyy/m/d")</f>
        <v>2022/12/15</v>
      </c>
      <c r="N42" s="1">
        <f>IF(IF(ROW(A40)&gt;MAX(Main!$D$4:$D$1048576),"",INDEX(Main!G$4:G$1048576,MATCH(ROW(A40),Main!$D$4:$D$1048576,0)))="",IF(M42="","",N41),IF(ROW(A40)&gt;MAX(Main!$D$4:$D$1048576),"",INDEX(Main!G$4:G$1048576,MATCH(ROW(A40),Main!$D$4:$D$1048576,0))))</f>
        <v>99999857006</v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>-</v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>ー</v>
      </c>
      <c r="Q42" s="1" t="str">
        <f t="shared" si="2"/>
        <v>else</v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>庄内町</v>
      </c>
      <c r="S42" s="9" t="str">
        <f>IF(ROW(G40)&gt;MAX(Main!$D$4:$D$1048576),"",INDEX(Main!K$4:K$1048576,MATCH(ROW(G40),Main!$D$4:$D$1048576,0)))</f>
        <v>99999857001関連</v>
      </c>
      <c r="T42" s="1">
        <f>IF(S42&lt;&gt;"",IF(ROW(G40)&gt;MAX(Main!$D$4:$D$1048576),"",INDEX(Main!N$4:N$1048576,MATCH(ROW(G40),Main!$D$4:$D$1048576,0))),"")</f>
        <v>99999857001</v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>関連</v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>2022/12/15</v>
      </c>
      <c r="C43" s="1">
        <f>IF(IF(ROW(A41)&gt;MAX(Main!$C$4:$C$1048576),"",INDEX(Main!G$4:G$1048576,MATCH(ROW(A41),Main!$C$4:$C$1048576,0)))="",IF(B43="","",C42),IF(ROW(A41)&gt;MAX(Main!$C$4:$C$1048576),"",INDEX(Main!G$4:G$1048576,MATCH(ROW(A41),Main!$C$4:$C$1048576,0))))</f>
        <v>99999857007</v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>-</v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>ー</v>
      </c>
      <c r="F43" s="1" t="str">
        <f t="shared" si="0"/>
        <v>else</v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>庄内町</v>
      </c>
      <c r="H43" s="10" t="str">
        <f>IF(ROW(G41)&gt;MAX(Main!$C$4:$C$1048576),"",INDEX(Main!K$4:K$1048576,MATCH(ROW(G41),Main!$C$4:$C$1048576,0)))</f>
        <v>99999857001関連</v>
      </c>
      <c r="I43" s="1">
        <f>IF(H43&lt;&gt;"",IF(ROW(G41)&gt;MAX(Main!$C$4:$C$1048576),"",INDEX(Main!N$4:N$1048576,MATCH(ROW(G41),Main!$C$4:$C$1048576,0))),"")</f>
        <v>99999857001</v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>関連</v>
      </c>
      <c r="K43" s="27" t="str">
        <f t="shared" si="1"/>
        <v>クラスターNo.857</v>
      </c>
      <c r="M43" s="4" t="str">
        <f>TEXT(IF(ROW(A41)&gt;MAX(Main!$D$4:$D$1048576),"",INDEX(Main!Q$4:Q$1048576,MATCH(ROW(A41),Main!$D$4:$D$1048576,0))), "yyyy/m/d")</f>
        <v>2022/12/15</v>
      </c>
      <c r="N43" s="1">
        <f>IF(IF(ROW(A41)&gt;MAX(Main!$D$4:$D$1048576),"",INDEX(Main!G$4:G$1048576,MATCH(ROW(A41),Main!$D$4:$D$1048576,0)))="",IF(M43="","",N42),IF(ROW(A41)&gt;MAX(Main!$D$4:$D$1048576),"",INDEX(Main!G$4:G$1048576,MATCH(ROW(A41),Main!$D$4:$D$1048576,0))))</f>
        <v>99999857007</v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>-</v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>ー</v>
      </c>
      <c r="Q43" s="1" t="str">
        <f t="shared" si="2"/>
        <v>else</v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>庄内町</v>
      </c>
      <c r="S43" s="9" t="str">
        <f>IF(ROW(G41)&gt;MAX(Main!$D$4:$D$1048576),"",INDEX(Main!K$4:K$1048576,MATCH(ROW(G41),Main!$D$4:$D$1048576,0)))</f>
        <v>99999857001関連</v>
      </c>
      <c r="T43" s="1">
        <f>IF(S43&lt;&gt;"",IF(ROW(G41)&gt;MAX(Main!$D$4:$D$1048576),"",INDEX(Main!N$4:N$1048576,MATCH(ROW(G41),Main!$D$4:$D$1048576,0))),"")</f>
        <v>99999857001</v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>関連</v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>2022/12/15</v>
      </c>
      <c r="C44" s="1">
        <f>IF(IF(ROW(A42)&gt;MAX(Main!$C$4:$C$1048576),"",INDEX(Main!G$4:G$1048576,MATCH(ROW(A42),Main!$C$4:$C$1048576,0)))="",IF(B44="","",C43),IF(ROW(A42)&gt;MAX(Main!$C$4:$C$1048576),"",INDEX(Main!G$4:G$1048576,MATCH(ROW(A42),Main!$C$4:$C$1048576,0))))</f>
        <v>99999857008</v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>-</v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>ー</v>
      </c>
      <c r="F44" s="1" t="str">
        <f t="shared" si="0"/>
        <v>else</v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>庄内町</v>
      </c>
      <c r="H44" s="10" t="str">
        <f>IF(ROW(G42)&gt;MAX(Main!$C$4:$C$1048576),"",INDEX(Main!K$4:K$1048576,MATCH(ROW(G42),Main!$C$4:$C$1048576,0)))</f>
        <v>99999857001関連</v>
      </c>
      <c r="I44" s="1">
        <f>IF(H44&lt;&gt;"",IF(ROW(G42)&gt;MAX(Main!$C$4:$C$1048576),"",INDEX(Main!N$4:N$1048576,MATCH(ROW(G42),Main!$C$4:$C$1048576,0))),"")</f>
        <v>99999857001</v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>関連</v>
      </c>
      <c r="K44" s="27" t="str">
        <f t="shared" si="1"/>
        <v>クラスターNo.857</v>
      </c>
      <c r="M44" s="4" t="str">
        <f>TEXT(IF(ROW(A42)&gt;MAX(Main!$D$4:$D$1048576),"",INDEX(Main!Q$4:Q$1048576,MATCH(ROW(A42),Main!$D$4:$D$1048576,0))), "yyyy/m/d")</f>
        <v>2022/12/15</v>
      </c>
      <c r="N44" s="1">
        <f>IF(IF(ROW(A42)&gt;MAX(Main!$D$4:$D$1048576),"",INDEX(Main!G$4:G$1048576,MATCH(ROW(A42),Main!$D$4:$D$1048576,0)))="",IF(M44="","",N43),IF(ROW(A42)&gt;MAX(Main!$D$4:$D$1048576),"",INDEX(Main!G$4:G$1048576,MATCH(ROW(A42),Main!$D$4:$D$1048576,0))))</f>
        <v>99999857008</v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>-</v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>ー</v>
      </c>
      <c r="Q44" s="1" t="str">
        <f t="shared" si="2"/>
        <v>else</v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>庄内町</v>
      </c>
      <c r="S44" s="9" t="str">
        <f>IF(ROW(G42)&gt;MAX(Main!$D$4:$D$1048576),"",INDEX(Main!K$4:K$1048576,MATCH(ROW(G42),Main!$D$4:$D$1048576,0)))</f>
        <v>99999857001関連</v>
      </c>
      <c r="T44" s="1">
        <f>IF(S44&lt;&gt;"",IF(ROW(G42)&gt;MAX(Main!$D$4:$D$1048576),"",INDEX(Main!N$4:N$1048576,MATCH(ROW(G42),Main!$D$4:$D$1048576,0))),"")</f>
        <v>99999857001</v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>関連</v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>2022/12/15</v>
      </c>
      <c r="C45" s="1">
        <f>IF(IF(ROW(A43)&gt;MAX(Main!$C$4:$C$1048576),"",INDEX(Main!G$4:G$1048576,MATCH(ROW(A43),Main!$C$4:$C$1048576,0)))="",IF(B45="","",C44),IF(ROW(A43)&gt;MAX(Main!$C$4:$C$1048576),"",INDEX(Main!G$4:G$1048576,MATCH(ROW(A43),Main!$C$4:$C$1048576,0))))</f>
        <v>99999857009</v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>-</v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>ー</v>
      </c>
      <c r="F45" s="1" t="str">
        <f t="shared" si="0"/>
        <v>else</v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>庄内町</v>
      </c>
      <c r="H45" s="10" t="str">
        <f>IF(ROW(G43)&gt;MAX(Main!$C$4:$C$1048576),"",INDEX(Main!K$4:K$1048576,MATCH(ROW(G43),Main!$C$4:$C$1048576,0)))</f>
        <v>99999857001関連</v>
      </c>
      <c r="I45" s="1">
        <f>IF(H45&lt;&gt;"",IF(ROW(G43)&gt;MAX(Main!$C$4:$C$1048576),"",INDEX(Main!N$4:N$1048576,MATCH(ROW(G43),Main!$C$4:$C$1048576,0))),"")</f>
        <v>99999857001</v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>関連</v>
      </c>
      <c r="K45" s="27" t="str">
        <f t="shared" si="1"/>
        <v>クラスターNo.857</v>
      </c>
      <c r="M45" s="4" t="str">
        <f>TEXT(IF(ROW(A43)&gt;MAX(Main!$D$4:$D$1048576),"",INDEX(Main!Q$4:Q$1048576,MATCH(ROW(A43),Main!$D$4:$D$1048576,0))), "yyyy/m/d")</f>
        <v>2022/12/15</v>
      </c>
      <c r="N45" s="1">
        <f>IF(IF(ROW(A43)&gt;MAX(Main!$D$4:$D$1048576),"",INDEX(Main!G$4:G$1048576,MATCH(ROW(A43),Main!$D$4:$D$1048576,0)))="",IF(M45="","",N44),IF(ROW(A43)&gt;MAX(Main!$D$4:$D$1048576),"",INDEX(Main!G$4:G$1048576,MATCH(ROW(A43),Main!$D$4:$D$1048576,0))))</f>
        <v>99999857009</v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>-</v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>ー</v>
      </c>
      <c r="Q45" s="1" t="str">
        <f t="shared" si="2"/>
        <v>else</v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>庄内町</v>
      </c>
      <c r="S45" s="9" t="str">
        <f>IF(ROW(G43)&gt;MAX(Main!$D$4:$D$1048576),"",INDEX(Main!K$4:K$1048576,MATCH(ROW(G43),Main!$D$4:$D$1048576,0)))</f>
        <v>99999857001関連</v>
      </c>
      <c r="T45" s="1">
        <f>IF(S45&lt;&gt;"",IF(ROW(G43)&gt;MAX(Main!$D$4:$D$1048576),"",INDEX(Main!N$4:N$1048576,MATCH(ROW(G43),Main!$D$4:$D$1048576,0))),"")</f>
        <v>99999857001</v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>関連</v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>2022/12/15</v>
      </c>
      <c r="C46" s="1">
        <f>IF(IF(ROW(A44)&gt;MAX(Main!$C$4:$C$1048576),"",INDEX(Main!G$4:G$1048576,MATCH(ROW(A44),Main!$C$4:$C$1048576,0)))="",IF(B46="","",C45),IF(ROW(A44)&gt;MAX(Main!$C$4:$C$1048576),"",INDEX(Main!G$4:G$1048576,MATCH(ROW(A44),Main!$C$4:$C$1048576,0))))</f>
        <v>99999857010</v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>-</v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>ー</v>
      </c>
      <c r="F46" s="1" t="str">
        <f t="shared" si="0"/>
        <v>else</v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>庄内町</v>
      </c>
      <c r="H46" s="10" t="str">
        <f>IF(ROW(G44)&gt;MAX(Main!$C$4:$C$1048576),"",INDEX(Main!K$4:K$1048576,MATCH(ROW(G44),Main!$C$4:$C$1048576,0)))</f>
        <v>99999857001関連</v>
      </c>
      <c r="I46" s="1">
        <f>IF(H46&lt;&gt;"",IF(ROW(G44)&gt;MAX(Main!$C$4:$C$1048576),"",INDEX(Main!N$4:N$1048576,MATCH(ROW(G44),Main!$C$4:$C$1048576,0))),"")</f>
        <v>99999857001</v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>関連</v>
      </c>
      <c r="K46" s="27" t="str">
        <f t="shared" si="1"/>
        <v>クラスターNo.857</v>
      </c>
      <c r="M46" s="4" t="str">
        <f>TEXT(IF(ROW(A44)&gt;MAX(Main!$D$4:$D$1048576),"",INDEX(Main!Q$4:Q$1048576,MATCH(ROW(A44),Main!$D$4:$D$1048576,0))), "yyyy/m/d")</f>
        <v>2022/12/15</v>
      </c>
      <c r="N46" s="1">
        <f>IF(IF(ROW(A44)&gt;MAX(Main!$D$4:$D$1048576),"",INDEX(Main!G$4:G$1048576,MATCH(ROW(A44),Main!$D$4:$D$1048576,0)))="",IF(M46="","",N45),IF(ROW(A44)&gt;MAX(Main!$D$4:$D$1048576),"",INDEX(Main!G$4:G$1048576,MATCH(ROW(A44),Main!$D$4:$D$1048576,0))))</f>
        <v>99999857010</v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>-</v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>ー</v>
      </c>
      <c r="Q46" s="1" t="str">
        <f t="shared" si="2"/>
        <v>else</v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>庄内町</v>
      </c>
      <c r="S46" s="9" t="str">
        <f>IF(ROW(G44)&gt;MAX(Main!$D$4:$D$1048576),"",INDEX(Main!K$4:K$1048576,MATCH(ROW(G44),Main!$D$4:$D$1048576,0)))</f>
        <v>99999857001関連</v>
      </c>
      <c r="T46" s="1">
        <f>IF(S46&lt;&gt;"",IF(ROW(G44)&gt;MAX(Main!$D$4:$D$1048576),"",INDEX(Main!N$4:N$1048576,MATCH(ROW(G44),Main!$D$4:$D$1048576,0))),"")</f>
        <v>99999857001</v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>関連</v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>2022/12/15</v>
      </c>
      <c r="C47" s="1">
        <f>IF(IF(ROW(A45)&gt;MAX(Main!$C$4:$C$1048576),"",INDEX(Main!G$4:G$1048576,MATCH(ROW(A45),Main!$C$4:$C$1048576,0)))="",IF(B47="","",C46),IF(ROW(A45)&gt;MAX(Main!$C$4:$C$1048576),"",INDEX(Main!G$4:G$1048576,MATCH(ROW(A45),Main!$C$4:$C$1048576,0))))</f>
        <v>99999857011</v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>-</v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>ー</v>
      </c>
      <c r="F47" s="1" t="str">
        <f t="shared" si="0"/>
        <v>else</v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>庄内町</v>
      </c>
      <c r="H47" s="10" t="str">
        <f>IF(ROW(G45)&gt;MAX(Main!$C$4:$C$1048576),"",INDEX(Main!K$4:K$1048576,MATCH(ROW(G45),Main!$C$4:$C$1048576,0)))</f>
        <v>99999857001関連</v>
      </c>
      <c r="I47" s="1">
        <f>IF(H47&lt;&gt;"",IF(ROW(G45)&gt;MAX(Main!$C$4:$C$1048576),"",INDEX(Main!N$4:N$1048576,MATCH(ROW(G45),Main!$C$4:$C$1048576,0))),"")</f>
        <v>99999857001</v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>関連</v>
      </c>
      <c r="K47" s="27" t="str">
        <f t="shared" si="1"/>
        <v>クラスターNo.857</v>
      </c>
      <c r="M47" s="4" t="str">
        <f>TEXT(IF(ROW(A45)&gt;MAX(Main!$D$4:$D$1048576),"",INDEX(Main!Q$4:Q$1048576,MATCH(ROW(A45),Main!$D$4:$D$1048576,0))), "yyyy/m/d")</f>
        <v>2022/12/15</v>
      </c>
      <c r="N47" s="1">
        <f>IF(IF(ROW(A45)&gt;MAX(Main!$D$4:$D$1048576),"",INDEX(Main!G$4:G$1048576,MATCH(ROW(A45),Main!$D$4:$D$1048576,0)))="",IF(M47="","",N46),IF(ROW(A45)&gt;MAX(Main!$D$4:$D$1048576),"",INDEX(Main!G$4:G$1048576,MATCH(ROW(A45),Main!$D$4:$D$1048576,0))))</f>
        <v>99999857011</v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>-</v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>ー</v>
      </c>
      <c r="Q47" s="1" t="str">
        <f t="shared" si="2"/>
        <v>else</v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>庄内町</v>
      </c>
      <c r="S47" s="9" t="str">
        <f>IF(ROW(G45)&gt;MAX(Main!$D$4:$D$1048576),"",INDEX(Main!K$4:K$1048576,MATCH(ROW(G45),Main!$D$4:$D$1048576,0)))</f>
        <v>99999857001関連</v>
      </c>
      <c r="T47" s="1">
        <f>IF(S47&lt;&gt;"",IF(ROW(G45)&gt;MAX(Main!$D$4:$D$1048576),"",INDEX(Main!N$4:N$1048576,MATCH(ROW(G45),Main!$D$4:$D$1048576,0))),"")</f>
        <v>99999857001</v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>関連</v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>2022/12/15</v>
      </c>
      <c r="C48" s="1">
        <f>IF(IF(ROW(A46)&gt;MAX(Main!$C$4:$C$1048576),"",INDEX(Main!G$4:G$1048576,MATCH(ROW(A46),Main!$C$4:$C$1048576,0)))="",IF(B48="","",C47),IF(ROW(A46)&gt;MAX(Main!$C$4:$C$1048576),"",INDEX(Main!G$4:G$1048576,MATCH(ROW(A46),Main!$C$4:$C$1048576,0))))</f>
        <v>99999857012</v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>-</v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>ー</v>
      </c>
      <c r="F48" s="1" t="str">
        <f t="shared" si="0"/>
        <v>else</v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>庄内町</v>
      </c>
      <c r="H48" s="10" t="str">
        <f>IF(ROW(G46)&gt;MAX(Main!$C$4:$C$1048576),"",INDEX(Main!K$4:K$1048576,MATCH(ROW(G46),Main!$C$4:$C$1048576,0)))</f>
        <v>99999857001関連</v>
      </c>
      <c r="I48" s="1">
        <f>IF(H48&lt;&gt;"",IF(ROW(G46)&gt;MAX(Main!$C$4:$C$1048576),"",INDEX(Main!N$4:N$1048576,MATCH(ROW(G46),Main!$C$4:$C$1048576,0))),"")</f>
        <v>99999857001</v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>関連</v>
      </c>
      <c r="K48" s="27" t="str">
        <f t="shared" si="1"/>
        <v>クラスターNo.857</v>
      </c>
      <c r="M48" s="4" t="str">
        <f>TEXT(IF(ROW(A46)&gt;MAX(Main!$D$4:$D$1048576),"",INDEX(Main!Q$4:Q$1048576,MATCH(ROW(A46),Main!$D$4:$D$1048576,0))), "yyyy/m/d")</f>
        <v>2022/12/15</v>
      </c>
      <c r="N48" s="1">
        <f>IF(IF(ROW(A46)&gt;MAX(Main!$D$4:$D$1048576),"",INDEX(Main!G$4:G$1048576,MATCH(ROW(A46),Main!$D$4:$D$1048576,0)))="",IF(M48="","",N47),IF(ROW(A46)&gt;MAX(Main!$D$4:$D$1048576),"",INDEX(Main!G$4:G$1048576,MATCH(ROW(A46),Main!$D$4:$D$1048576,0))))</f>
        <v>99999857012</v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>-</v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>ー</v>
      </c>
      <c r="Q48" s="1" t="str">
        <f t="shared" si="2"/>
        <v>else</v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>庄内町</v>
      </c>
      <c r="S48" s="9" t="str">
        <f>IF(ROW(G46)&gt;MAX(Main!$D$4:$D$1048576),"",INDEX(Main!K$4:K$1048576,MATCH(ROW(G46),Main!$D$4:$D$1048576,0)))</f>
        <v>99999857001関連</v>
      </c>
      <c r="T48" s="1">
        <f>IF(S48&lt;&gt;"",IF(ROW(G46)&gt;MAX(Main!$D$4:$D$1048576),"",INDEX(Main!N$4:N$1048576,MATCH(ROW(G46),Main!$D$4:$D$1048576,0))),"")</f>
        <v>99999857001</v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>関連</v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>2022/12/15</v>
      </c>
      <c r="C49" s="1">
        <f>IF(IF(ROW(A47)&gt;MAX(Main!$C$4:$C$1048576),"",INDEX(Main!G$4:G$1048576,MATCH(ROW(A47),Main!$C$4:$C$1048576,0)))="",IF(B49="","",C48),IF(ROW(A47)&gt;MAX(Main!$C$4:$C$1048576),"",INDEX(Main!G$4:G$1048576,MATCH(ROW(A47),Main!$C$4:$C$1048576,0))))</f>
        <v>99999857013</v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>-</v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>ー</v>
      </c>
      <c r="F49" s="1" t="str">
        <f t="shared" si="0"/>
        <v>else</v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>庄内町</v>
      </c>
      <c r="H49" s="10" t="str">
        <f>IF(ROW(G47)&gt;MAX(Main!$C$4:$C$1048576),"",INDEX(Main!K$4:K$1048576,MATCH(ROW(G47),Main!$C$4:$C$1048576,0)))</f>
        <v>99999857001関連</v>
      </c>
      <c r="I49" s="1">
        <f>IF(H49&lt;&gt;"",IF(ROW(G47)&gt;MAX(Main!$C$4:$C$1048576),"",INDEX(Main!N$4:N$1048576,MATCH(ROW(G47),Main!$C$4:$C$1048576,0))),"")</f>
        <v>99999857001</v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>関連</v>
      </c>
      <c r="K49" s="27" t="str">
        <f t="shared" si="1"/>
        <v>クラスターNo.857</v>
      </c>
      <c r="M49" s="4" t="str">
        <f>TEXT(IF(ROW(A47)&gt;MAX(Main!$D$4:$D$1048576),"",INDEX(Main!Q$4:Q$1048576,MATCH(ROW(A47),Main!$D$4:$D$1048576,0))), "yyyy/m/d")</f>
        <v>2022/12/15</v>
      </c>
      <c r="N49" s="1">
        <f>IF(IF(ROW(A47)&gt;MAX(Main!$D$4:$D$1048576),"",INDEX(Main!G$4:G$1048576,MATCH(ROW(A47),Main!$D$4:$D$1048576,0)))="",IF(M49="","",N48),IF(ROW(A47)&gt;MAX(Main!$D$4:$D$1048576),"",INDEX(Main!G$4:G$1048576,MATCH(ROW(A47),Main!$D$4:$D$1048576,0))))</f>
        <v>99999857013</v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>-</v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>ー</v>
      </c>
      <c r="Q49" s="1" t="str">
        <f t="shared" si="2"/>
        <v>else</v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>庄内町</v>
      </c>
      <c r="S49" s="9" t="str">
        <f>IF(ROW(G47)&gt;MAX(Main!$D$4:$D$1048576),"",INDEX(Main!K$4:K$1048576,MATCH(ROW(G47),Main!$D$4:$D$1048576,0)))</f>
        <v>99999857001関連</v>
      </c>
      <c r="T49" s="1">
        <f>IF(S49&lt;&gt;"",IF(ROW(G47)&gt;MAX(Main!$D$4:$D$1048576),"",INDEX(Main!N$4:N$1048576,MATCH(ROW(G47),Main!$D$4:$D$1048576,0))),"")</f>
        <v>99999857001</v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>関連</v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>2022/12/15</v>
      </c>
      <c r="C50" s="1">
        <f>IF(IF(ROW(A48)&gt;MAX(Main!$C$4:$C$1048576),"",INDEX(Main!G$4:G$1048576,MATCH(ROW(A48),Main!$C$4:$C$1048576,0)))="",IF(B50="","",C49),IF(ROW(A48)&gt;MAX(Main!$C$4:$C$1048576),"",INDEX(Main!G$4:G$1048576,MATCH(ROW(A48),Main!$C$4:$C$1048576,0))))</f>
        <v>99999857014</v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>-</v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>ー</v>
      </c>
      <c r="F50" s="1" t="str">
        <f t="shared" si="0"/>
        <v>else</v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>庄内町</v>
      </c>
      <c r="H50" s="10" t="str">
        <f>IF(ROW(G48)&gt;MAX(Main!$C$4:$C$1048576),"",INDEX(Main!K$4:K$1048576,MATCH(ROW(G48),Main!$C$4:$C$1048576,0)))</f>
        <v>99999857001関連</v>
      </c>
      <c r="I50" s="1">
        <f>IF(H50&lt;&gt;"",IF(ROW(G48)&gt;MAX(Main!$C$4:$C$1048576),"",INDEX(Main!N$4:N$1048576,MATCH(ROW(G48),Main!$C$4:$C$1048576,0))),"")</f>
        <v>99999857001</v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>関連</v>
      </c>
      <c r="K50" s="27" t="str">
        <f t="shared" si="1"/>
        <v>クラスターNo.857</v>
      </c>
      <c r="M50" s="4" t="str">
        <f>TEXT(IF(ROW(A48)&gt;MAX(Main!$D$4:$D$1048576),"",INDEX(Main!Q$4:Q$1048576,MATCH(ROW(A48),Main!$D$4:$D$1048576,0))), "yyyy/m/d")</f>
        <v>2022/12/15</v>
      </c>
      <c r="N50" s="1">
        <f>IF(IF(ROW(A48)&gt;MAX(Main!$D$4:$D$1048576),"",INDEX(Main!G$4:G$1048576,MATCH(ROW(A48),Main!$D$4:$D$1048576,0)))="",IF(M50="","",N49),IF(ROW(A48)&gt;MAX(Main!$D$4:$D$1048576),"",INDEX(Main!G$4:G$1048576,MATCH(ROW(A48),Main!$D$4:$D$1048576,0))))</f>
        <v>99999857014</v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>-</v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>ー</v>
      </c>
      <c r="Q50" s="1" t="str">
        <f t="shared" si="2"/>
        <v>else</v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>庄内町</v>
      </c>
      <c r="S50" s="9" t="str">
        <f>IF(ROW(G48)&gt;MAX(Main!$D$4:$D$1048576),"",INDEX(Main!K$4:K$1048576,MATCH(ROW(G48),Main!$D$4:$D$1048576,0)))</f>
        <v>99999857001関連</v>
      </c>
      <c r="T50" s="1">
        <f>IF(S50&lt;&gt;"",IF(ROW(G48)&gt;MAX(Main!$D$4:$D$1048576),"",INDEX(Main!N$4:N$1048576,MATCH(ROW(G48),Main!$D$4:$D$1048576,0))),"")</f>
        <v>99999857001</v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>関連</v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>2022/12/15</v>
      </c>
      <c r="C51" s="1">
        <f>IF(IF(ROW(A49)&gt;MAX(Main!$C$4:$C$1048576),"",INDEX(Main!G$4:G$1048576,MATCH(ROW(A49),Main!$C$4:$C$1048576,0)))="",IF(B51="","",C50),IF(ROW(A49)&gt;MAX(Main!$C$4:$C$1048576),"",INDEX(Main!G$4:G$1048576,MATCH(ROW(A49),Main!$C$4:$C$1048576,0))))</f>
        <v>99999857015</v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>-</v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>ー</v>
      </c>
      <c r="F51" s="1" t="str">
        <f t="shared" si="0"/>
        <v>else</v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>庄内町</v>
      </c>
      <c r="H51" s="10" t="str">
        <f>IF(ROW(G49)&gt;MAX(Main!$C$4:$C$1048576),"",INDEX(Main!K$4:K$1048576,MATCH(ROW(G49),Main!$C$4:$C$1048576,0)))</f>
        <v>99999857001関連</v>
      </c>
      <c r="I51" s="1">
        <f>IF(H51&lt;&gt;"",IF(ROW(G49)&gt;MAX(Main!$C$4:$C$1048576),"",INDEX(Main!N$4:N$1048576,MATCH(ROW(G49),Main!$C$4:$C$1048576,0))),"")</f>
        <v>99999857001</v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>関連</v>
      </c>
      <c r="K51" s="27" t="str">
        <f t="shared" si="1"/>
        <v>クラスターNo.857</v>
      </c>
      <c r="M51" s="4" t="str">
        <f>TEXT(IF(ROW(A49)&gt;MAX(Main!$D$4:$D$1048576),"",INDEX(Main!Q$4:Q$1048576,MATCH(ROW(A49),Main!$D$4:$D$1048576,0))), "yyyy/m/d")</f>
        <v>2022/12/15</v>
      </c>
      <c r="N51" s="1">
        <f>IF(IF(ROW(A49)&gt;MAX(Main!$D$4:$D$1048576),"",INDEX(Main!G$4:G$1048576,MATCH(ROW(A49),Main!$D$4:$D$1048576,0)))="",IF(M51="","",N50),IF(ROW(A49)&gt;MAX(Main!$D$4:$D$1048576),"",INDEX(Main!G$4:G$1048576,MATCH(ROW(A49),Main!$D$4:$D$1048576,0))))</f>
        <v>99999857015</v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>-</v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>ー</v>
      </c>
      <c r="Q51" s="1" t="str">
        <f t="shared" si="2"/>
        <v>else</v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>庄内町</v>
      </c>
      <c r="S51" s="9" t="str">
        <f>IF(ROW(G49)&gt;MAX(Main!$D$4:$D$1048576),"",INDEX(Main!K$4:K$1048576,MATCH(ROW(G49),Main!$D$4:$D$1048576,0)))</f>
        <v>99999857001関連</v>
      </c>
      <c r="T51" s="1">
        <f>IF(S51&lt;&gt;"",IF(ROW(G49)&gt;MAX(Main!$D$4:$D$1048576),"",INDEX(Main!N$4:N$1048576,MATCH(ROW(G49),Main!$D$4:$D$1048576,0))),"")</f>
        <v>99999857001</v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>関連</v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>2022/12/15</v>
      </c>
      <c r="C52" s="1">
        <f>IF(IF(ROW(A50)&gt;MAX(Main!$C$4:$C$1048576),"",INDEX(Main!G$4:G$1048576,MATCH(ROW(A50),Main!$C$4:$C$1048576,0)))="",IF(B52="","",C51),IF(ROW(A50)&gt;MAX(Main!$C$4:$C$1048576),"",INDEX(Main!G$4:G$1048576,MATCH(ROW(A50),Main!$C$4:$C$1048576,0))))</f>
        <v>99999857016</v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>-</v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>ー</v>
      </c>
      <c r="F52" s="1" t="str">
        <f t="shared" si="0"/>
        <v>else</v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>庄内町</v>
      </c>
      <c r="H52" s="10" t="str">
        <f>IF(ROW(G50)&gt;MAX(Main!$C$4:$C$1048576),"",INDEX(Main!K$4:K$1048576,MATCH(ROW(G50),Main!$C$4:$C$1048576,0)))</f>
        <v>99999857001関連</v>
      </c>
      <c r="I52" s="1">
        <f>IF(H52&lt;&gt;"",IF(ROW(G50)&gt;MAX(Main!$C$4:$C$1048576),"",INDEX(Main!N$4:N$1048576,MATCH(ROW(G50),Main!$C$4:$C$1048576,0))),"")</f>
        <v>99999857001</v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>関連</v>
      </c>
      <c r="K52" s="27" t="str">
        <f t="shared" si="1"/>
        <v>クラスターNo.857</v>
      </c>
      <c r="M52" s="4" t="str">
        <f>TEXT(IF(ROW(A50)&gt;MAX(Main!$D$4:$D$1048576),"",INDEX(Main!Q$4:Q$1048576,MATCH(ROW(A50),Main!$D$4:$D$1048576,0))), "yyyy/m/d")</f>
        <v>2022/12/15</v>
      </c>
      <c r="N52" s="1">
        <f>IF(IF(ROW(A50)&gt;MAX(Main!$D$4:$D$1048576),"",INDEX(Main!G$4:G$1048576,MATCH(ROW(A50),Main!$D$4:$D$1048576,0)))="",IF(M52="","",N51),IF(ROW(A50)&gt;MAX(Main!$D$4:$D$1048576),"",INDEX(Main!G$4:G$1048576,MATCH(ROW(A50),Main!$D$4:$D$1048576,0))))</f>
        <v>99999857016</v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>-</v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>ー</v>
      </c>
      <c r="Q52" s="1" t="str">
        <f t="shared" si="2"/>
        <v>else</v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>庄内町</v>
      </c>
      <c r="S52" s="9" t="str">
        <f>IF(ROW(G50)&gt;MAX(Main!$D$4:$D$1048576),"",INDEX(Main!K$4:K$1048576,MATCH(ROW(G50),Main!$D$4:$D$1048576,0)))</f>
        <v>99999857001関連</v>
      </c>
      <c r="T52" s="1">
        <f>IF(S52&lt;&gt;"",IF(ROW(G50)&gt;MAX(Main!$D$4:$D$1048576),"",INDEX(Main!N$4:N$1048576,MATCH(ROW(G50),Main!$D$4:$D$1048576,0))),"")</f>
        <v>99999857001</v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>関連</v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>2022/12/15</v>
      </c>
      <c r="C53" s="1">
        <f>IF(IF(ROW(A51)&gt;MAX(Main!$C$4:$C$1048576),"",INDEX(Main!G$4:G$1048576,MATCH(ROW(A51),Main!$C$4:$C$1048576,0)))="",IF(B53="","",C52),IF(ROW(A51)&gt;MAX(Main!$C$4:$C$1048576),"",INDEX(Main!G$4:G$1048576,MATCH(ROW(A51),Main!$C$4:$C$1048576,0))))</f>
        <v>99999857017</v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>-</v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>ー</v>
      </c>
      <c r="F53" s="1" t="str">
        <f t="shared" si="0"/>
        <v>else</v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>庄内町</v>
      </c>
      <c r="H53" s="10" t="str">
        <f>IF(ROW(G51)&gt;MAX(Main!$C$4:$C$1048576),"",INDEX(Main!K$4:K$1048576,MATCH(ROW(G51),Main!$C$4:$C$1048576,0)))</f>
        <v>99999857001関連</v>
      </c>
      <c r="I53" s="1">
        <f>IF(H53&lt;&gt;"",IF(ROW(G51)&gt;MAX(Main!$C$4:$C$1048576),"",INDEX(Main!N$4:N$1048576,MATCH(ROW(G51),Main!$C$4:$C$1048576,0))),"")</f>
        <v>99999857001</v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>関連</v>
      </c>
      <c r="K53" s="27" t="str">
        <f t="shared" si="1"/>
        <v>クラスターNo.857</v>
      </c>
      <c r="M53" s="4" t="str">
        <f>TEXT(IF(ROW(A51)&gt;MAX(Main!$D$4:$D$1048576),"",INDEX(Main!Q$4:Q$1048576,MATCH(ROW(A51),Main!$D$4:$D$1048576,0))), "yyyy/m/d")</f>
        <v>2022/12/15</v>
      </c>
      <c r="N53" s="1">
        <f>IF(IF(ROW(A51)&gt;MAX(Main!$D$4:$D$1048576),"",INDEX(Main!G$4:G$1048576,MATCH(ROW(A51),Main!$D$4:$D$1048576,0)))="",IF(M53="","",N52),IF(ROW(A51)&gt;MAX(Main!$D$4:$D$1048576),"",INDEX(Main!G$4:G$1048576,MATCH(ROW(A51),Main!$D$4:$D$1048576,0))))</f>
        <v>99999857017</v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>-</v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>ー</v>
      </c>
      <c r="Q53" s="1" t="str">
        <f t="shared" si="2"/>
        <v>else</v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>庄内町</v>
      </c>
      <c r="S53" s="9" t="str">
        <f>IF(ROW(G51)&gt;MAX(Main!$D$4:$D$1048576),"",INDEX(Main!K$4:K$1048576,MATCH(ROW(G51),Main!$D$4:$D$1048576,0)))</f>
        <v>99999857001関連</v>
      </c>
      <c r="T53" s="1">
        <f>IF(S53&lt;&gt;"",IF(ROW(G51)&gt;MAX(Main!$D$4:$D$1048576),"",INDEX(Main!N$4:N$1048576,MATCH(ROW(G51),Main!$D$4:$D$1048576,0))),"")</f>
        <v>99999857001</v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>関連</v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>2022/12/15</v>
      </c>
      <c r="C54" s="1">
        <f>IF(IF(ROW(A52)&gt;MAX(Main!$C$4:$C$1048576),"",INDEX(Main!G$4:G$1048576,MATCH(ROW(A52),Main!$C$4:$C$1048576,0)))="",IF(B54="","",C53),IF(ROW(A52)&gt;MAX(Main!$C$4:$C$1048576),"",INDEX(Main!G$4:G$1048576,MATCH(ROW(A52),Main!$C$4:$C$1048576,0))))</f>
        <v>99999857018</v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>-</v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>ー</v>
      </c>
      <c r="F54" s="1" t="str">
        <f t="shared" si="0"/>
        <v>else</v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>庄内町</v>
      </c>
      <c r="H54" s="10" t="str">
        <f>IF(ROW(G52)&gt;MAX(Main!$C$4:$C$1048576),"",INDEX(Main!K$4:K$1048576,MATCH(ROW(G52),Main!$C$4:$C$1048576,0)))</f>
        <v>99999857001関連</v>
      </c>
      <c r="I54" s="1">
        <f>IF(H54&lt;&gt;"",IF(ROW(G52)&gt;MAX(Main!$C$4:$C$1048576),"",INDEX(Main!N$4:N$1048576,MATCH(ROW(G52),Main!$C$4:$C$1048576,0))),"")</f>
        <v>99999857001</v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>関連</v>
      </c>
      <c r="K54" s="27" t="str">
        <f t="shared" si="1"/>
        <v>クラスターNo.857</v>
      </c>
      <c r="M54" s="4" t="str">
        <f>TEXT(IF(ROW(A52)&gt;MAX(Main!$D$4:$D$1048576),"",INDEX(Main!Q$4:Q$1048576,MATCH(ROW(A52),Main!$D$4:$D$1048576,0))), "yyyy/m/d")</f>
        <v>2022/12/15</v>
      </c>
      <c r="N54" s="1">
        <f>IF(IF(ROW(A52)&gt;MAX(Main!$D$4:$D$1048576),"",INDEX(Main!G$4:G$1048576,MATCH(ROW(A52),Main!$D$4:$D$1048576,0)))="",IF(M54="","",N53),IF(ROW(A52)&gt;MAX(Main!$D$4:$D$1048576),"",INDEX(Main!G$4:G$1048576,MATCH(ROW(A52),Main!$D$4:$D$1048576,0))))</f>
        <v>99999857018</v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>-</v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>ー</v>
      </c>
      <c r="Q54" s="1" t="str">
        <f t="shared" si="2"/>
        <v>else</v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>庄内町</v>
      </c>
      <c r="S54" s="9" t="str">
        <f>IF(ROW(G52)&gt;MAX(Main!$D$4:$D$1048576),"",INDEX(Main!K$4:K$1048576,MATCH(ROW(G52),Main!$D$4:$D$1048576,0)))</f>
        <v>99999857001関連</v>
      </c>
      <c r="T54" s="1">
        <f>IF(S54&lt;&gt;"",IF(ROW(G52)&gt;MAX(Main!$D$4:$D$1048576),"",INDEX(Main!N$4:N$1048576,MATCH(ROW(G52),Main!$D$4:$D$1048576,0))),"")</f>
        <v>99999857001</v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>関連</v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>2022/12/15</v>
      </c>
      <c r="C55" s="1">
        <f>IF(IF(ROW(A53)&gt;MAX(Main!$C$4:$C$1048576),"",INDEX(Main!G$4:G$1048576,MATCH(ROW(A53),Main!$C$4:$C$1048576,0)))="",IF(B55="","",C54),IF(ROW(A53)&gt;MAX(Main!$C$4:$C$1048576),"",INDEX(Main!G$4:G$1048576,MATCH(ROW(A53),Main!$C$4:$C$1048576,0))))</f>
        <v>99999857019</v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>-</v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>ー</v>
      </c>
      <c r="F55" s="1" t="str">
        <f t="shared" si="0"/>
        <v>else</v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>庄内町</v>
      </c>
      <c r="H55" s="10" t="str">
        <f>IF(ROW(G53)&gt;MAX(Main!$C$4:$C$1048576),"",INDEX(Main!K$4:K$1048576,MATCH(ROW(G53),Main!$C$4:$C$1048576,0)))</f>
        <v>99999857001関連</v>
      </c>
      <c r="I55" s="1">
        <f>IF(H55&lt;&gt;"",IF(ROW(G53)&gt;MAX(Main!$C$4:$C$1048576),"",INDEX(Main!N$4:N$1048576,MATCH(ROW(G53),Main!$C$4:$C$1048576,0))),"")</f>
        <v>99999857001</v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>関連</v>
      </c>
      <c r="K55" s="27" t="str">
        <f t="shared" si="1"/>
        <v>クラスターNo.857</v>
      </c>
      <c r="M55" s="4" t="str">
        <f>TEXT(IF(ROW(A53)&gt;MAX(Main!$D$4:$D$1048576),"",INDEX(Main!Q$4:Q$1048576,MATCH(ROW(A53),Main!$D$4:$D$1048576,0))), "yyyy/m/d")</f>
        <v>2022/12/15</v>
      </c>
      <c r="N55" s="1">
        <f>IF(IF(ROW(A53)&gt;MAX(Main!$D$4:$D$1048576),"",INDEX(Main!G$4:G$1048576,MATCH(ROW(A53),Main!$D$4:$D$1048576,0)))="",IF(M55="","",N54),IF(ROW(A53)&gt;MAX(Main!$D$4:$D$1048576),"",INDEX(Main!G$4:G$1048576,MATCH(ROW(A53),Main!$D$4:$D$1048576,0))))</f>
        <v>99999857019</v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>-</v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>ー</v>
      </c>
      <c r="Q55" s="1" t="str">
        <f t="shared" si="2"/>
        <v>else</v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>庄内町</v>
      </c>
      <c r="S55" s="9" t="str">
        <f>IF(ROW(G53)&gt;MAX(Main!$D$4:$D$1048576),"",INDEX(Main!K$4:K$1048576,MATCH(ROW(G53),Main!$D$4:$D$1048576,0)))</f>
        <v>99999857001関連</v>
      </c>
      <c r="T55" s="1">
        <f>IF(S55&lt;&gt;"",IF(ROW(G53)&gt;MAX(Main!$D$4:$D$1048576),"",INDEX(Main!N$4:N$1048576,MATCH(ROW(G53),Main!$D$4:$D$1048576,0))),"")</f>
        <v>99999857001</v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>関連</v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>2022/12/15</v>
      </c>
      <c r="C56" s="1">
        <f>IF(IF(ROW(A54)&gt;MAX(Main!$C$4:$C$1048576),"",INDEX(Main!G$4:G$1048576,MATCH(ROW(A54),Main!$C$4:$C$1048576,0)))="",IF(B56="","",C55),IF(ROW(A54)&gt;MAX(Main!$C$4:$C$1048576),"",INDEX(Main!G$4:G$1048576,MATCH(ROW(A54),Main!$C$4:$C$1048576,0))))</f>
        <v>99999857020</v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>-</v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>ー</v>
      </c>
      <c r="F56" s="1" t="str">
        <f t="shared" si="0"/>
        <v>else</v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>庄内町</v>
      </c>
      <c r="H56" s="10" t="str">
        <f>IF(ROW(G54)&gt;MAX(Main!$C$4:$C$1048576),"",INDEX(Main!K$4:K$1048576,MATCH(ROW(G54),Main!$C$4:$C$1048576,0)))</f>
        <v>99999857001関連</v>
      </c>
      <c r="I56" s="1">
        <f>IF(H56&lt;&gt;"",IF(ROW(G54)&gt;MAX(Main!$C$4:$C$1048576),"",INDEX(Main!N$4:N$1048576,MATCH(ROW(G54),Main!$C$4:$C$1048576,0))),"")</f>
        <v>99999857001</v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>関連</v>
      </c>
      <c r="K56" s="27" t="str">
        <f t="shared" si="1"/>
        <v>クラスターNo.857</v>
      </c>
      <c r="M56" s="4" t="str">
        <f>TEXT(IF(ROW(A54)&gt;MAX(Main!$D$4:$D$1048576),"",INDEX(Main!Q$4:Q$1048576,MATCH(ROW(A54),Main!$D$4:$D$1048576,0))), "yyyy/m/d")</f>
        <v>2022/12/15</v>
      </c>
      <c r="N56" s="1">
        <f>IF(IF(ROW(A54)&gt;MAX(Main!$D$4:$D$1048576),"",INDEX(Main!G$4:G$1048576,MATCH(ROW(A54),Main!$D$4:$D$1048576,0)))="",IF(M56="","",N55),IF(ROW(A54)&gt;MAX(Main!$D$4:$D$1048576),"",INDEX(Main!G$4:G$1048576,MATCH(ROW(A54),Main!$D$4:$D$1048576,0))))</f>
        <v>99999857020</v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>-</v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>ー</v>
      </c>
      <c r="Q56" s="1" t="str">
        <f t="shared" si="2"/>
        <v>else</v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>庄内町</v>
      </c>
      <c r="S56" s="9" t="str">
        <f>IF(ROW(G54)&gt;MAX(Main!$D$4:$D$1048576),"",INDEX(Main!K$4:K$1048576,MATCH(ROW(G54),Main!$D$4:$D$1048576,0)))</f>
        <v>99999857001関連</v>
      </c>
      <c r="T56" s="1">
        <f>IF(S56&lt;&gt;"",IF(ROW(G54)&gt;MAX(Main!$D$4:$D$1048576),"",INDEX(Main!N$4:N$1048576,MATCH(ROW(G54),Main!$D$4:$D$1048576,0))),"")</f>
        <v>99999857001</v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>関連</v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>2022/12/15</v>
      </c>
      <c r="C57" s="1">
        <f>IF(IF(ROW(A55)&gt;MAX(Main!$C$4:$C$1048576),"",INDEX(Main!G$4:G$1048576,MATCH(ROW(A55),Main!$C$4:$C$1048576,0)))="",IF(B57="","",C56),IF(ROW(A55)&gt;MAX(Main!$C$4:$C$1048576),"",INDEX(Main!G$4:G$1048576,MATCH(ROW(A55),Main!$C$4:$C$1048576,0))))</f>
        <v>99999858001</v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>-</v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>ー</v>
      </c>
      <c r="F57" s="1" t="str">
        <f t="shared" si="0"/>
        <v>else</v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>遊佐町</v>
      </c>
      <c r="H57" s="10" t="str">
        <f>IF(ROW(G55)&gt;MAX(Main!$C$4:$C$1048576),"",INDEX(Main!K$4:K$1048576,MATCH(ROW(G55),Main!$C$4:$C$1048576,0)))</f>
        <v>99999858001介護施設</v>
      </c>
      <c r="I57" s="1">
        <f>IF(H57&lt;&gt;"",IF(ROW(G55)&gt;MAX(Main!$C$4:$C$1048576),"",INDEX(Main!N$4:N$1048576,MATCH(ROW(G55),Main!$C$4:$C$1048576,0))),"")</f>
        <v>99999858001</v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>介護施設</v>
      </c>
      <c r="K57" s="27" t="str">
        <f t="shared" si="1"/>
        <v>クラスターNo.858</v>
      </c>
      <c r="M57" s="4" t="str">
        <f>TEXT(IF(ROW(A55)&gt;MAX(Main!$D$4:$D$1048576),"",INDEX(Main!Q$4:Q$1048576,MATCH(ROW(A55),Main!$D$4:$D$1048576,0))), "yyyy/m/d")</f>
        <v>2022/12/15</v>
      </c>
      <c r="N57" s="1">
        <f>IF(IF(ROW(A55)&gt;MAX(Main!$D$4:$D$1048576),"",INDEX(Main!G$4:G$1048576,MATCH(ROW(A55),Main!$D$4:$D$1048576,0)))="",IF(M57="","",N56),IF(ROW(A55)&gt;MAX(Main!$D$4:$D$1048576),"",INDEX(Main!G$4:G$1048576,MATCH(ROW(A55),Main!$D$4:$D$1048576,0))))</f>
        <v>99999858001</v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>-</v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>ー</v>
      </c>
      <c r="Q57" s="1" t="str">
        <f t="shared" si="2"/>
        <v>else</v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>遊佐町</v>
      </c>
      <c r="S57" s="9" t="str">
        <f>IF(ROW(G55)&gt;MAX(Main!$D$4:$D$1048576),"",INDEX(Main!K$4:K$1048576,MATCH(ROW(G55),Main!$D$4:$D$1048576,0)))</f>
        <v>99999858001介護施設</v>
      </c>
      <c r="T57" s="1">
        <f>IF(S57&lt;&gt;"",IF(ROW(G55)&gt;MAX(Main!$D$4:$D$1048576),"",INDEX(Main!N$4:N$1048576,MATCH(ROW(G55),Main!$D$4:$D$1048576,0))),"")</f>
        <v>99999858001</v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>介護施設</v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>2022/12/15</v>
      </c>
      <c r="C58" s="1">
        <f>IF(IF(ROW(A56)&gt;MAX(Main!$C$4:$C$1048576),"",INDEX(Main!G$4:G$1048576,MATCH(ROW(A56),Main!$C$4:$C$1048576,0)))="",IF(B58="","",C57),IF(ROW(A56)&gt;MAX(Main!$C$4:$C$1048576),"",INDEX(Main!G$4:G$1048576,MATCH(ROW(A56),Main!$C$4:$C$1048576,0))))</f>
        <v>99999858002</v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>-</v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>ー</v>
      </c>
      <c r="F58" s="1" t="str">
        <f t="shared" si="0"/>
        <v>else</v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>遊佐町</v>
      </c>
      <c r="H58" s="10" t="str">
        <f>IF(ROW(G56)&gt;MAX(Main!$C$4:$C$1048576),"",INDEX(Main!K$4:K$1048576,MATCH(ROW(G56),Main!$C$4:$C$1048576,0)))</f>
        <v>99999858001関連</v>
      </c>
      <c r="I58" s="1">
        <f>IF(H58&lt;&gt;"",IF(ROW(G56)&gt;MAX(Main!$C$4:$C$1048576),"",INDEX(Main!N$4:N$1048576,MATCH(ROW(G56),Main!$C$4:$C$1048576,0))),"")</f>
        <v>99999858001</v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>関連</v>
      </c>
      <c r="K58" s="27" t="str">
        <f t="shared" si="1"/>
        <v>クラスターNo.858</v>
      </c>
      <c r="M58" s="4" t="str">
        <f>TEXT(IF(ROW(A56)&gt;MAX(Main!$D$4:$D$1048576),"",INDEX(Main!Q$4:Q$1048576,MATCH(ROW(A56),Main!$D$4:$D$1048576,0))), "yyyy/m/d")</f>
        <v>2022/12/15</v>
      </c>
      <c r="N58" s="1">
        <f>IF(IF(ROW(A56)&gt;MAX(Main!$D$4:$D$1048576),"",INDEX(Main!G$4:G$1048576,MATCH(ROW(A56),Main!$D$4:$D$1048576,0)))="",IF(M58="","",N57),IF(ROW(A56)&gt;MAX(Main!$D$4:$D$1048576),"",INDEX(Main!G$4:G$1048576,MATCH(ROW(A56),Main!$D$4:$D$1048576,0))))</f>
        <v>99999858002</v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>-</v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>ー</v>
      </c>
      <c r="Q58" s="1" t="str">
        <f t="shared" si="2"/>
        <v>else</v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>遊佐町</v>
      </c>
      <c r="S58" s="9" t="str">
        <f>IF(ROW(G56)&gt;MAX(Main!$D$4:$D$1048576),"",INDEX(Main!K$4:K$1048576,MATCH(ROW(G56),Main!$D$4:$D$1048576,0)))</f>
        <v>99999858001関連</v>
      </c>
      <c r="T58" s="1">
        <f>IF(S58&lt;&gt;"",IF(ROW(G56)&gt;MAX(Main!$D$4:$D$1048576),"",INDEX(Main!N$4:N$1048576,MATCH(ROW(G56),Main!$D$4:$D$1048576,0))),"")</f>
        <v>99999858001</v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>関連</v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>2022/12/15</v>
      </c>
      <c r="C59" s="1">
        <f>IF(IF(ROW(A57)&gt;MAX(Main!$C$4:$C$1048576),"",INDEX(Main!G$4:G$1048576,MATCH(ROW(A57),Main!$C$4:$C$1048576,0)))="",IF(B59="","",C58),IF(ROW(A57)&gt;MAX(Main!$C$4:$C$1048576),"",INDEX(Main!G$4:G$1048576,MATCH(ROW(A57),Main!$C$4:$C$1048576,0))))</f>
        <v>99999858003</v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>-</v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>ー</v>
      </c>
      <c r="F59" s="1" t="str">
        <f t="shared" si="0"/>
        <v>else</v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>遊佐町</v>
      </c>
      <c r="H59" s="10" t="str">
        <f>IF(ROW(G57)&gt;MAX(Main!$C$4:$C$1048576),"",INDEX(Main!K$4:K$1048576,MATCH(ROW(G57),Main!$C$4:$C$1048576,0)))</f>
        <v>99999858001関連</v>
      </c>
      <c r="I59" s="1">
        <f>IF(H59&lt;&gt;"",IF(ROW(G57)&gt;MAX(Main!$C$4:$C$1048576),"",INDEX(Main!N$4:N$1048576,MATCH(ROW(G57),Main!$C$4:$C$1048576,0))),"")</f>
        <v>99999858001</v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>関連</v>
      </c>
      <c r="K59" s="27" t="str">
        <f t="shared" si="1"/>
        <v>クラスターNo.858</v>
      </c>
      <c r="M59" s="4" t="str">
        <f>TEXT(IF(ROW(A57)&gt;MAX(Main!$D$4:$D$1048576),"",INDEX(Main!Q$4:Q$1048576,MATCH(ROW(A57),Main!$D$4:$D$1048576,0))), "yyyy/m/d")</f>
        <v>2022/12/15</v>
      </c>
      <c r="N59" s="1">
        <f>IF(IF(ROW(A57)&gt;MAX(Main!$D$4:$D$1048576),"",INDEX(Main!G$4:G$1048576,MATCH(ROW(A57),Main!$D$4:$D$1048576,0)))="",IF(M59="","",N58),IF(ROW(A57)&gt;MAX(Main!$D$4:$D$1048576),"",INDEX(Main!G$4:G$1048576,MATCH(ROW(A57),Main!$D$4:$D$1048576,0))))</f>
        <v>99999858003</v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>-</v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>ー</v>
      </c>
      <c r="Q59" s="1" t="str">
        <f t="shared" si="2"/>
        <v>else</v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>遊佐町</v>
      </c>
      <c r="S59" s="9" t="str">
        <f>IF(ROW(G57)&gt;MAX(Main!$D$4:$D$1048576),"",INDEX(Main!K$4:K$1048576,MATCH(ROW(G57),Main!$D$4:$D$1048576,0)))</f>
        <v>99999858001関連</v>
      </c>
      <c r="T59" s="1">
        <f>IF(S59&lt;&gt;"",IF(ROW(G57)&gt;MAX(Main!$D$4:$D$1048576),"",INDEX(Main!N$4:N$1048576,MATCH(ROW(G57),Main!$D$4:$D$1048576,0))),"")</f>
        <v>99999858001</v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>関連</v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>2022/12/15</v>
      </c>
      <c r="C60" s="1">
        <f>IF(IF(ROW(A58)&gt;MAX(Main!$C$4:$C$1048576),"",INDEX(Main!G$4:G$1048576,MATCH(ROW(A58),Main!$C$4:$C$1048576,0)))="",IF(B60="","",C59),IF(ROW(A58)&gt;MAX(Main!$C$4:$C$1048576),"",INDEX(Main!G$4:G$1048576,MATCH(ROW(A58),Main!$C$4:$C$1048576,0))))</f>
        <v>99999858004</v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>-</v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>ー</v>
      </c>
      <c r="F60" s="1" t="str">
        <f t="shared" si="0"/>
        <v>else</v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>遊佐町</v>
      </c>
      <c r="H60" s="10" t="str">
        <f>IF(ROW(G58)&gt;MAX(Main!$C$4:$C$1048576),"",INDEX(Main!K$4:K$1048576,MATCH(ROW(G58),Main!$C$4:$C$1048576,0)))</f>
        <v>99999858001関連</v>
      </c>
      <c r="I60" s="1">
        <f>IF(H60&lt;&gt;"",IF(ROW(G58)&gt;MAX(Main!$C$4:$C$1048576),"",INDEX(Main!N$4:N$1048576,MATCH(ROW(G58),Main!$C$4:$C$1048576,0))),"")</f>
        <v>99999858001</v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>関連</v>
      </c>
      <c r="K60" s="27" t="str">
        <f t="shared" si="1"/>
        <v>クラスターNo.858</v>
      </c>
      <c r="M60" s="4" t="str">
        <f>TEXT(IF(ROW(A58)&gt;MAX(Main!$D$4:$D$1048576),"",INDEX(Main!Q$4:Q$1048576,MATCH(ROW(A58),Main!$D$4:$D$1048576,0))), "yyyy/m/d")</f>
        <v>2022/12/15</v>
      </c>
      <c r="N60" s="1">
        <f>IF(IF(ROW(A58)&gt;MAX(Main!$D$4:$D$1048576),"",INDEX(Main!G$4:G$1048576,MATCH(ROW(A58),Main!$D$4:$D$1048576,0)))="",IF(M60="","",N59),IF(ROW(A58)&gt;MAX(Main!$D$4:$D$1048576),"",INDEX(Main!G$4:G$1048576,MATCH(ROW(A58),Main!$D$4:$D$1048576,0))))</f>
        <v>99999858004</v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>-</v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>ー</v>
      </c>
      <c r="Q60" s="1" t="str">
        <f t="shared" si="2"/>
        <v>else</v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>遊佐町</v>
      </c>
      <c r="S60" s="9" t="str">
        <f>IF(ROW(G58)&gt;MAX(Main!$D$4:$D$1048576),"",INDEX(Main!K$4:K$1048576,MATCH(ROW(G58),Main!$D$4:$D$1048576,0)))</f>
        <v>99999858001関連</v>
      </c>
      <c r="T60" s="1">
        <f>IF(S60&lt;&gt;"",IF(ROW(G58)&gt;MAX(Main!$D$4:$D$1048576),"",INDEX(Main!N$4:N$1048576,MATCH(ROW(G58),Main!$D$4:$D$1048576,0))),"")</f>
        <v>99999858001</v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>関連</v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>2022/12/15</v>
      </c>
      <c r="C61" s="1">
        <f>IF(IF(ROW(A59)&gt;MAX(Main!$C$4:$C$1048576),"",INDEX(Main!G$4:G$1048576,MATCH(ROW(A59),Main!$C$4:$C$1048576,0)))="",IF(B61="","",C60),IF(ROW(A59)&gt;MAX(Main!$C$4:$C$1048576),"",INDEX(Main!G$4:G$1048576,MATCH(ROW(A59),Main!$C$4:$C$1048576,0))))</f>
        <v>99999858005</v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>-</v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>ー</v>
      </c>
      <c r="F61" s="1" t="str">
        <f t="shared" si="0"/>
        <v>else</v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>遊佐町</v>
      </c>
      <c r="H61" s="10" t="str">
        <f>IF(ROW(G59)&gt;MAX(Main!$C$4:$C$1048576),"",INDEX(Main!K$4:K$1048576,MATCH(ROW(G59),Main!$C$4:$C$1048576,0)))</f>
        <v>99999858001関連</v>
      </c>
      <c r="I61" s="1">
        <f>IF(H61&lt;&gt;"",IF(ROW(G59)&gt;MAX(Main!$C$4:$C$1048576),"",INDEX(Main!N$4:N$1048576,MATCH(ROW(G59),Main!$C$4:$C$1048576,0))),"")</f>
        <v>99999858001</v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>関連</v>
      </c>
      <c r="K61" s="27" t="str">
        <f t="shared" si="1"/>
        <v>クラスターNo.858</v>
      </c>
      <c r="M61" s="4" t="str">
        <f>TEXT(IF(ROW(A59)&gt;MAX(Main!$D$4:$D$1048576),"",INDEX(Main!Q$4:Q$1048576,MATCH(ROW(A59),Main!$D$4:$D$1048576,0))), "yyyy/m/d")</f>
        <v>2022/12/15</v>
      </c>
      <c r="N61" s="1">
        <f>IF(IF(ROW(A59)&gt;MAX(Main!$D$4:$D$1048576),"",INDEX(Main!G$4:G$1048576,MATCH(ROW(A59),Main!$D$4:$D$1048576,0)))="",IF(M61="","",N60),IF(ROW(A59)&gt;MAX(Main!$D$4:$D$1048576),"",INDEX(Main!G$4:G$1048576,MATCH(ROW(A59),Main!$D$4:$D$1048576,0))))</f>
        <v>99999858005</v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>-</v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>ー</v>
      </c>
      <c r="Q61" s="1" t="str">
        <f t="shared" si="2"/>
        <v>else</v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>遊佐町</v>
      </c>
      <c r="S61" s="9" t="str">
        <f>IF(ROW(G59)&gt;MAX(Main!$D$4:$D$1048576),"",INDEX(Main!K$4:K$1048576,MATCH(ROW(G59),Main!$D$4:$D$1048576,0)))</f>
        <v>99999858001関連</v>
      </c>
      <c r="T61" s="1">
        <f>IF(S61&lt;&gt;"",IF(ROW(G59)&gt;MAX(Main!$D$4:$D$1048576),"",INDEX(Main!N$4:N$1048576,MATCH(ROW(G59),Main!$D$4:$D$1048576,0))),"")</f>
        <v>99999858001</v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>関連</v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>2022/12/15</v>
      </c>
      <c r="C62" s="1">
        <f>IF(IF(ROW(A60)&gt;MAX(Main!$C$4:$C$1048576),"",INDEX(Main!G$4:G$1048576,MATCH(ROW(A60),Main!$C$4:$C$1048576,0)))="",IF(B62="","",C61),IF(ROW(A60)&gt;MAX(Main!$C$4:$C$1048576),"",INDEX(Main!G$4:G$1048576,MATCH(ROW(A60),Main!$C$4:$C$1048576,0))))</f>
        <v>99999858006</v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>-</v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>ー</v>
      </c>
      <c r="F62" s="1" t="str">
        <f t="shared" si="0"/>
        <v>else</v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>遊佐町</v>
      </c>
      <c r="H62" s="10" t="str">
        <f>IF(ROW(G60)&gt;MAX(Main!$C$4:$C$1048576),"",INDEX(Main!K$4:K$1048576,MATCH(ROW(G60),Main!$C$4:$C$1048576,0)))</f>
        <v>99999858001関連</v>
      </c>
      <c r="I62" s="1">
        <f>IF(H62&lt;&gt;"",IF(ROW(G60)&gt;MAX(Main!$C$4:$C$1048576),"",INDEX(Main!N$4:N$1048576,MATCH(ROW(G60),Main!$C$4:$C$1048576,0))),"")</f>
        <v>99999858001</v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>関連</v>
      </c>
      <c r="K62" s="27" t="str">
        <f t="shared" si="1"/>
        <v>クラスターNo.858</v>
      </c>
      <c r="M62" s="4" t="str">
        <f>TEXT(IF(ROW(A60)&gt;MAX(Main!$D$4:$D$1048576),"",INDEX(Main!Q$4:Q$1048576,MATCH(ROW(A60),Main!$D$4:$D$1048576,0))), "yyyy/m/d")</f>
        <v>2022/12/15</v>
      </c>
      <c r="N62" s="1">
        <f>IF(IF(ROW(A60)&gt;MAX(Main!$D$4:$D$1048576),"",INDEX(Main!G$4:G$1048576,MATCH(ROW(A60),Main!$D$4:$D$1048576,0)))="",IF(M62="","",N61),IF(ROW(A60)&gt;MAX(Main!$D$4:$D$1048576),"",INDEX(Main!G$4:G$1048576,MATCH(ROW(A60),Main!$D$4:$D$1048576,0))))</f>
        <v>99999858006</v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>-</v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>ー</v>
      </c>
      <c r="Q62" s="1" t="str">
        <f t="shared" si="2"/>
        <v>else</v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>遊佐町</v>
      </c>
      <c r="S62" s="9" t="str">
        <f>IF(ROW(G60)&gt;MAX(Main!$D$4:$D$1048576),"",INDEX(Main!K$4:K$1048576,MATCH(ROW(G60),Main!$D$4:$D$1048576,0)))</f>
        <v>99999858001関連</v>
      </c>
      <c r="T62" s="1">
        <f>IF(S62&lt;&gt;"",IF(ROW(G60)&gt;MAX(Main!$D$4:$D$1048576),"",INDEX(Main!N$4:N$1048576,MATCH(ROW(G60),Main!$D$4:$D$1048576,0))),"")</f>
        <v>99999858001</v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>関連</v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>2022/12/15</v>
      </c>
      <c r="C63" s="1">
        <f>IF(IF(ROW(A61)&gt;MAX(Main!$C$4:$C$1048576),"",INDEX(Main!G$4:G$1048576,MATCH(ROW(A61),Main!$C$4:$C$1048576,0)))="",IF(B63="","",C62),IF(ROW(A61)&gt;MAX(Main!$C$4:$C$1048576),"",INDEX(Main!G$4:G$1048576,MATCH(ROW(A61),Main!$C$4:$C$1048576,0))))</f>
        <v>99999858007</v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>-</v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>ー</v>
      </c>
      <c r="F63" s="1" t="str">
        <f t="shared" si="0"/>
        <v>else</v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>遊佐町</v>
      </c>
      <c r="H63" s="10" t="str">
        <f>IF(ROW(G61)&gt;MAX(Main!$C$4:$C$1048576),"",INDEX(Main!K$4:K$1048576,MATCH(ROW(G61),Main!$C$4:$C$1048576,0)))</f>
        <v>99999858001関連</v>
      </c>
      <c r="I63" s="1">
        <f>IF(H63&lt;&gt;"",IF(ROW(G61)&gt;MAX(Main!$C$4:$C$1048576),"",INDEX(Main!N$4:N$1048576,MATCH(ROW(G61),Main!$C$4:$C$1048576,0))),"")</f>
        <v>99999858001</v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>関連</v>
      </c>
      <c r="K63" s="27" t="str">
        <f t="shared" si="1"/>
        <v>クラスターNo.858</v>
      </c>
      <c r="M63" s="4" t="str">
        <f>TEXT(IF(ROW(A61)&gt;MAX(Main!$D$4:$D$1048576),"",INDEX(Main!Q$4:Q$1048576,MATCH(ROW(A61),Main!$D$4:$D$1048576,0))), "yyyy/m/d")</f>
        <v>2022/12/15</v>
      </c>
      <c r="N63" s="1">
        <f>IF(IF(ROW(A61)&gt;MAX(Main!$D$4:$D$1048576),"",INDEX(Main!G$4:G$1048576,MATCH(ROW(A61),Main!$D$4:$D$1048576,0)))="",IF(M63="","",N62),IF(ROW(A61)&gt;MAX(Main!$D$4:$D$1048576),"",INDEX(Main!G$4:G$1048576,MATCH(ROW(A61),Main!$D$4:$D$1048576,0))))</f>
        <v>99999858007</v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>-</v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>ー</v>
      </c>
      <c r="Q63" s="1" t="str">
        <f t="shared" si="2"/>
        <v>else</v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>遊佐町</v>
      </c>
      <c r="S63" s="9" t="str">
        <f>IF(ROW(G61)&gt;MAX(Main!$D$4:$D$1048576),"",INDEX(Main!K$4:K$1048576,MATCH(ROW(G61),Main!$D$4:$D$1048576,0)))</f>
        <v>99999858001関連</v>
      </c>
      <c r="T63" s="1">
        <f>IF(S63&lt;&gt;"",IF(ROW(G61)&gt;MAX(Main!$D$4:$D$1048576),"",INDEX(Main!N$4:N$1048576,MATCH(ROW(G61),Main!$D$4:$D$1048576,0))),"")</f>
        <v>99999858001</v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>関連</v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>2022/12/15</v>
      </c>
      <c r="C64" s="1">
        <f>IF(IF(ROW(A62)&gt;MAX(Main!$C$4:$C$1048576),"",INDEX(Main!G$4:G$1048576,MATCH(ROW(A62),Main!$C$4:$C$1048576,0)))="",IF(B64="","",C63),IF(ROW(A62)&gt;MAX(Main!$C$4:$C$1048576),"",INDEX(Main!G$4:G$1048576,MATCH(ROW(A62),Main!$C$4:$C$1048576,0))))</f>
        <v>99999858008</v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>-</v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>ー</v>
      </c>
      <c r="F64" s="1" t="str">
        <f t="shared" si="0"/>
        <v>else</v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>遊佐町</v>
      </c>
      <c r="H64" s="10" t="str">
        <f>IF(ROW(G62)&gt;MAX(Main!$C$4:$C$1048576),"",INDEX(Main!K$4:K$1048576,MATCH(ROW(G62),Main!$C$4:$C$1048576,0)))</f>
        <v>99999858001関連</v>
      </c>
      <c r="I64" s="1">
        <f>IF(H64&lt;&gt;"",IF(ROW(G62)&gt;MAX(Main!$C$4:$C$1048576),"",INDEX(Main!N$4:N$1048576,MATCH(ROW(G62),Main!$C$4:$C$1048576,0))),"")</f>
        <v>99999858001</v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>関連</v>
      </c>
      <c r="K64" s="27" t="str">
        <f t="shared" si="1"/>
        <v>クラスターNo.858</v>
      </c>
      <c r="M64" s="4" t="str">
        <f>TEXT(IF(ROW(A62)&gt;MAX(Main!$D$4:$D$1048576),"",INDEX(Main!Q$4:Q$1048576,MATCH(ROW(A62),Main!$D$4:$D$1048576,0))), "yyyy/m/d")</f>
        <v>2022/12/15</v>
      </c>
      <c r="N64" s="1">
        <f>IF(IF(ROW(A62)&gt;MAX(Main!$D$4:$D$1048576),"",INDEX(Main!G$4:G$1048576,MATCH(ROW(A62),Main!$D$4:$D$1048576,0)))="",IF(M64="","",N63),IF(ROW(A62)&gt;MAX(Main!$D$4:$D$1048576),"",INDEX(Main!G$4:G$1048576,MATCH(ROW(A62),Main!$D$4:$D$1048576,0))))</f>
        <v>99999858008</v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>-</v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>ー</v>
      </c>
      <c r="Q64" s="1" t="str">
        <f t="shared" si="2"/>
        <v>else</v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>遊佐町</v>
      </c>
      <c r="S64" s="9" t="str">
        <f>IF(ROW(G62)&gt;MAX(Main!$D$4:$D$1048576),"",INDEX(Main!K$4:K$1048576,MATCH(ROW(G62),Main!$D$4:$D$1048576,0)))</f>
        <v>99999858001関連</v>
      </c>
      <c r="T64" s="1">
        <f>IF(S64&lt;&gt;"",IF(ROW(G62)&gt;MAX(Main!$D$4:$D$1048576),"",INDEX(Main!N$4:N$1048576,MATCH(ROW(G62),Main!$D$4:$D$1048576,0))),"")</f>
        <v>99999858001</v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>関連</v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>2022/12/15</v>
      </c>
      <c r="C65" s="1">
        <f>IF(IF(ROW(A63)&gt;MAX(Main!$C$4:$C$1048576),"",INDEX(Main!G$4:G$1048576,MATCH(ROW(A63),Main!$C$4:$C$1048576,0)))="",IF(B65="","",C64),IF(ROW(A63)&gt;MAX(Main!$C$4:$C$1048576),"",INDEX(Main!G$4:G$1048576,MATCH(ROW(A63),Main!$C$4:$C$1048576,0))))</f>
        <v>99999858009</v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>-</v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>ー</v>
      </c>
      <c r="F65" s="1" t="str">
        <f t="shared" si="0"/>
        <v>else</v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>遊佐町</v>
      </c>
      <c r="H65" s="10" t="str">
        <f>IF(ROW(G63)&gt;MAX(Main!$C$4:$C$1048576),"",INDEX(Main!K$4:K$1048576,MATCH(ROW(G63),Main!$C$4:$C$1048576,0)))</f>
        <v>99999858001関連</v>
      </c>
      <c r="I65" s="1">
        <f>IF(H65&lt;&gt;"",IF(ROW(G63)&gt;MAX(Main!$C$4:$C$1048576),"",INDEX(Main!N$4:N$1048576,MATCH(ROW(G63),Main!$C$4:$C$1048576,0))),"")</f>
        <v>99999858001</v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>関連</v>
      </c>
      <c r="K65" s="27" t="str">
        <f t="shared" si="1"/>
        <v>クラスターNo.858</v>
      </c>
      <c r="M65" s="4" t="str">
        <f>TEXT(IF(ROW(A63)&gt;MAX(Main!$D$4:$D$1048576),"",INDEX(Main!Q$4:Q$1048576,MATCH(ROW(A63),Main!$D$4:$D$1048576,0))), "yyyy/m/d")</f>
        <v>2022/12/15</v>
      </c>
      <c r="N65" s="1">
        <f>IF(IF(ROW(A63)&gt;MAX(Main!$D$4:$D$1048576),"",INDEX(Main!G$4:G$1048576,MATCH(ROW(A63),Main!$D$4:$D$1048576,0)))="",IF(M65="","",N64),IF(ROW(A63)&gt;MAX(Main!$D$4:$D$1048576),"",INDEX(Main!G$4:G$1048576,MATCH(ROW(A63),Main!$D$4:$D$1048576,0))))</f>
        <v>99999858009</v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>-</v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>ー</v>
      </c>
      <c r="Q65" s="1" t="str">
        <f t="shared" si="2"/>
        <v>else</v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>遊佐町</v>
      </c>
      <c r="S65" s="9" t="str">
        <f>IF(ROW(G63)&gt;MAX(Main!$D$4:$D$1048576),"",INDEX(Main!K$4:K$1048576,MATCH(ROW(G63),Main!$D$4:$D$1048576,0)))</f>
        <v>99999858001関連</v>
      </c>
      <c r="T65" s="1">
        <f>IF(S65&lt;&gt;"",IF(ROW(G63)&gt;MAX(Main!$D$4:$D$1048576),"",INDEX(Main!N$4:N$1048576,MATCH(ROW(G63),Main!$D$4:$D$1048576,0))),"")</f>
        <v>99999858001</v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>関連</v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>2022/12/15</v>
      </c>
      <c r="C66" s="1">
        <f>IF(IF(ROW(A64)&gt;MAX(Main!$C$4:$C$1048576),"",INDEX(Main!G$4:G$1048576,MATCH(ROW(A64),Main!$C$4:$C$1048576,0)))="",IF(B66="","",C65),IF(ROW(A64)&gt;MAX(Main!$C$4:$C$1048576),"",INDEX(Main!G$4:G$1048576,MATCH(ROW(A64),Main!$C$4:$C$1048576,0))))</f>
        <v>99999858010</v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>-</v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>ー</v>
      </c>
      <c r="F66" s="1" t="str">
        <f t="shared" si="0"/>
        <v>else</v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>遊佐町</v>
      </c>
      <c r="H66" s="10" t="str">
        <f>IF(ROW(G64)&gt;MAX(Main!$C$4:$C$1048576),"",INDEX(Main!K$4:K$1048576,MATCH(ROW(G64),Main!$C$4:$C$1048576,0)))</f>
        <v>99999858001関連</v>
      </c>
      <c r="I66" s="1">
        <f>IF(H66&lt;&gt;"",IF(ROW(G64)&gt;MAX(Main!$C$4:$C$1048576),"",INDEX(Main!N$4:N$1048576,MATCH(ROW(G64),Main!$C$4:$C$1048576,0))),"")</f>
        <v>99999858001</v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>関連</v>
      </c>
      <c r="K66" s="27" t="str">
        <f t="shared" si="1"/>
        <v>クラスターNo.858</v>
      </c>
      <c r="M66" s="4" t="str">
        <f>TEXT(IF(ROW(A64)&gt;MAX(Main!$D$4:$D$1048576),"",INDEX(Main!Q$4:Q$1048576,MATCH(ROW(A64),Main!$D$4:$D$1048576,0))), "yyyy/m/d")</f>
        <v>2022/12/15</v>
      </c>
      <c r="N66" s="1">
        <f>IF(IF(ROW(A64)&gt;MAX(Main!$D$4:$D$1048576),"",INDEX(Main!G$4:G$1048576,MATCH(ROW(A64),Main!$D$4:$D$1048576,0)))="",IF(M66="","",N65),IF(ROW(A64)&gt;MAX(Main!$D$4:$D$1048576),"",INDEX(Main!G$4:G$1048576,MATCH(ROW(A64),Main!$D$4:$D$1048576,0))))</f>
        <v>99999858010</v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>-</v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>ー</v>
      </c>
      <c r="Q66" s="1" t="str">
        <f t="shared" si="2"/>
        <v>else</v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>遊佐町</v>
      </c>
      <c r="S66" s="9" t="str">
        <f>IF(ROW(G64)&gt;MAX(Main!$D$4:$D$1048576),"",INDEX(Main!K$4:K$1048576,MATCH(ROW(G64),Main!$D$4:$D$1048576,0)))</f>
        <v>99999858001関連</v>
      </c>
      <c r="T66" s="1">
        <f>IF(S66&lt;&gt;"",IF(ROW(G64)&gt;MAX(Main!$D$4:$D$1048576),"",INDEX(Main!N$4:N$1048576,MATCH(ROW(G64),Main!$D$4:$D$1048576,0))),"")</f>
        <v>99999858001</v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>関連</v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>2022/12/15</v>
      </c>
      <c r="C67" s="1">
        <f>IF(IF(ROW(A65)&gt;MAX(Main!$C$4:$C$1048576),"",INDEX(Main!G$4:G$1048576,MATCH(ROW(A65),Main!$C$4:$C$1048576,0)))="",IF(B67="","",C66),IF(ROW(A65)&gt;MAX(Main!$C$4:$C$1048576),"",INDEX(Main!G$4:G$1048576,MATCH(ROW(A65),Main!$C$4:$C$1048576,0))))</f>
        <v>99999858011</v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>-</v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>ー</v>
      </c>
      <c r="F67" s="1" t="str">
        <f t="shared" ref="F67:F130" si="3">IF(E67&lt;&gt;"",IF(E67="男性","male",IF(E67="女性","female","else")),"")</f>
        <v>else</v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>遊佐町</v>
      </c>
      <c r="H67" s="10" t="str">
        <f>IF(ROW(G65)&gt;MAX(Main!$C$4:$C$1048576),"",INDEX(Main!K$4:K$1048576,MATCH(ROW(G65),Main!$C$4:$C$1048576,0)))</f>
        <v>99999858001関連</v>
      </c>
      <c r="I67" s="1">
        <f>IF(H67&lt;&gt;"",IF(ROW(G65)&gt;MAX(Main!$C$4:$C$1048576),"",INDEX(Main!N$4:N$1048576,MATCH(ROW(G65),Main!$C$4:$C$1048576,0))),"")</f>
        <v>99999858001</v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>関連</v>
      </c>
      <c r="K67" s="27" t="str">
        <f t="shared" ref="K67:K130" si="4">IF(ISERROR(FIND($Y$1, $C67)), $C67&amp;
"例目",
"クラスターNo."&amp;LEFT(REPLACE($C67, 1, LEN($Y$1), ""), LEN($C67)-3-LEN($Y$1)))</f>
        <v>クラスターNo.858</v>
      </c>
      <c r="M67" s="4" t="str">
        <f>TEXT(IF(ROW(A65)&gt;MAX(Main!$D$4:$D$1048576),"",INDEX(Main!Q$4:Q$1048576,MATCH(ROW(A65),Main!$D$4:$D$1048576,0))), "yyyy/m/d")</f>
        <v>2022/12/15</v>
      </c>
      <c r="N67" s="1">
        <f>IF(IF(ROW(A65)&gt;MAX(Main!$D$4:$D$1048576),"",INDEX(Main!G$4:G$1048576,MATCH(ROW(A65),Main!$D$4:$D$1048576,0)))="",IF(M67="","",N66),IF(ROW(A65)&gt;MAX(Main!$D$4:$D$1048576),"",INDEX(Main!G$4:G$1048576,MATCH(ROW(A65),Main!$D$4:$D$1048576,0))))</f>
        <v>99999858011</v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>-</v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>ー</v>
      </c>
      <c r="Q67" s="1" t="str">
        <f t="shared" ref="Q67:Q130" si="5">IF(P67&lt;&gt;"",IF(P67="男性","male",IF(P67="女性","female","else")),"")</f>
        <v>else</v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>遊佐町</v>
      </c>
      <c r="S67" s="9" t="str">
        <f>IF(ROW(G65)&gt;MAX(Main!$D$4:$D$1048576),"",INDEX(Main!K$4:K$1048576,MATCH(ROW(G65),Main!$D$4:$D$1048576,0)))</f>
        <v>99999858001関連</v>
      </c>
      <c r="T67" s="1">
        <f>IF(S67&lt;&gt;"",IF(ROW(G65)&gt;MAX(Main!$D$4:$D$1048576),"",INDEX(Main!N$4:N$1048576,MATCH(ROW(G65),Main!$D$4:$D$1048576,0))),"")</f>
        <v>99999858001</v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>関連</v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>2022/12/15</v>
      </c>
      <c r="C68" s="1">
        <f>IF(IF(ROW(A66)&gt;MAX(Main!$C$4:$C$1048576),"",INDEX(Main!G$4:G$1048576,MATCH(ROW(A66),Main!$C$4:$C$1048576,0)))="",IF(B68="","",C67),IF(ROW(A66)&gt;MAX(Main!$C$4:$C$1048576),"",INDEX(Main!G$4:G$1048576,MATCH(ROW(A66),Main!$C$4:$C$1048576,0))))</f>
        <v>99999858012</v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>-</v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>ー</v>
      </c>
      <c r="F68" s="1" t="str">
        <f t="shared" si="3"/>
        <v>else</v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>遊佐町</v>
      </c>
      <c r="H68" s="10" t="str">
        <f>IF(ROW(G66)&gt;MAX(Main!$C$4:$C$1048576),"",INDEX(Main!K$4:K$1048576,MATCH(ROW(G66),Main!$C$4:$C$1048576,0)))</f>
        <v>99999858001関連</v>
      </c>
      <c r="I68" s="1">
        <f>IF(H68&lt;&gt;"",IF(ROW(G66)&gt;MAX(Main!$C$4:$C$1048576),"",INDEX(Main!N$4:N$1048576,MATCH(ROW(G66),Main!$C$4:$C$1048576,0))),"")</f>
        <v>99999858001</v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>関連</v>
      </c>
      <c r="K68" s="27" t="str">
        <f t="shared" si="4"/>
        <v>クラスターNo.858</v>
      </c>
      <c r="M68" s="4" t="str">
        <f>TEXT(IF(ROW(A66)&gt;MAX(Main!$D$4:$D$1048576),"",INDEX(Main!Q$4:Q$1048576,MATCH(ROW(A66),Main!$D$4:$D$1048576,0))), "yyyy/m/d")</f>
        <v>2022/12/15</v>
      </c>
      <c r="N68" s="1">
        <f>IF(IF(ROW(A66)&gt;MAX(Main!$D$4:$D$1048576),"",INDEX(Main!G$4:G$1048576,MATCH(ROW(A66),Main!$D$4:$D$1048576,0)))="",IF(M68="","",N67),IF(ROW(A66)&gt;MAX(Main!$D$4:$D$1048576),"",INDEX(Main!G$4:G$1048576,MATCH(ROW(A66),Main!$D$4:$D$1048576,0))))</f>
        <v>99999858012</v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>-</v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>ー</v>
      </c>
      <c r="Q68" s="1" t="str">
        <f t="shared" si="5"/>
        <v>else</v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>遊佐町</v>
      </c>
      <c r="S68" s="9" t="str">
        <f>IF(ROW(G66)&gt;MAX(Main!$D$4:$D$1048576),"",INDEX(Main!K$4:K$1048576,MATCH(ROW(G66),Main!$D$4:$D$1048576,0)))</f>
        <v>99999858001関連</v>
      </c>
      <c r="T68" s="1">
        <f>IF(S68&lt;&gt;"",IF(ROW(G66)&gt;MAX(Main!$D$4:$D$1048576),"",INDEX(Main!N$4:N$1048576,MATCH(ROW(G66),Main!$D$4:$D$1048576,0))),"")</f>
        <v>99999858001</v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>関連</v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>2022/12/15</v>
      </c>
      <c r="C69" s="1">
        <f>IF(IF(ROW(A67)&gt;MAX(Main!$C$4:$C$1048576),"",INDEX(Main!G$4:G$1048576,MATCH(ROW(A67),Main!$C$4:$C$1048576,0)))="",IF(B69="","",C68),IF(ROW(A67)&gt;MAX(Main!$C$4:$C$1048576),"",INDEX(Main!G$4:G$1048576,MATCH(ROW(A67),Main!$C$4:$C$1048576,0))))</f>
        <v>99999858013</v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>-</v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>ー</v>
      </c>
      <c r="F69" s="1" t="str">
        <f t="shared" si="3"/>
        <v>else</v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>遊佐町</v>
      </c>
      <c r="H69" s="10" t="str">
        <f>IF(ROW(G67)&gt;MAX(Main!$C$4:$C$1048576),"",INDEX(Main!K$4:K$1048576,MATCH(ROW(G67),Main!$C$4:$C$1048576,0)))</f>
        <v>99999858001関連</v>
      </c>
      <c r="I69" s="1">
        <f>IF(H69&lt;&gt;"",IF(ROW(G67)&gt;MAX(Main!$C$4:$C$1048576),"",INDEX(Main!N$4:N$1048576,MATCH(ROW(G67),Main!$C$4:$C$1048576,0))),"")</f>
        <v>99999858001</v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>関連</v>
      </c>
      <c r="K69" s="27" t="str">
        <f t="shared" si="4"/>
        <v>クラスターNo.858</v>
      </c>
      <c r="M69" s="4" t="str">
        <f>TEXT(IF(ROW(A67)&gt;MAX(Main!$D$4:$D$1048576),"",INDEX(Main!Q$4:Q$1048576,MATCH(ROW(A67),Main!$D$4:$D$1048576,0))), "yyyy/m/d")</f>
        <v>2022/12/15</v>
      </c>
      <c r="N69" s="1">
        <f>IF(IF(ROW(A67)&gt;MAX(Main!$D$4:$D$1048576),"",INDEX(Main!G$4:G$1048576,MATCH(ROW(A67),Main!$D$4:$D$1048576,0)))="",IF(M69="","",N68),IF(ROW(A67)&gt;MAX(Main!$D$4:$D$1048576),"",INDEX(Main!G$4:G$1048576,MATCH(ROW(A67),Main!$D$4:$D$1048576,0))))</f>
        <v>99999858013</v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>-</v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>ー</v>
      </c>
      <c r="Q69" s="1" t="str">
        <f t="shared" si="5"/>
        <v>else</v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>遊佐町</v>
      </c>
      <c r="S69" s="9" t="str">
        <f>IF(ROW(G67)&gt;MAX(Main!$D$4:$D$1048576),"",INDEX(Main!K$4:K$1048576,MATCH(ROW(G67),Main!$D$4:$D$1048576,0)))</f>
        <v>99999858001関連</v>
      </c>
      <c r="T69" s="1">
        <f>IF(S69&lt;&gt;"",IF(ROW(G67)&gt;MAX(Main!$D$4:$D$1048576),"",INDEX(Main!N$4:N$1048576,MATCH(ROW(G67),Main!$D$4:$D$1048576,0))),"")</f>
        <v>99999858001</v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>関連</v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>2022/12/15</v>
      </c>
      <c r="C70" s="1">
        <f>IF(IF(ROW(A68)&gt;MAX(Main!$C$4:$C$1048576),"",INDEX(Main!G$4:G$1048576,MATCH(ROW(A68),Main!$C$4:$C$1048576,0)))="",IF(B70="","",C69),IF(ROW(A68)&gt;MAX(Main!$C$4:$C$1048576),"",INDEX(Main!G$4:G$1048576,MATCH(ROW(A68),Main!$C$4:$C$1048576,0))))</f>
        <v>99999858014</v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>-</v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>ー</v>
      </c>
      <c r="F70" s="1" t="str">
        <f t="shared" si="3"/>
        <v>else</v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>遊佐町</v>
      </c>
      <c r="H70" s="10" t="str">
        <f>IF(ROW(G68)&gt;MAX(Main!$C$4:$C$1048576),"",INDEX(Main!K$4:K$1048576,MATCH(ROW(G68),Main!$C$4:$C$1048576,0)))</f>
        <v>99999858001関連</v>
      </c>
      <c r="I70" s="1">
        <f>IF(H70&lt;&gt;"",IF(ROW(G68)&gt;MAX(Main!$C$4:$C$1048576),"",INDEX(Main!N$4:N$1048576,MATCH(ROW(G68),Main!$C$4:$C$1048576,0))),"")</f>
        <v>99999858001</v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>関連</v>
      </c>
      <c r="K70" s="27" t="str">
        <f t="shared" si="4"/>
        <v>クラスターNo.858</v>
      </c>
      <c r="M70" s="4" t="str">
        <f>TEXT(IF(ROW(A68)&gt;MAX(Main!$D$4:$D$1048576),"",INDEX(Main!Q$4:Q$1048576,MATCH(ROW(A68),Main!$D$4:$D$1048576,0))), "yyyy/m/d")</f>
        <v>2022/12/15</v>
      </c>
      <c r="N70" s="1">
        <f>IF(IF(ROW(A68)&gt;MAX(Main!$D$4:$D$1048576),"",INDEX(Main!G$4:G$1048576,MATCH(ROW(A68),Main!$D$4:$D$1048576,0)))="",IF(M70="","",N69),IF(ROW(A68)&gt;MAX(Main!$D$4:$D$1048576),"",INDEX(Main!G$4:G$1048576,MATCH(ROW(A68),Main!$D$4:$D$1048576,0))))</f>
        <v>99999858014</v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>-</v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>ー</v>
      </c>
      <c r="Q70" s="1" t="str">
        <f t="shared" si="5"/>
        <v>else</v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>遊佐町</v>
      </c>
      <c r="S70" s="9" t="str">
        <f>IF(ROW(G68)&gt;MAX(Main!$D$4:$D$1048576),"",INDEX(Main!K$4:K$1048576,MATCH(ROW(G68),Main!$D$4:$D$1048576,0)))</f>
        <v>99999858001関連</v>
      </c>
      <c r="T70" s="1">
        <f>IF(S70&lt;&gt;"",IF(ROW(G68)&gt;MAX(Main!$D$4:$D$1048576),"",INDEX(Main!N$4:N$1048576,MATCH(ROW(G68),Main!$D$4:$D$1048576,0))),"")</f>
        <v>99999858001</v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>関連</v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>2022/12/15</v>
      </c>
      <c r="C71" s="1">
        <f>IF(IF(ROW(A69)&gt;MAX(Main!$C$4:$C$1048576),"",INDEX(Main!G$4:G$1048576,MATCH(ROW(A69),Main!$C$4:$C$1048576,0)))="",IF(B71="","",C70),IF(ROW(A69)&gt;MAX(Main!$C$4:$C$1048576),"",INDEX(Main!G$4:G$1048576,MATCH(ROW(A69),Main!$C$4:$C$1048576,0))))</f>
        <v>99999858015</v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>-</v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>ー</v>
      </c>
      <c r="F71" s="1" t="str">
        <f t="shared" si="3"/>
        <v>else</v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>遊佐町</v>
      </c>
      <c r="H71" s="10" t="str">
        <f>IF(ROW(G69)&gt;MAX(Main!$C$4:$C$1048576),"",INDEX(Main!K$4:K$1048576,MATCH(ROW(G69),Main!$C$4:$C$1048576,0)))</f>
        <v>99999858001関連</v>
      </c>
      <c r="I71" s="1">
        <f>IF(H71&lt;&gt;"",IF(ROW(G69)&gt;MAX(Main!$C$4:$C$1048576),"",INDEX(Main!N$4:N$1048576,MATCH(ROW(G69),Main!$C$4:$C$1048576,0))),"")</f>
        <v>99999858001</v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>関連</v>
      </c>
      <c r="K71" s="27" t="str">
        <f t="shared" si="4"/>
        <v>クラスターNo.858</v>
      </c>
      <c r="M71" s="4" t="str">
        <f>TEXT(IF(ROW(A69)&gt;MAX(Main!$D$4:$D$1048576),"",INDEX(Main!Q$4:Q$1048576,MATCH(ROW(A69),Main!$D$4:$D$1048576,0))), "yyyy/m/d")</f>
        <v>2022/12/15</v>
      </c>
      <c r="N71" s="1">
        <f>IF(IF(ROW(A69)&gt;MAX(Main!$D$4:$D$1048576),"",INDEX(Main!G$4:G$1048576,MATCH(ROW(A69),Main!$D$4:$D$1048576,0)))="",IF(M71="","",N70),IF(ROW(A69)&gt;MAX(Main!$D$4:$D$1048576),"",INDEX(Main!G$4:G$1048576,MATCH(ROW(A69),Main!$D$4:$D$1048576,0))))</f>
        <v>99999858015</v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>-</v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>ー</v>
      </c>
      <c r="Q71" s="1" t="str">
        <f t="shared" si="5"/>
        <v>else</v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>遊佐町</v>
      </c>
      <c r="S71" s="9" t="str">
        <f>IF(ROW(G69)&gt;MAX(Main!$D$4:$D$1048576),"",INDEX(Main!K$4:K$1048576,MATCH(ROW(G69),Main!$D$4:$D$1048576,0)))</f>
        <v>99999858001関連</v>
      </c>
      <c r="T71" s="1">
        <f>IF(S71&lt;&gt;"",IF(ROW(G69)&gt;MAX(Main!$D$4:$D$1048576),"",INDEX(Main!N$4:N$1048576,MATCH(ROW(G69),Main!$D$4:$D$1048576,0))),"")</f>
        <v>99999858001</v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>関連</v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>2022/12/15</v>
      </c>
      <c r="C72" s="1">
        <f>IF(IF(ROW(A70)&gt;MAX(Main!$C$4:$C$1048576),"",INDEX(Main!G$4:G$1048576,MATCH(ROW(A70),Main!$C$4:$C$1048576,0)))="",IF(B72="","",C71),IF(ROW(A70)&gt;MAX(Main!$C$4:$C$1048576),"",INDEX(Main!G$4:G$1048576,MATCH(ROW(A70),Main!$C$4:$C$1048576,0))))</f>
        <v>99999859001</v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>-</v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>ー</v>
      </c>
      <c r="F72" s="1" t="str">
        <f t="shared" si="3"/>
        <v>else</v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>遊佐町</v>
      </c>
      <c r="H72" s="10" t="str">
        <f>IF(ROW(G70)&gt;MAX(Main!$C$4:$C$1048576),"",INDEX(Main!K$4:K$1048576,MATCH(ROW(G70),Main!$C$4:$C$1048576,0)))</f>
        <v>99999859001障がい者施設</v>
      </c>
      <c r="I72" s="1">
        <f>IF(H72&lt;&gt;"",IF(ROW(G70)&gt;MAX(Main!$C$4:$C$1048576),"",INDEX(Main!N$4:N$1048576,MATCH(ROW(G70),Main!$C$4:$C$1048576,0))),"")</f>
        <v>99999859001</v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>障がい者施設</v>
      </c>
      <c r="K72" s="27" t="str">
        <f t="shared" si="4"/>
        <v>クラスターNo.859</v>
      </c>
      <c r="M72" s="4" t="str">
        <f>TEXT(IF(ROW(A70)&gt;MAX(Main!$D$4:$D$1048576),"",INDEX(Main!Q$4:Q$1048576,MATCH(ROW(A70),Main!$D$4:$D$1048576,0))), "yyyy/m/d")</f>
        <v>2022/12/15</v>
      </c>
      <c r="N72" s="1">
        <f>IF(IF(ROW(A70)&gt;MAX(Main!$D$4:$D$1048576),"",INDEX(Main!G$4:G$1048576,MATCH(ROW(A70),Main!$D$4:$D$1048576,0)))="",IF(M72="","",N71),IF(ROW(A70)&gt;MAX(Main!$D$4:$D$1048576),"",INDEX(Main!G$4:G$1048576,MATCH(ROW(A70),Main!$D$4:$D$1048576,0))))</f>
        <v>99999859001</v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>-</v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>ー</v>
      </c>
      <c r="Q72" s="1" t="str">
        <f t="shared" si="5"/>
        <v>else</v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>遊佐町</v>
      </c>
      <c r="S72" s="9" t="str">
        <f>IF(ROW(G70)&gt;MAX(Main!$D$4:$D$1048576),"",INDEX(Main!K$4:K$1048576,MATCH(ROW(G70),Main!$D$4:$D$1048576,0)))</f>
        <v>99999859001障がい者施設</v>
      </c>
      <c r="T72" s="1">
        <f>IF(S72&lt;&gt;"",IF(ROW(G70)&gt;MAX(Main!$D$4:$D$1048576),"",INDEX(Main!N$4:N$1048576,MATCH(ROW(G70),Main!$D$4:$D$1048576,0))),"")</f>
        <v>99999859001</v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>障がい者施設</v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>2022/12/15</v>
      </c>
      <c r="C73" s="1">
        <f>IF(IF(ROW(A71)&gt;MAX(Main!$C$4:$C$1048576),"",INDEX(Main!G$4:G$1048576,MATCH(ROW(A71),Main!$C$4:$C$1048576,0)))="",IF(B73="","",C72),IF(ROW(A71)&gt;MAX(Main!$C$4:$C$1048576),"",INDEX(Main!G$4:G$1048576,MATCH(ROW(A71),Main!$C$4:$C$1048576,0))))</f>
        <v>99999859002</v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>-</v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>ー</v>
      </c>
      <c r="F73" s="1" t="str">
        <f t="shared" si="3"/>
        <v>else</v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>遊佐町</v>
      </c>
      <c r="H73" s="10" t="str">
        <f>IF(ROW(G71)&gt;MAX(Main!$C$4:$C$1048576),"",INDEX(Main!K$4:K$1048576,MATCH(ROW(G71),Main!$C$4:$C$1048576,0)))</f>
        <v>99999859001関連</v>
      </c>
      <c r="I73" s="1">
        <f>IF(H73&lt;&gt;"",IF(ROW(G71)&gt;MAX(Main!$C$4:$C$1048576),"",INDEX(Main!N$4:N$1048576,MATCH(ROW(G71),Main!$C$4:$C$1048576,0))),"")</f>
        <v>99999859001</v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>関連</v>
      </c>
      <c r="K73" s="27" t="str">
        <f t="shared" si="4"/>
        <v>クラスターNo.859</v>
      </c>
      <c r="M73" s="4" t="str">
        <f>TEXT(IF(ROW(A71)&gt;MAX(Main!$D$4:$D$1048576),"",INDEX(Main!Q$4:Q$1048576,MATCH(ROW(A71),Main!$D$4:$D$1048576,0))), "yyyy/m/d")</f>
        <v>2022/12/15</v>
      </c>
      <c r="N73" s="1">
        <f>IF(IF(ROW(A71)&gt;MAX(Main!$D$4:$D$1048576),"",INDEX(Main!G$4:G$1048576,MATCH(ROW(A71),Main!$D$4:$D$1048576,0)))="",IF(M73="","",N72),IF(ROW(A71)&gt;MAX(Main!$D$4:$D$1048576),"",INDEX(Main!G$4:G$1048576,MATCH(ROW(A71),Main!$D$4:$D$1048576,0))))</f>
        <v>99999859002</v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>-</v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>ー</v>
      </c>
      <c r="Q73" s="1" t="str">
        <f t="shared" si="5"/>
        <v>else</v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>遊佐町</v>
      </c>
      <c r="S73" s="9" t="str">
        <f>IF(ROW(G71)&gt;MAX(Main!$D$4:$D$1048576),"",INDEX(Main!K$4:K$1048576,MATCH(ROW(G71),Main!$D$4:$D$1048576,0)))</f>
        <v>99999859001関連</v>
      </c>
      <c r="T73" s="1">
        <f>IF(S73&lt;&gt;"",IF(ROW(G71)&gt;MAX(Main!$D$4:$D$1048576),"",INDEX(Main!N$4:N$1048576,MATCH(ROW(G71),Main!$D$4:$D$1048576,0))),"")</f>
        <v>99999859001</v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>関連</v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>2022/12/15</v>
      </c>
      <c r="C74" s="1">
        <f>IF(IF(ROW(A72)&gt;MAX(Main!$C$4:$C$1048576),"",INDEX(Main!G$4:G$1048576,MATCH(ROW(A72),Main!$C$4:$C$1048576,0)))="",IF(B74="","",C73),IF(ROW(A72)&gt;MAX(Main!$C$4:$C$1048576),"",INDEX(Main!G$4:G$1048576,MATCH(ROW(A72),Main!$C$4:$C$1048576,0))))</f>
        <v>99999859003</v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>-</v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>ー</v>
      </c>
      <c r="F74" s="1" t="str">
        <f t="shared" si="3"/>
        <v>else</v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>遊佐町</v>
      </c>
      <c r="H74" s="10" t="str">
        <f>IF(ROW(G72)&gt;MAX(Main!$C$4:$C$1048576),"",INDEX(Main!K$4:K$1048576,MATCH(ROW(G72),Main!$C$4:$C$1048576,0)))</f>
        <v>99999859001関連</v>
      </c>
      <c r="I74" s="1">
        <f>IF(H74&lt;&gt;"",IF(ROW(G72)&gt;MAX(Main!$C$4:$C$1048576),"",INDEX(Main!N$4:N$1048576,MATCH(ROW(G72),Main!$C$4:$C$1048576,0))),"")</f>
        <v>99999859001</v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>関連</v>
      </c>
      <c r="K74" s="27" t="str">
        <f t="shared" si="4"/>
        <v>クラスターNo.859</v>
      </c>
      <c r="M74" s="4" t="str">
        <f>TEXT(IF(ROW(A72)&gt;MAX(Main!$D$4:$D$1048576),"",INDEX(Main!Q$4:Q$1048576,MATCH(ROW(A72),Main!$D$4:$D$1048576,0))), "yyyy/m/d")</f>
        <v>2022/12/15</v>
      </c>
      <c r="N74" s="1">
        <f>IF(IF(ROW(A72)&gt;MAX(Main!$D$4:$D$1048576),"",INDEX(Main!G$4:G$1048576,MATCH(ROW(A72),Main!$D$4:$D$1048576,0)))="",IF(M74="","",N73),IF(ROW(A72)&gt;MAX(Main!$D$4:$D$1048576),"",INDEX(Main!G$4:G$1048576,MATCH(ROW(A72),Main!$D$4:$D$1048576,0))))</f>
        <v>99999859003</v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>-</v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>ー</v>
      </c>
      <c r="Q74" s="1" t="str">
        <f t="shared" si="5"/>
        <v>else</v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>遊佐町</v>
      </c>
      <c r="S74" s="9" t="str">
        <f>IF(ROW(G72)&gt;MAX(Main!$D$4:$D$1048576),"",INDEX(Main!K$4:K$1048576,MATCH(ROW(G72),Main!$D$4:$D$1048576,0)))</f>
        <v>99999859001関連</v>
      </c>
      <c r="T74" s="1">
        <f>IF(S74&lt;&gt;"",IF(ROW(G72)&gt;MAX(Main!$D$4:$D$1048576),"",INDEX(Main!N$4:N$1048576,MATCH(ROW(G72),Main!$D$4:$D$1048576,0))),"")</f>
        <v>99999859001</v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>関連</v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>2022/12/15</v>
      </c>
      <c r="C75" s="1">
        <f>IF(IF(ROW(A73)&gt;MAX(Main!$C$4:$C$1048576),"",INDEX(Main!G$4:G$1048576,MATCH(ROW(A73),Main!$C$4:$C$1048576,0)))="",IF(B75="","",C74),IF(ROW(A73)&gt;MAX(Main!$C$4:$C$1048576),"",INDEX(Main!G$4:G$1048576,MATCH(ROW(A73),Main!$C$4:$C$1048576,0))))</f>
        <v>99999859004</v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>-</v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>ー</v>
      </c>
      <c r="F75" s="1" t="str">
        <f t="shared" si="3"/>
        <v>else</v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>遊佐町</v>
      </c>
      <c r="H75" s="10" t="str">
        <f>IF(ROW(G73)&gt;MAX(Main!$C$4:$C$1048576),"",INDEX(Main!K$4:K$1048576,MATCH(ROW(G73),Main!$C$4:$C$1048576,0)))</f>
        <v>99999859001関連</v>
      </c>
      <c r="I75" s="1">
        <f>IF(H75&lt;&gt;"",IF(ROW(G73)&gt;MAX(Main!$C$4:$C$1048576),"",INDEX(Main!N$4:N$1048576,MATCH(ROW(G73),Main!$C$4:$C$1048576,0))),"")</f>
        <v>99999859001</v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>関連</v>
      </c>
      <c r="K75" s="27" t="str">
        <f t="shared" si="4"/>
        <v>クラスターNo.859</v>
      </c>
      <c r="M75" s="4" t="str">
        <f>TEXT(IF(ROW(A73)&gt;MAX(Main!$D$4:$D$1048576),"",INDEX(Main!Q$4:Q$1048576,MATCH(ROW(A73),Main!$D$4:$D$1048576,0))), "yyyy/m/d")</f>
        <v>2022/12/15</v>
      </c>
      <c r="N75" s="1">
        <f>IF(IF(ROW(A73)&gt;MAX(Main!$D$4:$D$1048576),"",INDEX(Main!G$4:G$1048576,MATCH(ROW(A73),Main!$D$4:$D$1048576,0)))="",IF(M75="","",N74),IF(ROW(A73)&gt;MAX(Main!$D$4:$D$1048576),"",INDEX(Main!G$4:G$1048576,MATCH(ROW(A73),Main!$D$4:$D$1048576,0))))</f>
        <v>99999859004</v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>-</v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>ー</v>
      </c>
      <c r="Q75" s="1" t="str">
        <f t="shared" si="5"/>
        <v>else</v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>遊佐町</v>
      </c>
      <c r="S75" s="9" t="str">
        <f>IF(ROW(G73)&gt;MAX(Main!$D$4:$D$1048576),"",INDEX(Main!K$4:K$1048576,MATCH(ROW(G73),Main!$D$4:$D$1048576,0)))</f>
        <v>99999859001関連</v>
      </c>
      <c r="T75" s="1">
        <f>IF(S75&lt;&gt;"",IF(ROW(G73)&gt;MAX(Main!$D$4:$D$1048576),"",INDEX(Main!N$4:N$1048576,MATCH(ROW(G73),Main!$D$4:$D$1048576,0))),"")</f>
        <v>99999859001</v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>関連</v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>2022/12/15</v>
      </c>
      <c r="C76" s="1">
        <f>IF(IF(ROW(A74)&gt;MAX(Main!$C$4:$C$1048576),"",INDEX(Main!G$4:G$1048576,MATCH(ROW(A74),Main!$C$4:$C$1048576,0)))="",IF(B76="","",C75),IF(ROW(A74)&gt;MAX(Main!$C$4:$C$1048576),"",INDEX(Main!G$4:G$1048576,MATCH(ROW(A74),Main!$C$4:$C$1048576,0))))</f>
        <v>99999859005</v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>-</v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>ー</v>
      </c>
      <c r="F76" s="1" t="str">
        <f t="shared" si="3"/>
        <v>else</v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>遊佐町</v>
      </c>
      <c r="H76" s="10" t="str">
        <f>IF(ROW(G74)&gt;MAX(Main!$C$4:$C$1048576),"",INDEX(Main!K$4:K$1048576,MATCH(ROW(G74),Main!$C$4:$C$1048576,0)))</f>
        <v>99999859001関連</v>
      </c>
      <c r="I76" s="1">
        <f>IF(H76&lt;&gt;"",IF(ROW(G74)&gt;MAX(Main!$C$4:$C$1048576),"",INDEX(Main!N$4:N$1048576,MATCH(ROW(G74),Main!$C$4:$C$1048576,0))),"")</f>
        <v>99999859001</v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>関連</v>
      </c>
      <c r="K76" s="27" t="str">
        <f t="shared" si="4"/>
        <v>クラスターNo.859</v>
      </c>
      <c r="M76" s="4" t="str">
        <f>TEXT(IF(ROW(A74)&gt;MAX(Main!$D$4:$D$1048576),"",INDEX(Main!Q$4:Q$1048576,MATCH(ROW(A74),Main!$D$4:$D$1048576,0))), "yyyy/m/d")</f>
        <v>2022/12/15</v>
      </c>
      <c r="N76" s="1">
        <f>IF(IF(ROW(A74)&gt;MAX(Main!$D$4:$D$1048576),"",INDEX(Main!G$4:G$1048576,MATCH(ROW(A74),Main!$D$4:$D$1048576,0)))="",IF(M76="","",N75),IF(ROW(A74)&gt;MAX(Main!$D$4:$D$1048576),"",INDEX(Main!G$4:G$1048576,MATCH(ROW(A74),Main!$D$4:$D$1048576,0))))</f>
        <v>99999859005</v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>-</v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>ー</v>
      </c>
      <c r="Q76" s="1" t="str">
        <f t="shared" si="5"/>
        <v>else</v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>遊佐町</v>
      </c>
      <c r="S76" s="9" t="str">
        <f>IF(ROW(G74)&gt;MAX(Main!$D$4:$D$1048576),"",INDEX(Main!K$4:K$1048576,MATCH(ROW(G74),Main!$D$4:$D$1048576,0)))</f>
        <v>99999859001関連</v>
      </c>
      <c r="T76" s="1">
        <f>IF(S76&lt;&gt;"",IF(ROW(G74)&gt;MAX(Main!$D$4:$D$1048576),"",INDEX(Main!N$4:N$1048576,MATCH(ROW(G74),Main!$D$4:$D$1048576,0))),"")</f>
        <v>99999859001</v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>関連</v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>2022/12/15</v>
      </c>
      <c r="C77" s="1">
        <f>IF(IF(ROW(A75)&gt;MAX(Main!$C$4:$C$1048576),"",INDEX(Main!G$4:G$1048576,MATCH(ROW(A75),Main!$C$4:$C$1048576,0)))="",IF(B77="","",C76),IF(ROW(A75)&gt;MAX(Main!$C$4:$C$1048576),"",INDEX(Main!G$4:G$1048576,MATCH(ROW(A75),Main!$C$4:$C$1048576,0))))</f>
        <v>99999859006</v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>-</v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>ー</v>
      </c>
      <c r="F77" s="1" t="str">
        <f t="shared" si="3"/>
        <v>else</v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>遊佐町</v>
      </c>
      <c r="H77" s="10" t="str">
        <f>IF(ROW(G75)&gt;MAX(Main!$C$4:$C$1048576),"",INDEX(Main!K$4:K$1048576,MATCH(ROW(G75),Main!$C$4:$C$1048576,0)))</f>
        <v>99999859001関連</v>
      </c>
      <c r="I77" s="1">
        <f>IF(H77&lt;&gt;"",IF(ROW(G75)&gt;MAX(Main!$C$4:$C$1048576),"",INDEX(Main!N$4:N$1048576,MATCH(ROW(G75),Main!$C$4:$C$1048576,0))),"")</f>
        <v>99999859001</v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>関連</v>
      </c>
      <c r="K77" s="27" t="str">
        <f t="shared" si="4"/>
        <v>クラスターNo.859</v>
      </c>
      <c r="M77" s="4" t="str">
        <f>TEXT(IF(ROW(A75)&gt;MAX(Main!$D$4:$D$1048576),"",INDEX(Main!Q$4:Q$1048576,MATCH(ROW(A75),Main!$D$4:$D$1048576,0))), "yyyy/m/d")</f>
        <v>2022/12/15</v>
      </c>
      <c r="N77" s="1">
        <f>IF(IF(ROW(A75)&gt;MAX(Main!$D$4:$D$1048576),"",INDEX(Main!G$4:G$1048576,MATCH(ROW(A75),Main!$D$4:$D$1048576,0)))="",IF(M77="","",N76),IF(ROW(A75)&gt;MAX(Main!$D$4:$D$1048576),"",INDEX(Main!G$4:G$1048576,MATCH(ROW(A75),Main!$D$4:$D$1048576,0))))</f>
        <v>99999859006</v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>-</v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>ー</v>
      </c>
      <c r="Q77" s="1" t="str">
        <f t="shared" si="5"/>
        <v>else</v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>遊佐町</v>
      </c>
      <c r="S77" s="9" t="str">
        <f>IF(ROW(G75)&gt;MAX(Main!$D$4:$D$1048576),"",INDEX(Main!K$4:K$1048576,MATCH(ROW(G75),Main!$D$4:$D$1048576,0)))</f>
        <v>99999859001関連</v>
      </c>
      <c r="T77" s="1">
        <f>IF(S77&lt;&gt;"",IF(ROW(G75)&gt;MAX(Main!$D$4:$D$1048576),"",INDEX(Main!N$4:N$1048576,MATCH(ROW(G75),Main!$D$4:$D$1048576,0))),"")</f>
        <v>99999859001</v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>関連</v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>2022/12/15</v>
      </c>
      <c r="C78" s="1">
        <f>IF(IF(ROW(A76)&gt;MAX(Main!$C$4:$C$1048576),"",INDEX(Main!G$4:G$1048576,MATCH(ROW(A76),Main!$C$4:$C$1048576,0)))="",IF(B78="","",C77),IF(ROW(A76)&gt;MAX(Main!$C$4:$C$1048576),"",INDEX(Main!G$4:G$1048576,MATCH(ROW(A76),Main!$C$4:$C$1048576,0))))</f>
        <v>99999859007</v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>-</v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>ー</v>
      </c>
      <c r="F78" s="1" t="str">
        <f t="shared" si="3"/>
        <v>else</v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>遊佐町</v>
      </c>
      <c r="H78" s="10" t="str">
        <f>IF(ROW(G76)&gt;MAX(Main!$C$4:$C$1048576),"",INDEX(Main!K$4:K$1048576,MATCH(ROW(G76),Main!$C$4:$C$1048576,0)))</f>
        <v>99999859001関連</v>
      </c>
      <c r="I78" s="1">
        <f>IF(H78&lt;&gt;"",IF(ROW(G76)&gt;MAX(Main!$C$4:$C$1048576),"",INDEX(Main!N$4:N$1048576,MATCH(ROW(G76),Main!$C$4:$C$1048576,0))),"")</f>
        <v>99999859001</v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>関連</v>
      </c>
      <c r="K78" s="27" t="str">
        <f t="shared" si="4"/>
        <v>クラスターNo.859</v>
      </c>
      <c r="M78" s="4" t="str">
        <f>TEXT(IF(ROW(A76)&gt;MAX(Main!$D$4:$D$1048576),"",INDEX(Main!Q$4:Q$1048576,MATCH(ROW(A76),Main!$D$4:$D$1048576,0))), "yyyy/m/d")</f>
        <v>2022/12/15</v>
      </c>
      <c r="N78" s="1">
        <f>IF(IF(ROW(A76)&gt;MAX(Main!$D$4:$D$1048576),"",INDEX(Main!G$4:G$1048576,MATCH(ROW(A76),Main!$D$4:$D$1048576,0)))="",IF(M78="","",N77),IF(ROW(A76)&gt;MAX(Main!$D$4:$D$1048576),"",INDEX(Main!G$4:G$1048576,MATCH(ROW(A76),Main!$D$4:$D$1048576,0))))</f>
        <v>99999859007</v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>-</v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>ー</v>
      </c>
      <c r="Q78" s="1" t="str">
        <f t="shared" si="5"/>
        <v>else</v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>遊佐町</v>
      </c>
      <c r="S78" s="9" t="str">
        <f>IF(ROW(G76)&gt;MAX(Main!$D$4:$D$1048576),"",INDEX(Main!K$4:K$1048576,MATCH(ROW(G76),Main!$D$4:$D$1048576,0)))</f>
        <v>99999859001関連</v>
      </c>
      <c r="T78" s="1">
        <f>IF(S78&lt;&gt;"",IF(ROW(G76)&gt;MAX(Main!$D$4:$D$1048576),"",INDEX(Main!N$4:N$1048576,MATCH(ROW(G76),Main!$D$4:$D$1048576,0))),"")</f>
        <v>99999859001</v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>関連</v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>2022/12/15</v>
      </c>
      <c r="C79" s="1">
        <f>IF(IF(ROW(A77)&gt;MAX(Main!$C$4:$C$1048576),"",INDEX(Main!G$4:G$1048576,MATCH(ROW(A77),Main!$C$4:$C$1048576,0)))="",IF(B79="","",C78),IF(ROW(A77)&gt;MAX(Main!$C$4:$C$1048576),"",INDEX(Main!G$4:G$1048576,MATCH(ROW(A77),Main!$C$4:$C$1048576,0))))</f>
        <v>99999859008</v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>-</v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>ー</v>
      </c>
      <c r="F79" s="1" t="str">
        <f t="shared" si="3"/>
        <v>else</v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>遊佐町</v>
      </c>
      <c r="H79" s="10" t="str">
        <f>IF(ROW(G77)&gt;MAX(Main!$C$4:$C$1048576),"",INDEX(Main!K$4:K$1048576,MATCH(ROW(G77),Main!$C$4:$C$1048576,0)))</f>
        <v>99999859001関連</v>
      </c>
      <c r="I79" s="1">
        <f>IF(H79&lt;&gt;"",IF(ROW(G77)&gt;MAX(Main!$C$4:$C$1048576),"",INDEX(Main!N$4:N$1048576,MATCH(ROW(G77),Main!$C$4:$C$1048576,0))),"")</f>
        <v>99999859001</v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>関連</v>
      </c>
      <c r="K79" s="27" t="str">
        <f t="shared" si="4"/>
        <v>クラスターNo.859</v>
      </c>
      <c r="M79" s="4" t="str">
        <f>TEXT(IF(ROW(A77)&gt;MAX(Main!$D$4:$D$1048576),"",INDEX(Main!Q$4:Q$1048576,MATCH(ROW(A77),Main!$D$4:$D$1048576,0))), "yyyy/m/d")</f>
        <v>2022/12/15</v>
      </c>
      <c r="N79" s="1">
        <f>IF(IF(ROW(A77)&gt;MAX(Main!$D$4:$D$1048576),"",INDEX(Main!G$4:G$1048576,MATCH(ROW(A77),Main!$D$4:$D$1048576,0)))="",IF(M79="","",N78),IF(ROW(A77)&gt;MAX(Main!$D$4:$D$1048576),"",INDEX(Main!G$4:G$1048576,MATCH(ROW(A77),Main!$D$4:$D$1048576,0))))</f>
        <v>99999859008</v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>-</v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>ー</v>
      </c>
      <c r="Q79" s="1" t="str">
        <f t="shared" si="5"/>
        <v>else</v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>遊佐町</v>
      </c>
      <c r="S79" s="9" t="str">
        <f>IF(ROW(G77)&gt;MAX(Main!$D$4:$D$1048576),"",INDEX(Main!K$4:K$1048576,MATCH(ROW(G77),Main!$D$4:$D$1048576,0)))</f>
        <v>99999859001関連</v>
      </c>
      <c r="T79" s="1">
        <f>IF(S79&lt;&gt;"",IF(ROW(G77)&gt;MAX(Main!$D$4:$D$1048576),"",INDEX(Main!N$4:N$1048576,MATCH(ROW(G77),Main!$D$4:$D$1048576,0))),"")</f>
        <v>99999859001</v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>関連</v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>2022/12/15</v>
      </c>
      <c r="C80" s="1">
        <f>IF(IF(ROW(A78)&gt;MAX(Main!$C$4:$C$1048576),"",INDEX(Main!G$4:G$1048576,MATCH(ROW(A78),Main!$C$4:$C$1048576,0)))="",IF(B80="","",C79),IF(ROW(A78)&gt;MAX(Main!$C$4:$C$1048576),"",INDEX(Main!G$4:G$1048576,MATCH(ROW(A78),Main!$C$4:$C$1048576,0))))</f>
        <v>99999859009</v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>-</v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>ー</v>
      </c>
      <c r="F80" s="1" t="str">
        <f t="shared" si="3"/>
        <v>else</v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>遊佐町</v>
      </c>
      <c r="H80" s="10" t="str">
        <f>IF(ROW(G78)&gt;MAX(Main!$C$4:$C$1048576),"",INDEX(Main!K$4:K$1048576,MATCH(ROW(G78),Main!$C$4:$C$1048576,0)))</f>
        <v>99999859001関連</v>
      </c>
      <c r="I80" s="1">
        <f>IF(H80&lt;&gt;"",IF(ROW(G78)&gt;MAX(Main!$C$4:$C$1048576),"",INDEX(Main!N$4:N$1048576,MATCH(ROW(G78),Main!$C$4:$C$1048576,0))),"")</f>
        <v>99999859001</v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>関連</v>
      </c>
      <c r="K80" s="27" t="str">
        <f t="shared" si="4"/>
        <v>クラスターNo.859</v>
      </c>
      <c r="M80" s="4" t="str">
        <f>TEXT(IF(ROW(A78)&gt;MAX(Main!$D$4:$D$1048576),"",INDEX(Main!Q$4:Q$1048576,MATCH(ROW(A78),Main!$D$4:$D$1048576,0))), "yyyy/m/d")</f>
        <v>2022/12/15</v>
      </c>
      <c r="N80" s="1">
        <f>IF(IF(ROW(A78)&gt;MAX(Main!$D$4:$D$1048576),"",INDEX(Main!G$4:G$1048576,MATCH(ROW(A78),Main!$D$4:$D$1048576,0)))="",IF(M80="","",N79),IF(ROW(A78)&gt;MAX(Main!$D$4:$D$1048576),"",INDEX(Main!G$4:G$1048576,MATCH(ROW(A78),Main!$D$4:$D$1048576,0))))</f>
        <v>99999859009</v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>-</v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>ー</v>
      </c>
      <c r="Q80" s="1" t="str">
        <f t="shared" si="5"/>
        <v>else</v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>遊佐町</v>
      </c>
      <c r="S80" s="9" t="str">
        <f>IF(ROW(G78)&gt;MAX(Main!$D$4:$D$1048576),"",INDEX(Main!K$4:K$1048576,MATCH(ROW(G78),Main!$D$4:$D$1048576,0)))</f>
        <v>99999859001関連</v>
      </c>
      <c r="T80" s="1">
        <f>IF(S80&lt;&gt;"",IF(ROW(G78)&gt;MAX(Main!$D$4:$D$1048576),"",INDEX(Main!N$4:N$1048576,MATCH(ROW(G78),Main!$D$4:$D$1048576,0))),"")</f>
        <v>99999859001</v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>関連</v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>2022/12/15</v>
      </c>
      <c r="C81" s="1">
        <f>IF(IF(ROW(A79)&gt;MAX(Main!$C$4:$C$1048576),"",INDEX(Main!G$4:G$1048576,MATCH(ROW(A79),Main!$C$4:$C$1048576,0)))="",IF(B81="","",C80),IF(ROW(A79)&gt;MAX(Main!$C$4:$C$1048576),"",INDEX(Main!G$4:G$1048576,MATCH(ROW(A79),Main!$C$4:$C$1048576,0))))</f>
        <v>99999859010</v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>-</v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>ー</v>
      </c>
      <c r="F81" s="1" t="str">
        <f t="shared" si="3"/>
        <v>else</v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>遊佐町</v>
      </c>
      <c r="H81" s="10" t="str">
        <f>IF(ROW(G79)&gt;MAX(Main!$C$4:$C$1048576),"",INDEX(Main!K$4:K$1048576,MATCH(ROW(G79),Main!$C$4:$C$1048576,0)))</f>
        <v>99999859001関連</v>
      </c>
      <c r="I81" s="1">
        <f>IF(H81&lt;&gt;"",IF(ROW(G79)&gt;MAX(Main!$C$4:$C$1048576),"",INDEX(Main!N$4:N$1048576,MATCH(ROW(G79),Main!$C$4:$C$1048576,0))),"")</f>
        <v>99999859001</v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>関連</v>
      </c>
      <c r="K81" s="27" t="str">
        <f t="shared" si="4"/>
        <v>クラスターNo.859</v>
      </c>
      <c r="M81" s="4" t="str">
        <f>TEXT(IF(ROW(A79)&gt;MAX(Main!$D$4:$D$1048576),"",INDEX(Main!Q$4:Q$1048576,MATCH(ROW(A79),Main!$D$4:$D$1048576,0))), "yyyy/m/d")</f>
        <v>2022/12/15</v>
      </c>
      <c r="N81" s="1">
        <f>IF(IF(ROW(A79)&gt;MAX(Main!$D$4:$D$1048576),"",INDEX(Main!G$4:G$1048576,MATCH(ROW(A79),Main!$D$4:$D$1048576,0)))="",IF(M81="","",N80),IF(ROW(A79)&gt;MAX(Main!$D$4:$D$1048576),"",INDEX(Main!G$4:G$1048576,MATCH(ROW(A79),Main!$D$4:$D$1048576,0))))</f>
        <v>99999859010</v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>-</v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>ー</v>
      </c>
      <c r="Q81" s="1" t="str">
        <f t="shared" si="5"/>
        <v>else</v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>遊佐町</v>
      </c>
      <c r="S81" s="9" t="str">
        <f>IF(ROW(G79)&gt;MAX(Main!$D$4:$D$1048576),"",INDEX(Main!K$4:K$1048576,MATCH(ROW(G79),Main!$D$4:$D$1048576,0)))</f>
        <v>99999859001関連</v>
      </c>
      <c r="T81" s="1">
        <f>IF(S81&lt;&gt;"",IF(ROW(G79)&gt;MAX(Main!$D$4:$D$1048576),"",INDEX(Main!N$4:N$1048576,MATCH(ROW(G79),Main!$D$4:$D$1048576,0))),"")</f>
        <v>99999859001</v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>関連</v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>2022/12/15</v>
      </c>
      <c r="C82" s="1">
        <f>IF(IF(ROW(A80)&gt;MAX(Main!$C$4:$C$1048576),"",INDEX(Main!G$4:G$1048576,MATCH(ROW(A80),Main!$C$4:$C$1048576,0)))="",IF(B82="","",C81),IF(ROW(A80)&gt;MAX(Main!$C$4:$C$1048576),"",INDEX(Main!G$4:G$1048576,MATCH(ROW(A80),Main!$C$4:$C$1048576,0))))</f>
        <v>99999859011</v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>-</v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>ー</v>
      </c>
      <c r="F82" s="1" t="str">
        <f t="shared" si="3"/>
        <v>else</v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>遊佐町</v>
      </c>
      <c r="H82" s="10" t="str">
        <f>IF(ROW(G80)&gt;MAX(Main!$C$4:$C$1048576),"",INDEX(Main!K$4:K$1048576,MATCH(ROW(G80),Main!$C$4:$C$1048576,0)))</f>
        <v>99999859001関連</v>
      </c>
      <c r="I82" s="1">
        <f>IF(H82&lt;&gt;"",IF(ROW(G80)&gt;MAX(Main!$C$4:$C$1048576),"",INDEX(Main!N$4:N$1048576,MATCH(ROW(G80),Main!$C$4:$C$1048576,0))),"")</f>
        <v>99999859001</v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>関連</v>
      </c>
      <c r="K82" s="27" t="str">
        <f t="shared" si="4"/>
        <v>クラスターNo.859</v>
      </c>
      <c r="M82" s="4" t="str">
        <f>TEXT(IF(ROW(A80)&gt;MAX(Main!$D$4:$D$1048576),"",INDEX(Main!Q$4:Q$1048576,MATCH(ROW(A80),Main!$D$4:$D$1048576,0))), "yyyy/m/d")</f>
        <v>2022/12/15</v>
      </c>
      <c r="N82" s="1">
        <f>IF(IF(ROW(A80)&gt;MAX(Main!$D$4:$D$1048576),"",INDEX(Main!G$4:G$1048576,MATCH(ROW(A80),Main!$D$4:$D$1048576,0)))="",IF(M82="","",N81),IF(ROW(A80)&gt;MAX(Main!$D$4:$D$1048576),"",INDEX(Main!G$4:G$1048576,MATCH(ROW(A80),Main!$D$4:$D$1048576,0))))</f>
        <v>99999859011</v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>-</v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>ー</v>
      </c>
      <c r="Q82" s="1" t="str">
        <f t="shared" si="5"/>
        <v>else</v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>遊佐町</v>
      </c>
      <c r="S82" s="9" t="str">
        <f>IF(ROW(G80)&gt;MAX(Main!$D$4:$D$1048576),"",INDEX(Main!K$4:K$1048576,MATCH(ROW(G80),Main!$D$4:$D$1048576,0)))</f>
        <v>99999859001関連</v>
      </c>
      <c r="T82" s="1">
        <f>IF(S82&lt;&gt;"",IF(ROW(G80)&gt;MAX(Main!$D$4:$D$1048576),"",INDEX(Main!N$4:N$1048576,MATCH(ROW(G80),Main!$D$4:$D$1048576,0))),"")</f>
        <v>99999859001</v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>関連</v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>2022/12/15</v>
      </c>
      <c r="C83" s="1">
        <f>IF(IF(ROW(A81)&gt;MAX(Main!$C$4:$C$1048576),"",INDEX(Main!G$4:G$1048576,MATCH(ROW(A81),Main!$C$4:$C$1048576,0)))="",IF(B83="","",C82),IF(ROW(A81)&gt;MAX(Main!$C$4:$C$1048576),"",INDEX(Main!G$4:G$1048576,MATCH(ROW(A81),Main!$C$4:$C$1048576,0))))</f>
        <v>99999859012</v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>-</v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>ー</v>
      </c>
      <c r="F83" s="1" t="str">
        <f t="shared" si="3"/>
        <v>else</v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>遊佐町</v>
      </c>
      <c r="H83" s="10" t="str">
        <f>IF(ROW(G81)&gt;MAX(Main!$C$4:$C$1048576),"",INDEX(Main!K$4:K$1048576,MATCH(ROW(G81),Main!$C$4:$C$1048576,0)))</f>
        <v>99999859001関連</v>
      </c>
      <c r="I83" s="1">
        <f>IF(H83&lt;&gt;"",IF(ROW(G81)&gt;MAX(Main!$C$4:$C$1048576),"",INDEX(Main!N$4:N$1048576,MATCH(ROW(G81),Main!$C$4:$C$1048576,0))),"")</f>
        <v>99999859001</v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>関連</v>
      </c>
      <c r="K83" s="27" t="str">
        <f t="shared" si="4"/>
        <v>クラスターNo.859</v>
      </c>
      <c r="M83" s="4" t="str">
        <f>TEXT(IF(ROW(A81)&gt;MAX(Main!$D$4:$D$1048576),"",INDEX(Main!Q$4:Q$1048576,MATCH(ROW(A81),Main!$D$4:$D$1048576,0))), "yyyy/m/d")</f>
        <v>2022/12/15</v>
      </c>
      <c r="N83" s="1">
        <f>IF(IF(ROW(A81)&gt;MAX(Main!$D$4:$D$1048576),"",INDEX(Main!G$4:G$1048576,MATCH(ROW(A81),Main!$D$4:$D$1048576,0)))="",IF(M83="","",N82),IF(ROW(A81)&gt;MAX(Main!$D$4:$D$1048576),"",INDEX(Main!G$4:G$1048576,MATCH(ROW(A81),Main!$D$4:$D$1048576,0))))</f>
        <v>99999859012</v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>-</v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>ー</v>
      </c>
      <c r="Q83" s="1" t="str">
        <f t="shared" si="5"/>
        <v>else</v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>遊佐町</v>
      </c>
      <c r="S83" s="9" t="str">
        <f>IF(ROW(G81)&gt;MAX(Main!$D$4:$D$1048576),"",INDEX(Main!K$4:K$1048576,MATCH(ROW(G81),Main!$D$4:$D$1048576,0)))</f>
        <v>99999859001関連</v>
      </c>
      <c r="T83" s="1">
        <f>IF(S83&lt;&gt;"",IF(ROW(G81)&gt;MAX(Main!$D$4:$D$1048576),"",INDEX(Main!N$4:N$1048576,MATCH(ROW(G81),Main!$D$4:$D$1048576,0))),"")</f>
        <v>99999859001</v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>関連</v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>2022/12/15</v>
      </c>
      <c r="C84" s="1">
        <f>IF(IF(ROW(A82)&gt;MAX(Main!$C$4:$C$1048576),"",INDEX(Main!G$4:G$1048576,MATCH(ROW(A82),Main!$C$4:$C$1048576,0)))="",IF(B84="","",C83),IF(ROW(A82)&gt;MAX(Main!$C$4:$C$1048576),"",INDEX(Main!G$4:G$1048576,MATCH(ROW(A82),Main!$C$4:$C$1048576,0))))</f>
        <v>99999859013</v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>-</v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>ー</v>
      </c>
      <c r="F84" s="1" t="str">
        <f t="shared" si="3"/>
        <v>else</v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>遊佐町</v>
      </c>
      <c r="H84" s="10" t="str">
        <f>IF(ROW(G82)&gt;MAX(Main!$C$4:$C$1048576),"",INDEX(Main!K$4:K$1048576,MATCH(ROW(G82),Main!$C$4:$C$1048576,0)))</f>
        <v>99999859001関連</v>
      </c>
      <c r="I84" s="1">
        <f>IF(H84&lt;&gt;"",IF(ROW(G82)&gt;MAX(Main!$C$4:$C$1048576),"",INDEX(Main!N$4:N$1048576,MATCH(ROW(G82),Main!$C$4:$C$1048576,0))),"")</f>
        <v>99999859001</v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>関連</v>
      </c>
      <c r="K84" s="27" t="str">
        <f t="shared" si="4"/>
        <v>クラスターNo.859</v>
      </c>
      <c r="M84" s="4" t="str">
        <f>TEXT(IF(ROW(A82)&gt;MAX(Main!$D$4:$D$1048576),"",INDEX(Main!Q$4:Q$1048576,MATCH(ROW(A82),Main!$D$4:$D$1048576,0))), "yyyy/m/d")</f>
        <v>2022/12/15</v>
      </c>
      <c r="N84" s="1">
        <f>IF(IF(ROW(A82)&gt;MAX(Main!$D$4:$D$1048576),"",INDEX(Main!G$4:G$1048576,MATCH(ROW(A82),Main!$D$4:$D$1048576,0)))="",IF(M84="","",N83),IF(ROW(A82)&gt;MAX(Main!$D$4:$D$1048576),"",INDEX(Main!G$4:G$1048576,MATCH(ROW(A82),Main!$D$4:$D$1048576,0))))</f>
        <v>99999859013</v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>-</v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>ー</v>
      </c>
      <c r="Q84" s="1" t="str">
        <f t="shared" si="5"/>
        <v>else</v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>遊佐町</v>
      </c>
      <c r="S84" s="9" t="str">
        <f>IF(ROW(G82)&gt;MAX(Main!$D$4:$D$1048576),"",INDEX(Main!K$4:K$1048576,MATCH(ROW(G82),Main!$D$4:$D$1048576,0)))</f>
        <v>99999859001関連</v>
      </c>
      <c r="T84" s="1">
        <f>IF(S84&lt;&gt;"",IF(ROW(G82)&gt;MAX(Main!$D$4:$D$1048576),"",INDEX(Main!N$4:N$1048576,MATCH(ROW(G82),Main!$D$4:$D$1048576,0))),"")</f>
        <v>99999859001</v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>関連</v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>2022/12/15</v>
      </c>
      <c r="C85" s="1">
        <f>IF(IF(ROW(A83)&gt;MAX(Main!$C$4:$C$1048576),"",INDEX(Main!G$4:G$1048576,MATCH(ROW(A83),Main!$C$4:$C$1048576,0)))="",IF(B85="","",C84),IF(ROW(A83)&gt;MAX(Main!$C$4:$C$1048576),"",INDEX(Main!G$4:G$1048576,MATCH(ROW(A83),Main!$C$4:$C$1048576,0))))</f>
        <v>99999859014</v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>-</v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>ー</v>
      </c>
      <c r="F85" s="1" t="str">
        <f t="shared" si="3"/>
        <v>else</v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>遊佐町</v>
      </c>
      <c r="H85" s="10" t="str">
        <f>IF(ROW(G83)&gt;MAX(Main!$C$4:$C$1048576),"",INDEX(Main!K$4:K$1048576,MATCH(ROW(G83),Main!$C$4:$C$1048576,0)))</f>
        <v>99999859001関連</v>
      </c>
      <c r="I85" s="1">
        <f>IF(H85&lt;&gt;"",IF(ROW(G83)&gt;MAX(Main!$C$4:$C$1048576),"",INDEX(Main!N$4:N$1048576,MATCH(ROW(G83),Main!$C$4:$C$1048576,0))),"")</f>
        <v>99999859001</v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>関連</v>
      </c>
      <c r="K85" s="27" t="str">
        <f t="shared" si="4"/>
        <v>クラスターNo.859</v>
      </c>
      <c r="M85" s="4" t="str">
        <f>TEXT(IF(ROW(A83)&gt;MAX(Main!$D$4:$D$1048576),"",INDEX(Main!Q$4:Q$1048576,MATCH(ROW(A83),Main!$D$4:$D$1048576,0))), "yyyy/m/d")</f>
        <v>2022/12/15</v>
      </c>
      <c r="N85" s="1">
        <f>IF(IF(ROW(A83)&gt;MAX(Main!$D$4:$D$1048576),"",INDEX(Main!G$4:G$1048576,MATCH(ROW(A83),Main!$D$4:$D$1048576,0)))="",IF(M85="","",N84),IF(ROW(A83)&gt;MAX(Main!$D$4:$D$1048576),"",INDEX(Main!G$4:G$1048576,MATCH(ROW(A83),Main!$D$4:$D$1048576,0))))</f>
        <v>99999859014</v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>-</v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>ー</v>
      </c>
      <c r="Q85" s="1" t="str">
        <f t="shared" si="5"/>
        <v>else</v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>遊佐町</v>
      </c>
      <c r="S85" s="9" t="str">
        <f>IF(ROW(G83)&gt;MAX(Main!$D$4:$D$1048576),"",INDEX(Main!K$4:K$1048576,MATCH(ROW(G83),Main!$D$4:$D$1048576,0)))</f>
        <v>99999859001関連</v>
      </c>
      <c r="T85" s="1">
        <f>IF(S85&lt;&gt;"",IF(ROW(G83)&gt;MAX(Main!$D$4:$D$1048576),"",INDEX(Main!N$4:N$1048576,MATCH(ROW(G83),Main!$D$4:$D$1048576,0))),"")</f>
        <v>99999859001</v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>関連</v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>2022/12/15</v>
      </c>
      <c r="C86" s="1">
        <f>IF(IF(ROW(A84)&gt;MAX(Main!$C$4:$C$1048576),"",INDEX(Main!G$4:G$1048576,MATCH(ROW(A84),Main!$C$4:$C$1048576,0)))="",IF(B86="","",C85),IF(ROW(A84)&gt;MAX(Main!$C$4:$C$1048576),"",INDEX(Main!G$4:G$1048576,MATCH(ROW(A84),Main!$C$4:$C$1048576,0))))</f>
        <v>99999859015</v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>-</v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>ー</v>
      </c>
      <c r="F86" s="1" t="str">
        <f t="shared" si="3"/>
        <v>else</v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>遊佐町</v>
      </c>
      <c r="H86" s="10" t="str">
        <f>IF(ROW(G84)&gt;MAX(Main!$C$4:$C$1048576),"",INDEX(Main!K$4:K$1048576,MATCH(ROW(G84),Main!$C$4:$C$1048576,0)))</f>
        <v>99999859001関連</v>
      </c>
      <c r="I86" s="1">
        <f>IF(H86&lt;&gt;"",IF(ROW(G84)&gt;MAX(Main!$C$4:$C$1048576),"",INDEX(Main!N$4:N$1048576,MATCH(ROW(G84),Main!$C$4:$C$1048576,0))),"")</f>
        <v>99999859001</v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>関連</v>
      </c>
      <c r="K86" s="27" t="str">
        <f t="shared" si="4"/>
        <v>クラスターNo.859</v>
      </c>
      <c r="M86" s="4" t="str">
        <f>TEXT(IF(ROW(A84)&gt;MAX(Main!$D$4:$D$1048576),"",INDEX(Main!Q$4:Q$1048576,MATCH(ROW(A84),Main!$D$4:$D$1048576,0))), "yyyy/m/d")</f>
        <v>2022/12/15</v>
      </c>
      <c r="N86" s="1">
        <f>IF(IF(ROW(A84)&gt;MAX(Main!$D$4:$D$1048576),"",INDEX(Main!G$4:G$1048576,MATCH(ROW(A84),Main!$D$4:$D$1048576,0)))="",IF(M86="","",N85),IF(ROW(A84)&gt;MAX(Main!$D$4:$D$1048576),"",INDEX(Main!G$4:G$1048576,MATCH(ROW(A84),Main!$D$4:$D$1048576,0))))</f>
        <v>99999859015</v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>-</v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>ー</v>
      </c>
      <c r="Q86" s="1" t="str">
        <f t="shared" si="5"/>
        <v>else</v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>遊佐町</v>
      </c>
      <c r="S86" s="9" t="str">
        <f>IF(ROW(G84)&gt;MAX(Main!$D$4:$D$1048576),"",INDEX(Main!K$4:K$1048576,MATCH(ROW(G84),Main!$D$4:$D$1048576,0)))</f>
        <v>99999859001関連</v>
      </c>
      <c r="T86" s="1">
        <f>IF(S86&lt;&gt;"",IF(ROW(G84)&gt;MAX(Main!$D$4:$D$1048576),"",INDEX(Main!N$4:N$1048576,MATCH(ROW(G84),Main!$D$4:$D$1048576,0))),"")</f>
        <v>99999859001</v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>関連</v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>2022/12/15</v>
      </c>
      <c r="C87" s="1">
        <f>IF(IF(ROW(A85)&gt;MAX(Main!$C$4:$C$1048576),"",INDEX(Main!G$4:G$1048576,MATCH(ROW(A85),Main!$C$4:$C$1048576,0)))="",IF(B87="","",C86),IF(ROW(A85)&gt;MAX(Main!$C$4:$C$1048576),"",INDEX(Main!G$4:G$1048576,MATCH(ROW(A85),Main!$C$4:$C$1048576,0))))</f>
        <v>99999859016</v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>-</v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>ー</v>
      </c>
      <c r="F87" s="1" t="str">
        <f t="shared" si="3"/>
        <v>else</v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>遊佐町</v>
      </c>
      <c r="H87" s="10" t="str">
        <f>IF(ROW(G85)&gt;MAX(Main!$C$4:$C$1048576),"",INDEX(Main!K$4:K$1048576,MATCH(ROW(G85),Main!$C$4:$C$1048576,0)))</f>
        <v>99999859001関連</v>
      </c>
      <c r="I87" s="1">
        <f>IF(H87&lt;&gt;"",IF(ROW(G85)&gt;MAX(Main!$C$4:$C$1048576),"",INDEX(Main!N$4:N$1048576,MATCH(ROW(G85),Main!$C$4:$C$1048576,0))),"")</f>
        <v>99999859001</v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>関連</v>
      </c>
      <c r="K87" s="27" t="str">
        <f t="shared" si="4"/>
        <v>クラスターNo.859</v>
      </c>
      <c r="M87" s="4" t="str">
        <f>TEXT(IF(ROW(A85)&gt;MAX(Main!$D$4:$D$1048576),"",INDEX(Main!Q$4:Q$1048576,MATCH(ROW(A85),Main!$D$4:$D$1048576,0))), "yyyy/m/d")</f>
        <v>2022/12/15</v>
      </c>
      <c r="N87" s="1">
        <f>IF(IF(ROW(A85)&gt;MAX(Main!$D$4:$D$1048576),"",INDEX(Main!G$4:G$1048576,MATCH(ROW(A85),Main!$D$4:$D$1048576,0)))="",IF(M87="","",N86),IF(ROW(A85)&gt;MAX(Main!$D$4:$D$1048576),"",INDEX(Main!G$4:G$1048576,MATCH(ROW(A85),Main!$D$4:$D$1048576,0))))</f>
        <v>99999859016</v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>-</v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>ー</v>
      </c>
      <c r="Q87" s="1" t="str">
        <f t="shared" si="5"/>
        <v>else</v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>遊佐町</v>
      </c>
      <c r="S87" s="9" t="str">
        <f>IF(ROW(G85)&gt;MAX(Main!$D$4:$D$1048576),"",INDEX(Main!K$4:K$1048576,MATCH(ROW(G85),Main!$D$4:$D$1048576,0)))</f>
        <v>99999859001関連</v>
      </c>
      <c r="T87" s="1">
        <f>IF(S87&lt;&gt;"",IF(ROW(G85)&gt;MAX(Main!$D$4:$D$1048576),"",INDEX(Main!N$4:N$1048576,MATCH(ROW(G85),Main!$D$4:$D$1048576,0))),"")</f>
        <v>99999859001</v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>関連</v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>2022/12/15</v>
      </c>
      <c r="C88" s="1">
        <f>IF(IF(ROW(A86)&gt;MAX(Main!$C$4:$C$1048576),"",INDEX(Main!G$4:G$1048576,MATCH(ROW(A86),Main!$C$4:$C$1048576,0)))="",IF(B88="","",C87),IF(ROW(A86)&gt;MAX(Main!$C$4:$C$1048576),"",INDEX(Main!G$4:G$1048576,MATCH(ROW(A86),Main!$C$4:$C$1048576,0))))</f>
        <v>99999859017</v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>-</v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>ー</v>
      </c>
      <c r="F88" s="1" t="str">
        <f t="shared" si="3"/>
        <v>else</v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>遊佐町</v>
      </c>
      <c r="H88" s="10" t="str">
        <f>IF(ROW(G86)&gt;MAX(Main!$C$4:$C$1048576),"",INDEX(Main!K$4:K$1048576,MATCH(ROW(G86),Main!$C$4:$C$1048576,0)))</f>
        <v>99999859001関連</v>
      </c>
      <c r="I88" s="1">
        <f>IF(H88&lt;&gt;"",IF(ROW(G86)&gt;MAX(Main!$C$4:$C$1048576),"",INDEX(Main!N$4:N$1048576,MATCH(ROW(G86),Main!$C$4:$C$1048576,0))),"")</f>
        <v>99999859001</v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>関連</v>
      </c>
      <c r="K88" s="27" t="str">
        <f t="shared" si="4"/>
        <v>クラスターNo.859</v>
      </c>
      <c r="M88" s="4" t="str">
        <f>TEXT(IF(ROW(A86)&gt;MAX(Main!$D$4:$D$1048576),"",INDEX(Main!Q$4:Q$1048576,MATCH(ROW(A86),Main!$D$4:$D$1048576,0))), "yyyy/m/d")</f>
        <v>2022/12/15</v>
      </c>
      <c r="N88" s="1">
        <f>IF(IF(ROW(A86)&gt;MAX(Main!$D$4:$D$1048576),"",INDEX(Main!G$4:G$1048576,MATCH(ROW(A86),Main!$D$4:$D$1048576,0)))="",IF(M88="","",N87),IF(ROW(A86)&gt;MAX(Main!$D$4:$D$1048576),"",INDEX(Main!G$4:G$1048576,MATCH(ROW(A86),Main!$D$4:$D$1048576,0))))</f>
        <v>99999859017</v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>-</v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>ー</v>
      </c>
      <c r="Q88" s="1" t="str">
        <f t="shared" si="5"/>
        <v>else</v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>遊佐町</v>
      </c>
      <c r="S88" s="9" t="str">
        <f>IF(ROW(G86)&gt;MAX(Main!$D$4:$D$1048576),"",INDEX(Main!K$4:K$1048576,MATCH(ROW(G86),Main!$D$4:$D$1048576,0)))</f>
        <v>99999859001関連</v>
      </c>
      <c r="T88" s="1">
        <f>IF(S88&lt;&gt;"",IF(ROW(G86)&gt;MAX(Main!$D$4:$D$1048576),"",INDEX(Main!N$4:N$1048576,MATCH(ROW(G86),Main!$D$4:$D$1048576,0))),"")</f>
        <v>99999859001</v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>関連</v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>2022/12/15</v>
      </c>
      <c r="C89" s="1">
        <f>IF(IF(ROW(A87)&gt;MAX(Main!$C$4:$C$1048576),"",INDEX(Main!G$4:G$1048576,MATCH(ROW(A87),Main!$C$4:$C$1048576,0)))="",IF(B89="","",C88),IF(ROW(A87)&gt;MAX(Main!$C$4:$C$1048576),"",INDEX(Main!G$4:G$1048576,MATCH(ROW(A87),Main!$C$4:$C$1048576,0))))</f>
        <v>99999859018</v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>-</v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>ー</v>
      </c>
      <c r="F89" s="1" t="str">
        <f t="shared" si="3"/>
        <v>else</v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>遊佐町</v>
      </c>
      <c r="H89" s="10" t="str">
        <f>IF(ROW(G87)&gt;MAX(Main!$C$4:$C$1048576),"",INDEX(Main!K$4:K$1048576,MATCH(ROW(G87),Main!$C$4:$C$1048576,0)))</f>
        <v>99999859001関連</v>
      </c>
      <c r="I89" s="1">
        <f>IF(H89&lt;&gt;"",IF(ROW(G87)&gt;MAX(Main!$C$4:$C$1048576),"",INDEX(Main!N$4:N$1048576,MATCH(ROW(G87),Main!$C$4:$C$1048576,0))),"")</f>
        <v>99999859001</v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>関連</v>
      </c>
      <c r="K89" s="27" t="str">
        <f t="shared" si="4"/>
        <v>クラスターNo.859</v>
      </c>
      <c r="M89" s="4" t="str">
        <f>TEXT(IF(ROW(A87)&gt;MAX(Main!$D$4:$D$1048576),"",INDEX(Main!Q$4:Q$1048576,MATCH(ROW(A87),Main!$D$4:$D$1048576,0))), "yyyy/m/d")</f>
        <v>2022/12/15</v>
      </c>
      <c r="N89" s="1">
        <f>IF(IF(ROW(A87)&gt;MAX(Main!$D$4:$D$1048576),"",INDEX(Main!G$4:G$1048576,MATCH(ROW(A87),Main!$D$4:$D$1048576,0)))="",IF(M89="","",N88),IF(ROW(A87)&gt;MAX(Main!$D$4:$D$1048576),"",INDEX(Main!G$4:G$1048576,MATCH(ROW(A87),Main!$D$4:$D$1048576,0))))</f>
        <v>99999859018</v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>-</v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>ー</v>
      </c>
      <c r="Q89" s="1" t="str">
        <f t="shared" si="5"/>
        <v>else</v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>遊佐町</v>
      </c>
      <c r="S89" s="9" t="str">
        <f>IF(ROW(G87)&gt;MAX(Main!$D$4:$D$1048576),"",INDEX(Main!K$4:K$1048576,MATCH(ROW(G87),Main!$D$4:$D$1048576,0)))</f>
        <v>99999859001関連</v>
      </c>
      <c r="T89" s="1">
        <f>IF(S89&lt;&gt;"",IF(ROW(G87)&gt;MAX(Main!$D$4:$D$1048576),"",INDEX(Main!N$4:N$1048576,MATCH(ROW(G87),Main!$D$4:$D$1048576,0))),"")</f>
        <v>99999859001</v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>関連</v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>2022/12/15</v>
      </c>
      <c r="C90" s="1">
        <f>IF(IF(ROW(A88)&gt;MAX(Main!$C$4:$C$1048576),"",INDEX(Main!G$4:G$1048576,MATCH(ROW(A88),Main!$C$4:$C$1048576,0)))="",IF(B90="","",C89),IF(ROW(A88)&gt;MAX(Main!$C$4:$C$1048576),"",INDEX(Main!G$4:G$1048576,MATCH(ROW(A88),Main!$C$4:$C$1048576,0))))</f>
        <v>99999859019</v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>-</v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>ー</v>
      </c>
      <c r="F90" s="1" t="str">
        <f t="shared" si="3"/>
        <v>else</v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>遊佐町</v>
      </c>
      <c r="H90" s="10" t="str">
        <f>IF(ROW(G88)&gt;MAX(Main!$C$4:$C$1048576),"",INDEX(Main!K$4:K$1048576,MATCH(ROW(G88),Main!$C$4:$C$1048576,0)))</f>
        <v>99999859001関連</v>
      </c>
      <c r="I90" s="1">
        <f>IF(H90&lt;&gt;"",IF(ROW(G88)&gt;MAX(Main!$C$4:$C$1048576),"",INDEX(Main!N$4:N$1048576,MATCH(ROW(G88),Main!$C$4:$C$1048576,0))),"")</f>
        <v>99999859001</v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>関連</v>
      </c>
      <c r="K90" s="27" t="str">
        <f t="shared" si="4"/>
        <v>クラスターNo.859</v>
      </c>
      <c r="M90" s="4" t="str">
        <f>TEXT(IF(ROW(A88)&gt;MAX(Main!$D$4:$D$1048576),"",INDEX(Main!Q$4:Q$1048576,MATCH(ROW(A88),Main!$D$4:$D$1048576,0))), "yyyy/m/d")</f>
        <v>2022/12/15</v>
      </c>
      <c r="N90" s="1">
        <f>IF(IF(ROW(A88)&gt;MAX(Main!$D$4:$D$1048576),"",INDEX(Main!G$4:G$1048576,MATCH(ROW(A88),Main!$D$4:$D$1048576,0)))="",IF(M90="","",N89),IF(ROW(A88)&gt;MAX(Main!$D$4:$D$1048576),"",INDEX(Main!G$4:G$1048576,MATCH(ROW(A88),Main!$D$4:$D$1048576,0))))</f>
        <v>99999859019</v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>-</v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>ー</v>
      </c>
      <c r="Q90" s="1" t="str">
        <f t="shared" si="5"/>
        <v>else</v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>遊佐町</v>
      </c>
      <c r="S90" s="9" t="str">
        <f>IF(ROW(G88)&gt;MAX(Main!$D$4:$D$1048576),"",INDEX(Main!K$4:K$1048576,MATCH(ROW(G88),Main!$D$4:$D$1048576,0)))</f>
        <v>99999859001関連</v>
      </c>
      <c r="T90" s="1">
        <f>IF(S90&lt;&gt;"",IF(ROW(G88)&gt;MAX(Main!$D$4:$D$1048576),"",INDEX(Main!N$4:N$1048576,MATCH(ROW(G88),Main!$D$4:$D$1048576,0))),"")</f>
        <v>99999859001</v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>関連</v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>2022/12/15</v>
      </c>
      <c r="C91" s="1">
        <f>IF(IF(ROW(A89)&gt;MAX(Main!$C$4:$C$1048576),"",INDEX(Main!G$4:G$1048576,MATCH(ROW(A89),Main!$C$4:$C$1048576,0)))="",IF(B91="","",C90),IF(ROW(A89)&gt;MAX(Main!$C$4:$C$1048576),"",INDEX(Main!G$4:G$1048576,MATCH(ROW(A89),Main!$C$4:$C$1048576,0))))</f>
        <v>99999859020</v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>-</v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>ー</v>
      </c>
      <c r="F91" s="1" t="str">
        <f t="shared" si="3"/>
        <v>else</v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>遊佐町</v>
      </c>
      <c r="H91" s="10" t="str">
        <f>IF(ROW(G89)&gt;MAX(Main!$C$4:$C$1048576),"",INDEX(Main!K$4:K$1048576,MATCH(ROW(G89),Main!$C$4:$C$1048576,0)))</f>
        <v>99999859001関連</v>
      </c>
      <c r="I91" s="1">
        <f>IF(H91&lt;&gt;"",IF(ROW(G89)&gt;MAX(Main!$C$4:$C$1048576),"",INDEX(Main!N$4:N$1048576,MATCH(ROW(G89),Main!$C$4:$C$1048576,0))),"")</f>
        <v>99999859001</v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>関連</v>
      </c>
      <c r="K91" s="27" t="str">
        <f t="shared" si="4"/>
        <v>クラスターNo.859</v>
      </c>
      <c r="M91" s="4" t="str">
        <f>TEXT(IF(ROW(A89)&gt;MAX(Main!$D$4:$D$1048576),"",INDEX(Main!Q$4:Q$1048576,MATCH(ROW(A89),Main!$D$4:$D$1048576,0))), "yyyy/m/d")</f>
        <v>2022/12/15</v>
      </c>
      <c r="N91" s="1">
        <f>IF(IF(ROW(A89)&gt;MAX(Main!$D$4:$D$1048576),"",INDEX(Main!G$4:G$1048576,MATCH(ROW(A89),Main!$D$4:$D$1048576,0)))="",IF(M91="","",N90),IF(ROW(A89)&gt;MAX(Main!$D$4:$D$1048576),"",INDEX(Main!G$4:G$1048576,MATCH(ROW(A89),Main!$D$4:$D$1048576,0))))</f>
        <v>99999859020</v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>-</v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>ー</v>
      </c>
      <c r="Q91" s="1" t="str">
        <f t="shared" si="5"/>
        <v>else</v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>遊佐町</v>
      </c>
      <c r="S91" s="9" t="str">
        <f>IF(ROW(G89)&gt;MAX(Main!$D$4:$D$1048576),"",INDEX(Main!K$4:K$1048576,MATCH(ROW(G89),Main!$D$4:$D$1048576,0)))</f>
        <v>99999859001関連</v>
      </c>
      <c r="T91" s="1">
        <f>IF(S91&lt;&gt;"",IF(ROW(G89)&gt;MAX(Main!$D$4:$D$1048576),"",INDEX(Main!N$4:N$1048576,MATCH(ROW(G89),Main!$D$4:$D$1048576,0))),"")</f>
        <v>99999859001</v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>関連</v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>2022/12/15</v>
      </c>
      <c r="C92" s="1">
        <f>IF(IF(ROW(A90)&gt;MAX(Main!$C$4:$C$1048576),"",INDEX(Main!G$4:G$1048576,MATCH(ROW(A90),Main!$C$4:$C$1048576,0)))="",IF(B92="","",C91),IF(ROW(A90)&gt;MAX(Main!$C$4:$C$1048576),"",INDEX(Main!G$4:G$1048576,MATCH(ROW(A90),Main!$C$4:$C$1048576,0))))</f>
        <v>99999859021</v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>-</v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>ー</v>
      </c>
      <c r="F92" s="1" t="str">
        <f t="shared" si="3"/>
        <v>else</v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>遊佐町</v>
      </c>
      <c r="H92" s="10" t="str">
        <f>IF(ROW(G90)&gt;MAX(Main!$C$4:$C$1048576),"",INDEX(Main!K$4:K$1048576,MATCH(ROW(G90),Main!$C$4:$C$1048576,0)))</f>
        <v>99999859001関連</v>
      </c>
      <c r="I92" s="1">
        <f>IF(H92&lt;&gt;"",IF(ROW(G90)&gt;MAX(Main!$C$4:$C$1048576),"",INDEX(Main!N$4:N$1048576,MATCH(ROW(G90),Main!$C$4:$C$1048576,0))),"")</f>
        <v>99999859001</v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>関連</v>
      </c>
      <c r="K92" s="27" t="str">
        <f t="shared" si="4"/>
        <v>クラスターNo.859</v>
      </c>
      <c r="M92" s="4" t="str">
        <f>TEXT(IF(ROW(A90)&gt;MAX(Main!$D$4:$D$1048576),"",INDEX(Main!Q$4:Q$1048576,MATCH(ROW(A90),Main!$D$4:$D$1048576,0))), "yyyy/m/d")</f>
        <v>2022/12/15</v>
      </c>
      <c r="N92" s="1">
        <f>IF(IF(ROW(A90)&gt;MAX(Main!$D$4:$D$1048576),"",INDEX(Main!G$4:G$1048576,MATCH(ROW(A90),Main!$D$4:$D$1048576,0)))="",IF(M92="","",N91),IF(ROW(A90)&gt;MAX(Main!$D$4:$D$1048576),"",INDEX(Main!G$4:G$1048576,MATCH(ROW(A90),Main!$D$4:$D$1048576,0))))</f>
        <v>99999859021</v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>-</v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>ー</v>
      </c>
      <c r="Q92" s="1" t="str">
        <f t="shared" si="5"/>
        <v>else</v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>遊佐町</v>
      </c>
      <c r="S92" s="9" t="str">
        <f>IF(ROW(G90)&gt;MAX(Main!$D$4:$D$1048576),"",INDEX(Main!K$4:K$1048576,MATCH(ROW(G90),Main!$D$4:$D$1048576,0)))</f>
        <v>99999859001関連</v>
      </c>
      <c r="T92" s="1">
        <f>IF(S92&lt;&gt;"",IF(ROW(G90)&gt;MAX(Main!$D$4:$D$1048576),"",INDEX(Main!N$4:N$1048576,MATCH(ROW(G90),Main!$D$4:$D$1048576,0))),"")</f>
        <v>99999859001</v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>関連</v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>2022/12/15</v>
      </c>
      <c r="C93" s="1">
        <f>IF(IF(ROW(A91)&gt;MAX(Main!$C$4:$C$1048576),"",INDEX(Main!G$4:G$1048576,MATCH(ROW(A91),Main!$C$4:$C$1048576,0)))="",IF(B93="","",C92),IF(ROW(A91)&gt;MAX(Main!$C$4:$C$1048576),"",INDEX(Main!G$4:G$1048576,MATCH(ROW(A91),Main!$C$4:$C$1048576,0))))</f>
        <v>99999859022</v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>-</v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>ー</v>
      </c>
      <c r="F93" s="1" t="str">
        <f t="shared" si="3"/>
        <v>else</v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>遊佐町</v>
      </c>
      <c r="H93" s="10" t="str">
        <f>IF(ROW(G91)&gt;MAX(Main!$C$4:$C$1048576),"",INDEX(Main!K$4:K$1048576,MATCH(ROW(G91),Main!$C$4:$C$1048576,0)))</f>
        <v>99999859001関連</v>
      </c>
      <c r="I93" s="1">
        <f>IF(H93&lt;&gt;"",IF(ROW(G91)&gt;MAX(Main!$C$4:$C$1048576),"",INDEX(Main!N$4:N$1048576,MATCH(ROW(G91),Main!$C$4:$C$1048576,0))),"")</f>
        <v>99999859001</v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>関連</v>
      </c>
      <c r="K93" s="27" t="str">
        <f t="shared" si="4"/>
        <v>クラスターNo.859</v>
      </c>
      <c r="M93" s="4" t="str">
        <f>TEXT(IF(ROW(A91)&gt;MAX(Main!$D$4:$D$1048576),"",INDEX(Main!Q$4:Q$1048576,MATCH(ROW(A91),Main!$D$4:$D$1048576,0))), "yyyy/m/d")</f>
        <v>2022/12/15</v>
      </c>
      <c r="N93" s="1">
        <f>IF(IF(ROW(A91)&gt;MAX(Main!$D$4:$D$1048576),"",INDEX(Main!G$4:G$1048576,MATCH(ROW(A91),Main!$D$4:$D$1048576,0)))="",IF(M93="","",N92),IF(ROW(A91)&gt;MAX(Main!$D$4:$D$1048576),"",INDEX(Main!G$4:G$1048576,MATCH(ROW(A91),Main!$D$4:$D$1048576,0))))</f>
        <v>99999859022</v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>-</v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>ー</v>
      </c>
      <c r="Q93" s="1" t="str">
        <f t="shared" si="5"/>
        <v>else</v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>遊佐町</v>
      </c>
      <c r="S93" s="9" t="str">
        <f>IF(ROW(G91)&gt;MAX(Main!$D$4:$D$1048576),"",INDEX(Main!K$4:K$1048576,MATCH(ROW(G91),Main!$D$4:$D$1048576,0)))</f>
        <v>99999859001関連</v>
      </c>
      <c r="T93" s="1">
        <f>IF(S93&lt;&gt;"",IF(ROW(G91)&gt;MAX(Main!$D$4:$D$1048576),"",INDEX(Main!N$4:N$1048576,MATCH(ROW(G91),Main!$D$4:$D$1048576,0))),"")</f>
        <v>99999859001</v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>関連</v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>2022/12/15</v>
      </c>
      <c r="C94" s="1">
        <f>IF(IF(ROW(A92)&gt;MAX(Main!$C$4:$C$1048576),"",INDEX(Main!G$4:G$1048576,MATCH(ROW(A92),Main!$C$4:$C$1048576,0)))="",IF(B94="","",C93),IF(ROW(A92)&gt;MAX(Main!$C$4:$C$1048576),"",INDEX(Main!G$4:G$1048576,MATCH(ROW(A92),Main!$C$4:$C$1048576,0))))</f>
        <v>99999859023</v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>-</v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>ー</v>
      </c>
      <c r="F94" s="1" t="str">
        <f t="shared" si="3"/>
        <v>else</v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>遊佐町</v>
      </c>
      <c r="H94" s="10" t="str">
        <f>IF(ROW(G92)&gt;MAX(Main!$C$4:$C$1048576),"",INDEX(Main!K$4:K$1048576,MATCH(ROW(G92),Main!$C$4:$C$1048576,0)))</f>
        <v>99999859001関連</v>
      </c>
      <c r="I94" s="1">
        <f>IF(H94&lt;&gt;"",IF(ROW(G92)&gt;MAX(Main!$C$4:$C$1048576),"",INDEX(Main!N$4:N$1048576,MATCH(ROW(G92),Main!$C$4:$C$1048576,0))),"")</f>
        <v>99999859001</v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>関連</v>
      </c>
      <c r="K94" s="27" t="str">
        <f t="shared" si="4"/>
        <v>クラスターNo.859</v>
      </c>
      <c r="M94" s="4" t="str">
        <f>TEXT(IF(ROW(A92)&gt;MAX(Main!$D$4:$D$1048576),"",INDEX(Main!Q$4:Q$1048576,MATCH(ROW(A92),Main!$D$4:$D$1048576,0))), "yyyy/m/d")</f>
        <v>2022/12/15</v>
      </c>
      <c r="N94" s="1">
        <f>IF(IF(ROW(A92)&gt;MAX(Main!$D$4:$D$1048576),"",INDEX(Main!G$4:G$1048576,MATCH(ROW(A92),Main!$D$4:$D$1048576,0)))="",IF(M94="","",N93),IF(ROW(A92)&gt;MAX(Main!$D$4:$D$1048576),"",INDEX(Main!G$4:G$1048576,MATCH(ROW(A92),Main!$D$4:$D$1048576,0))))</f>
        <v>99999859023</v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>-</v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>ー</v>
      </c>
      <c r="Q94" s="1" t="str">
        <f t="shared" si="5"/>
        <v>else</v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>遊佐町</v>
      </c>
      <c r="S94" s="9" t="str">
        <f>IF(ROW(G92)&gt;MAX(Main!$D$4:$D$1048576),"",INDEX(Main!K$4:K$1048576,MATCH(ROW(G92),Main!$D$4:$D$1048576,0)))</f>
        <v>99999859001関連</v>
      </c>
      <c r="T94" s="1">
        <f>IF(S94&lt;&gt;"",IF(ROW(G92)&gt;MAX(Main!$D$4:$D$1048576),"",INDEX(Main!N$4:N$1048576,MATCH(ROW(G92),Main!$D$4:$D$1048576,0))),"")</f>
        <v>99999859001</v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>関連</v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>2022/12/15</v>
      </c>
      <c r="C95" s="1">
        <f>IF(IF(ROW(A93)&gt;MAX(Main!$C$4:$C$1048576),"",INDEX(Main!G$4:G$1048576,MATCH(ROW(A93),Main!$C$4:$C$1048576,0)))="",IF(B95="","",C94),IF(ROW(A93)&gt;MAX(Main!$C$4:$C$1048576),"",INDEX(Main!G$4:G$1048576,MATCH(ROW(A93),Main!$C$4:$C$1048576,0))))</f>
        <v>99999859024</v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>-</v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>ー</v>
      </c>
      <c r="F95" s="1" t="str">
        <f t="shared" si="3"/>
        <v>else</v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>遊佐町</v>
      </c>
      <c r="H95" s="10" t="str">
        <f>IF(ROW(G93)&gt;MAX(Main!$C$4:$C$1048576),"",INDEX(Main!K$4:K$1048576,MATCH(ROW(G93),Main!$C$4:$C$1048576,0)))</f>
        <v>99999859001関連</v>
      </c>
      <c r="I95" s="1">
        <f>IF(H95&lt;&gt;"",IF(ROW(G93)&gt;MAX(Main!$C$4:$C$1048576),"",INDEX(Main!N$4:N$1048576,MATCH(ROW(G93),Main!$C$4:$C$1048576,0))),"")</f>
        <v>99999859001</v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>関連</v>
      </c>
      <c r="K95" s="27" t="str">
        <f t="shared" si="4"/>
        <v>クラスターNo.859</v>
      </c>
      <c r="M95" s="4" t="str">
        <f>TEXT(IF(ROW(A93)&gt;MAX(Main!$D$4:$D$1048576),"",INDEX(Main!Q$4:Q$1048576,MATCH(ROW(A93),Main!$D$4:$D$1048576,0))), "yyyy/m/d")</f>
        <v>2022/12/15</v>
      </c>
      <c r="N95" s="1">
        <f>IF(IF(ROW(A93)&gt;MAX(Main!$D$4:$D$1048576),"",INDEX(Main!G$4:G$1048576,MATCH(ROW(A93),Main!$D$4:$D$1048576,0)))="",IF(M95="","",N94),IF(ROW(A93)&gt;MAX(Main!$D$4:$D$1048576),"",INDEX(Main!G$4:G$1048576,MATCH(ROW(A93),Main!$D$4:$D$1048576,0))))</f>
        <v>99999859024</v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>-</v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>ー</v>
      </c>
      <c r="Q95" s="1" t="str">
        <f t="shared" si="5"/>
        <v>else</v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>遊佐町</v>
      </c>
      <c r="S95" s="9" t="str">
        <f>IF(ROW(G93)&gt;MAX(Main!$D$4:$D$1048576),"",INDEX(Main!K$4:K$1048576,MATCH(ROW(G93),Main!$D$4:$D$1048576,0)))</f>
        <v>99999859001関連</v>
      </c>
      <c r="T95" s="1">
        <f>IF(S95&lt;&gt;"",IF(ROW(G93)&gt;MAX(Main!$D$4:$D$1048576),"",INDEX(Main!N$4:N$1048576,MATCH(ROW(G93),Main!$D$4:$D$1048576,0))),"")</f>
        <v>99999859001</v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>関連</v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>2022/12/15</v>
      </c>
      <c r="C96" s="1">
        <f>IF(IF(ROW(A94)&gt;MAX(Main!$C$4:$C$1048576),"",INDEX(Main!G$4:G$1048576,MATCH(ROW(A94),Main!$C$4:$C$1048576,0)))="",IF(B96="","",C95),IF(ROW(A94)&gt;MAX(Main!$C$4:$C$1048576),"",INDEX(Main!G$4:G$1048576,MATCH(ROW(A94),Main!$C$4:$C$1048576,0))))</f>
        <v>99999859025</v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>-</v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>ー</v>
      </c>
      <c r="F96" s="1" t="str">
        <f t="shared" si="3"/>
        <v>else</v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>遊佐町</v>
      </c>
      <c r="H96" s="10" t="str">
        <f>IF(ROW(G94)&gt;MAX(Main!$C$4:$C$1048576),"",INDEX(Main!K$4:K$1048576,MATCH(ROW(G94),Main!$C$4:$C$1048576,0)))</f>
        <v>99999859001関連</v>
      </c>
      <c r="I96" s="1">
        <f>IF(H96&lt;&gt;"",IF(ROW(G94)&gt;MAX(Main!$C$4:$C$1048576),"",INDEX(Main!N$4:N$1048576,MATCH(ROW(G94),Main!$C$4:$C$1048576,0))),"")</f>
        <v>99999859001</v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>関連</v>
      </c>
      <c r="K96" s="27" t="str">
        <f t="shared" si="4"/>
        <v>クラスターNo.859</v>
      </c>
      <c r="M96" s="4" t="str">
        <f>TEXT(IF(ROW(A94)&gt;MAX(Main!$D$4:$D$1048576),"",INDEX(Main!Q$4:Q$1048576,MATCH(ROW(A94),Main!$D$4:$D$1048576,0))), "yyyy/m/d")</f>
        <v>2022/12/15</v>
      </c>
      <c r="N96" s="1">
        <f>IF(IF(ROW(A94)&gt;MAX(Main!$D$4:$D$1048576),"",INDEX(Main!G$4:G$1048576,MATCH(ROW(A94),Main!$D$4:$D$1048576,0)))="",IF(M96="","",N95),IF(ROW(A94)&gt;MAX(Main!$D$4:$D$1048576),"",INDEX(Main!G$4:G$1048576,MATCH(ROW(A94),Main!$D$4:$D$1048576,0))))</f>
        <v>99999859025</v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>-</v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>ー</v>
      </c>
      <c r="Q96" s="1" t="str">
        <f t="shared" si="5"/>
        <v>else</v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>遊佐町</v>
      </c>
      <c r="S96" s="9" t="str">
        <f>IF(ROW(G94)&gt;MAX(Main!$D$4:$D$1048576),"",INDEX(Main!K$4:K$1048576,MATCH(ROW(G94),Main!$D$4:$D$1048576,0)))</f>
        <v>99999859001関連</v>
      </c>
      <c r="T96" s="1">
        <f>IF(S96&lt;&gt;"",IF(ROW(G94)&gt;MAX(Main!$D$4:$D$1048576),"",INDEX(Main!N$4:N$1048576,MATCH(ROW(G94),Main!$D$4:$D$1048576,0))),"")</f>
        <v>99999859001</v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>関連</v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>2022/12/15</v>
      </c>
      <c r="C97" s="1">
        <f>IF(IF(ROW(A95)&gt;MAX(Main!$C$4:$C$1048576),"",INDEX(Main!G$4:G$1048576,MATCH(ROW(A95),Main!$C$4:$C$1048576,0)))="",IF(B97="","",C96),IF(ROW(A95)&gt;MAX(Main!$C$4:$C$1048576),"",INDEX(Main!G$4:G$1048576,MATCH(ROW(A95),Main!$C$4:$C$1048576,0))))</f>
        <v>99999859026</v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>-</v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>ー</v>
      </c>
      <c r="F97" s="1" t="str">
        <f t="shared" si="3"/>
        <v>else</v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>遊佐町</v>
      </c>
      <c r="H97" s="10" t="str">
        <f>IF(ROW(G95)&gt;MAX(Main!$C$4:$C$1048576),"",INDEX(Main!K$4:K$1048576,MATCH(ROW(G95),Main!$C$4:$C$1048576,0)))</f>
        <v>99999859001関連</v>
      </c>
      <c r="I97" s="1">
        <f>IF(H97&lt;&gt;"",IF(ROW(G95)&gt;MAX(Main!$C$4:$C$1048576),"",INDEX(Main!N$4:N$1048576,MATCH(ROW(G95),Main!$C$4:$C$1048576,0))),"")</f>
        <v>99999859001</v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>関連</v>
      </c>
      <c r="K97" s="27" t="str">
        <f t="shared" si="4"/>
        <v>クラスターNo.859</v>
      </c>
      <c r="M97" s="4" t="str">
        <f>TEXT(IF(ROW(A95)&gt;MAX(Main!$D$4:$D$1048576),"",INDEX(Main!Q$4:Q$1048576,MATCH(ROW(A95),Main!$D$4:$D$1048576,0))), "yyyy/m/d")</f>
        <v>2022/12/15</v>
      </c>
      <c r="N97" s="1">
        <f>IF(IF(ROW(A95)&gt;MAX(Main!$D$4:$D$1048576),"",INDEX(Main!G$4:G$1048576,MATCH(ROW(A95),Main!$D$4:$D$1048576,0)))="",IF(M97="","",N96),IF(ROW(A95)&gt;MAX(Main!$D$4:$D$1048576),"",INDEX(Main!G$4:G$1048576,MATCH(ROW(A95),Main!$D$4:$D$1048576,0))))</f>
        <v>99999859026</v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>-</v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>ー</v>
      </c>
      <c r="Q97" s="1" t="str">
        <f t="shared" si="5"/>
        <v>else</v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>遊佐町</v>
      </c>
      <c r="S97" s="9" t="str">
        <f>IF(ROW(G95)&gt;MAX(Main!$D$4:$D$1048576),"",INDEX(Main!K$4:K$1048576,MATCH(ROW(G95),Main!$D$4:$D$1048576,0)))</f>
        <v>99999859001関連</v>
      </c>
      <c r="T97" s="1">
        <f>IF(S97&lt;&gt;"",IF(ROW(G95)&gt;MAX(Main!$D$4:$D$1048576),"",INDEX(Main!N$4:N$1048576,MATCH(ROW(G95),Main!$D$4:$D$1048576,0))),"")</f>
        <v>99999859001</v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>関連</v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>2022/12/15</v>
      </c>
      <c r="C98" s="1">
        <f>IF(IF(ROW(A96)&gt;MAX(Main!$C$4:$C$1048576),"",INDEX(Main!G$4:G$1048576,MATCH(ROW(A96),Main!$C$4:$C$1048576,0)))="",IF(B98="","",C97),IF(ROW(A96)&gt;MAX(Main!$C$4:$C$1048576),"",INDEX(Main!G$4:G$1048576,MATCH(ROW(A96),Main!$C$4:$C$1048576,0))))</f>
        <v>99999859027</v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>-</v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>ー</v>
      </c>
      <c r="F98" s="1" t="str">
        <f t="shared" si="3"/>
        <v>else</v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>遊佐町</v>
      </c>
      <c r="H98" s="10" t="str">
        <f>IF(ROW(G96)&gt;MAX(Main!$C$4:$C$1048576),"",INDEX(Main!K$4:K$1048576,MATCH(ROW(G96),Main!$C$4:$C$1048576,0)))</f>
        <v>99999859001関連</v>
      </c>
      <c r="I98" s="1">
        <f>IF(H98&lt;&gt;"",IF(ROW(G96)&gt;MAX(Main!$C$4:$C$1048576),"",INDEX(Main!N$4:N$1048576,MATCH(ROW(G96),Main!$C$4:$C$1048576,0))),"")</f>
        <v>99999859001</v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>関連</v>
      </c>
      <c r="K98" s="27" t="str">
        <f t="shared" si="4"/>
        <v>クラスターNo.859</v>
      </c>
      <c r="M98" s="4" t="str">
        <f>TEXT(IF(ROW(A96)&gt;MAX(Main!$D$4:$D$1048576),"",INDEX(Main!Q$4:Q$1048576,MATCH(ROW(A96),Main!$D$4:$D$1048576,0))), "yyyy/m/d")</f>
        <v>2022/12/15</v>
      </c>
      <c r="N98" s="1">
        <f>IF(IF(ROW(A96)&gt;MAX(Main!$D$4:$D$1048576),"",INDEX(Main!G$4:G$1048576,MATCH(ROW(A96),Main!$D$4:$D$1048576,0)))="",IF(M98="","",N97),IF(ROW(A96)&gt;MAX(Main!$D$4:$D$1048576),"",INDEX(Main!G$4:G$1048576,MATCH(ROW(A96),Main!$D$4:$D$1048576,0))))</f>
        <v>99999859027</v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>-</v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>ー</v>
      </c>
      <c r="Q98" s="1" t="str">
        <f t="shared" si="5"/>
        <v>else</v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>遊佐町</v>
      </c>
      <c r="S98" s="9" t="str">
        <f>IF(ROW(G96)&gt;MAX(Main!$D$4:$D$1048576),"",INDEX(Main!K$4:K$1048576,MATCH(ROW(G96),Main!$D$4:$D$1048576,0)))</f>
        <v>99999859001関連</v>
      </c>
      <c r="T98" s="1">
        <f>IF(S98&lt;&gt;"",IF(ROW(G96)&gt;MAX(Main!$D$4:$D$1048576),"",INDEX(Main!N$4:N$1048576,MATCH(ROW(G96),Main!$D$4:$D$1048576,0))),"")</f>
        <v>99999859001</v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>関連</v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>2022/12/15</v>
      </c>
      <c r="C99" s="1">
        <f>IF(IF(ROW(A97)&gt;MAX(Main!$C$4:$C$1048576),"",INDEX(Main!G$4:G$1048576,MATCH(ROW(A97),Main!$C$4:$C$1048576,0)))="",IF(B99="","",C98),IF(ROW(A97)&gt;MAX(Main!$C$4:$C$1048576),"",INDEX(Main!G$4:G$1048576,MATCH(ROW(A97),Main!$C$4:$C$1048576,0))))</f>
        <v>99999859028</v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>-</v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>ー</v>
      </c>
      <c r="F99" s="1" t="str">
        <f t="shared" si="3"/>
        <v>else</v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>遊佐町</v>
      </c>
      <c r="H99" s="10" t="str">
        <f>IF(ROW(G97)&gt;MAX(Main!$C$4:$C$1048576),"",INDEX(Main!K$4:K$1048576,MATCH(ROW(G97),Main!$C$4:$C$1048576,0)))</f>
        <v>99999859001関連</v>
      </c>
      <c r="I99" s="1">
        <f>IF(H99&lt;&gt;"",IF(ROW(G97)&gt;MAX(Main!$C$4:$C$1048576),"",INDEX(Main!N$4:N$1048576,MATCH(ROW(G97),Main!$C$4:$C$1048576,0))),"")</f>
        <v>99999859001</v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>関連</v>
      </c>
      <c r="K99" s="27" t="str">
        <f t="shared" si="4"/>
        <v>クラスターNo.859</v>
      </c>
      <c r="M99" s="4" t="str">
        <f>TEXT(IF(ROW(A97)&gt;MAX(Main!$D$4:$D$1048576),"",INDEX(Main!Q$4:Q$1048576,MATCH(ROW(A97),Main!$D$4:$D$1048576,0))), "yyyy/m/d")</f>
        <v>2022/12/15</v>
      </c>
      <c r="N99" s="1">
        <f>IF(IF(ROW(A97)&gt;MAX(Main!$D$4:$D$1048576),"",INDEX(Main!G$4:G$1048576,MATCH(ROW(A97),Main!$D$4:$D$1048576,0)))="",IF(M99="","",N98),IF(ROW(A97)&gt;MAX(Main!$D$4:$D$1048576),"",INDEX(Main!G$4:G$1048576,MATCH(ROW(A97),Main!$D$4:$D$1048576,0))))</f>
        <v>99999859028</v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>-</v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>ー</v>
      </c>
      <c r="Q99" s="1" t="str">
        <f t="shared" si="5"/>
        <v>else</v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>遊佐町</v>
      </c>
      <c r="S99" s="9" t="str">
        <f>IF(ROW(G97)&gt;MAX(Main!$D$4:$D$1048576),"",INDEX(Main!K$4:K$1048576,MATCH(ROW(G97),Main!$D$4:$D$1048576,0)))</f>
        <v>99999859001関連</v>
      </c>
      <c r="T99" s="1">
        <f>IF(S99&lt;&gt;"",IF(ROW(G97)&gt;MAX(Main!$D$4:$D$1048576),"",INDEX(Main!N$4:N$1048576,MATCH(ROW(G97),Main!$D$4:$D$1048576,0))),"")</f>
        <v>99999859001</v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>関連</v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>2022/12/15</v>
      </c>
      <c r="C100" s="1">
        <f>IF(IF(ROW(A98)&gt;MAX(Main!$C$4:$C$1048576),"",INDEX(Main!G$4:G$1048576,MATCH(ROW(A98),Main!$C$4:$C$1048576,0)))="",IF(B100="","",C99),IF(ROW(A98)&gt;MAX(Main!$C$4:$C$1048576),"",INDEX(Main!G$4:G$1048576,MATCH(ROW(A98),Main!$C$4:$C$1048576,0))))</f>
        <v>99999859029</v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>-</v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>ー</v>
      </c>
      <c r="F100" s="1" t="str">
        <f t="shared" si="3"/>
        <v>else</v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>遊佐町</v>
      </c>
      <c r="H100" s="10" t="str">
        <f>IF(ROW(G98)&gt;MAX(Main!$C$4:$C$1048576),"",INDEX(Main!K$4:K$1048576,MATCH(ROW(G98),Main!$C$4:$C$1048576,0)))</f>
        <v>99999859001関連</v>
      </c>
      <c r="I100" s="1">
        <f>IF(H100&lt;&gt;"",IF(ROW(G98)&gt;MAX(Main!$C$4:$C$1048576),"",INDEX(Main!N$4:N$1048576,MATCH(ROW(G98),Main!$C$4:$C$1048576,0))),"")</f>
        <v>99999859001</v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>関連</v>
      </c>
      <c r="K100" s="27" t="str">
        <f t="shared" si="4"/>
        <v>クラスターNo.859</v>
      </c>
      <c r="M100" s="4" t="str">
        <f>TEXT(IF(ROW(A98)&gt;MAX(Main!$D$4:$D$1048576),"",INDEX(Main!Q$4:Q$1048576,MATCH(ROW(A98),Main!$D$4:$D$1048576,0))), "yyyy/m/d")</f>
        <v>2022/12/15</v>
      </c>
      <c r="N100" s="1">
        <f>IF(IF(ROW(A98)&gt;MAX(Main!$D$4:$D$1048576),"",INDEX(Main!G$4:G$1048576,MATCH(ROW(A98),Main!$D$4:$D$1048576,0)))="",IF(M100="","",N99),IF(ROW(A98)&gt;MAX(Main!$D$4:$D$1048576),"",INDEX(Main!G$4:G$1048576,MATCH(ROW(A98),Main!$D$4:$D$1048576,0))))</f>
        <v>99999859029</v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>-</v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>ー</v>
      </c>
      <c r="Q100" s="1" t="str">
        <f t="shared" si="5"/>
        <v>else</v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>遊佐町</v>
      </c>
      <c r="S100" s="9" t="str">
        <f>IF(ROW(G98)&gt;MAX(Main!$D$4:$D$1048576),"",INDEX(Main!K$4:K$1048576,MATCH(ROW(G98),Main!$D$4:$D$1048576,0)))</f>
        <v>99999859001関連</v>
      </c>
      <c r="T100" s="1">
        <f>IF(S100&lt;&gt;"",IF(ROW(G98)&gt;MAX(Main!$D$4:$D$1048576),"",INDEX(Main!N$4:N$1048576,MATCH(ROW(G98),Main!$D$4:$D$1048576,0))),"")</f>
        <v>99999859001</v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>関連</v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>2022/12/15</v>
      </c>
      <c r="C101" s="1">
        <f>IF(IF(ROW(A99)&gt;MAX(Main!$C$4:$C$1048576),"",INDEX(Main!G$4:G$1048576,MATCH(ROW(A99),Main!$C$4:$C$1048576,0)))="",IF(B101="","",C100),IF(ROW(A99)&gt;MAX(Main!$C$4:$C$1048576),"",INDEX(Main!G$4:G$1048576,MATCH(ROW(A99),Main!$C$4:$C$1048576,0))))</f>
        <v>99999859030</v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>-</v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>ー</v>
      </c>
      <c r="F101" s="1" t="str">
        <f t="shared" si="3"/>
        <v>else</v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>遊佐町</v>
      </c>
      <c r="H101" s="10" t="str">
        <f>IF(ROW(G99)&gt;MAX(Main!$C$4:$C$1048576),"",INDEX(Main!K$4:K$1048576,MATCH(ROW(G99),Main!$C$4:$C$1048576,0)))</f>
        <v>99999859001関連</v>
      </c>
      <c r="I101" s="1">
        <f>IF(H101&lt;&gt;"",IF(ROW(G99)&gt;MAX(Main!$C$4:$C$1048576),"",INDEX(Main!N$4:N$1048576,MATCH(ROW(G99),Main!$C$4:$C$1048576,0))),"")</f>
        <v>99999859001</v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>関連</v>
      </c>
      <c r="K101" s="27" t="str">
        <f t="shared" si="4"/>
        <v>クラスターNo.859</v>
      </c>
      <c r="M101" s="4" t="str">
        <f>TEXT(IF(ROW(A99)&gt;MAX(Main!$D$4:$D$1048576),"",INDEX(Main!Q$4:Q$1048576,MATCH(ROW(A99),Main!$D$4:$D$1048576,0))), "yyyy/m/d")</f>
        <v>2022/12/15</v>
      </c>
      <c r="N101" s="1">
        <f>IF(IF(ROW(A99)&gt;MAX(Main!$D$4:$D$1048576),"",INDEX(Main!G$4:G$1048576,MATCH(ROW(A99),Main!$D$4:$D$1048576,0)))="",IF(M101="","",N100),IF(ROW(A99)&gt;MAX(Main!$D$4:$D$1048576),"",INDEX(Main!G$4:G$1048576,MATCH(ROW(A99),Main!$D$4:$D$1048576,0))))</f>
        <v>99999859030</v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>-</v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>ー</v>
      </c>
      <c r="Q101" s="1" t="str">
        <f t="shared" si="5"/>
        <v>else</v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>遊佐町</v>
      </c>
      <c r="S101" s="9" t="str">
        <f>IF(ROW(G99)&gt;MAX(Main!$D$4:$D$1048576),"",INDEX(Main!K$4:K$1048576,MATCH(ROW(G99),Main!$D$4:$D$1048576,0)))</f>
        <v>99999859001関連</v>
      </c>
      <c r="T101" s="1">
        <f>IF(S101&lt;&gt;"",IF(ROW(G99)&gt;MAX(Main!$D$4:$D$1048576),"",INDEX(Main!N$4:N$1048576,MATCH(ROW(G99),Main!$D$4:$D$1048576,0))),"")</f>
        <v>99999859001</v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>関連</v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>2022/12/15</v>
      </c>
      <c r="C102" s="1">
        <f>IF(IF(ROW(A100)&gt;MAX(Main!$C$4:$C$1048576),"",INDEX(Main!G$4:G$1048576,MATCH(ROW(A100),Main!$C$4:$C$1048576,0)))="",IF(B102="","",C101),IF(ROW(A100)&gt;MAX(Main!$C$4:$C$1048576),"",INDEX(Main!G$4:G$1048576,MATCH(ROW(A100),Main!$C$4:$C$1048576,0))))</f>
        <v>99999859031</v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>-</v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>ー</v>
      </c>
      <c r="F102" s="1" t="str">
        <f t="shared" si="3"/>
        <v>else</v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>遊佐町</v>
      </c>
      <c r="H102" s="10" t="str">
        <f>IF(ROW(G100)&gt;MAX(Main!$C$4:$C$1048576),"",INDEX(Main!K$4:K$1048576,MATCH(ROW(G100),Main!$C$4:$C$1048576,0)))</f>
        <v>99999859001関連</v>
      </c>
      <c r="I102" s="1">
        <f>IF(H102&lt;&gt;"",IF(ROW(G100)&gt;MAX(Main!$C$4:$C$1048576),"",INDEX(Main!N$4:N$1048576,MATCH(ROW(G100),Main!$C$4:$C$1048576,0))),"")</f>
        <v>99999859001</v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>関連</v>
      </c>
      <c r="K102" s="27" t="str">
        <f t="shared" si="4"/>
        <v>クラスターNo.859</v>
      </c>
      <c r="M102" s="4" t="str">
        <f>TEXT(IF(ROW(A100)&gt;MAX(Main!$D$4:$D$1048576),"",INDEX(Main!Q$4:Q$1048576,MATCH(ROW(A100),Main!$D$4:$D$1048576,0))), "yyyy/m/d")</f>
        <v>2022/12/15</v>
      </c>
      <c r="N102" s="1">
        <f>IF(IF(ROW(A100)&gt;MAX(Main!$D$4:$D$1048576),"",INDEX(Main!G$4:G$1048576,MATCH(ROW(A100),Main!$D$4:$D$1048576,0)))="",IF(M102="","",N101),IF(ROW(A100)&gt;MAX(Main!$D$4:$D$1048576),"",INDEX(Main!G$4:G$1048576,MATCH(ROW(A100),Main!$D$4:$D$1048576,0))))</f>
        <v>99999859031</v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>-</v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>ー</v>
      </c>
      <c r="Q102" s="1" t="str">
        <f t="shared" si="5"/>
        <v>else</v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>遊佐町</v>
      </c>
      <c r="S102" s="9" t="str">
        <f>IF(ROW(G100)&gt;MAX(Main!$D$4:$D$1048576),"",INDEX(Main!K$4:K$1048576,MATCH(ROW(G100),Main!$D$4:$D$1048576,0)))</f>
        <v>99999859001関連</v>
      </c>
      <c r="T102" s="1">
        <f>IF(S102&lt;&gt;"",IF(ROW(G100)&gt;MAX(Main!$D$4:$D$1048576),"",INDEX(Main!N$4:N$1048576,MATCH(ROW(G100),Main!$D$4:$D$1048576,0))),"")</f>
        <v>99999859001</v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>関連</v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>2022/12/15</v>
      </c>
      <c r="C103" s="1">
        <f>IF(IF(ROW(A101)&gt;MAX(Main!$C$4:$C$1048576),"",INDEX(Main!G$4:G$1048576,MATCH(ROW(A101),Main!$C$4:$C$1048576,0)))="",IF(B103="","",C102),IF(ROW(A101)&gt;MAX(Main!$C$4:$C$1048576),"",INDEX(Main!G$4:G$1048576,MATCH(ROW(A101),Main!$C$4:$C$1048576,0))))</f>
        <v>99999859032</v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>-</v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>ー</v>
      </c>
      <c r="F103" s="1" t="str">
        <f t="shared" si="3"/>
        <v>else</v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>遊佐町</v>
      </c>
      <c r="H103" s="10" t="str">
        <f>IF(ROW(G101)&gt;MAX(Main!$C$4:$C$1048576),"",INDEX(Main!K$4:K$1048576,MATCH(ROW(G101),Main!$C$4:$C$1048576,0)))</f>
        <v>99999859001関連</v>
      </c>
      <c r="I103" s="1">
        <f>IF(H103&lt;&gt;"",IF(ROW(G101)&gt;MAX(Main!$C$4:$C$1048576),"",INDEX(Main!N$4:N$1048576,MATCH(ROW(G101),Main!$C$4:$C$1048576,0))),"")</f>
        <v>99999859001</v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>関連</v>
      </c>
      <c r="K103" s="27" t="str">
        <f t="shared" si="4"/>
        <v>クラスターNo.859</v>
      </c>
      <c r="M103" s="4" t="str">
        <f>TEXT(IF(ROW(A101)&gt;MAX(Main!$D$4:$D$1048576),"",INDEX(Main!Q$4:Q$1048576,MATCH(ROW(A101),Main!$D$4:$D$1048576,0))), "yyyy/m/d")</f>
        <v>2022/12/15</v>
      </c>
      <c r="N103" s="1">
        <f>IF(IF(ROW(A101)&gt;MAX(Main!$D$4:$D$1048576),"",INDEX(Main!G$4:G$1048576,MATCH(ROW(A101),Main!$D$4:$D$1048576,0)))="",IF(M103="","",N102),IF(ROW(A101)&gt;MAX(Main!$D$4:$D$1048576),"",INDEX(Main!G$4:G$1048576,MATCH(ROW(A101),Main!$D$4:$D$1048576,0))))</f>
        <v>99999859032</v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>-</v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>ー</v>
      </c>
      <c r="Q103" s="1" t="str">
        <f t="shared" si="5"/>
        <v>else</v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>遊佐町</v>
      </c>
      <c r="S103" s="9" t="str">
        <f>IF(ROW(G101)&gt;MAX(Main!$D$4:$D$1048576),"",INDEX(Main!K$4:K$1048576,MATCH(ROW(G101),Main!$D$4:$D$1048576,0)))</f>
        <v>99999859001関連</v>
      </c>
      <c r="T103" s="1">
        <f>IF(S103&lt;&gt;"",IF(ROW(G101)&gt;MAX(Main!$D$4:$D$1048576),"",INDEX(Main!N$4:N$1048576,MATCH(ROW(G101),Main!$D$4:$D$1048576,0))),"")</f>
        <v>99999859001</v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>関連</v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>2022/12/15</v>
      </c>
      <c r="C104" s="1">
        <f>IF(IF(ROW(A102)&gt;MAX(Main!$C$4:$C$1048576),"",INDEX(Main!G$4:G$1048576,MATCH(ROW(A102),Main!$C$4:$C$1048576,0)))="",IF(B104="","",C103),IF(ROW(A102)&gt;MAX(Main!$C$4:$C$1048576),"",INDEX(Main!G$4:G$1048576,MATCH(ROW(A102),Main!$C$4:$C$1048576,0))))</f>
        <v>99999859033</v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>-</v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>ー</v>
      </c>
      <c r="F104" s="1" t="str">
        <f t="shared" si="3"/>
        <v>else</v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>遊佐町</v>
      </c>
      <c r="H104" s="10" t="str">
        <f>IF(ROW(G102)&gt;MAX(Main!$C$4:$C$1048576),"",INDEX(Main!K$4:K$1048576,MATCH(ROW(G102),Main!$C$4:$C$1048576,0)))</f>
        <v>99999859001関連</v>
      </c>
      <c r="I104" s="1">
        <f>IF(H104&lt;&gt;"",IF(ROW(G102)&gt;MAX(Main!$C$4:$C$1048576),"",INDEX(Main!N$4:N$1048576,MATCH(ROW(G102),Main!$C$4:$C$1048576,0))),"")</f>
        <v>99999859001</v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>関連</v>
      </c>
      <c r="K104" s="27" t="str">
        <f t="shared" si="4"/>
        <v>クラスターNo.859</v>
      </c>
      <c r="M104" s="4" t="str">
        <f>TEXT(IF(ROW(A102)&gt;MAX(Main!$D$4:$D$1048576),"",INDEX(Main!Q$4:Q$1048576,MATCH(ROW(A102),Main!$D$4:$D$1048576,0))), "yyyy/m/d")</f>
        <v>2022/12/15</v>
      </c>
      <c r="N104" s="1">
        <f>IF(IF(ROW(A102)&gt;MAX(Main!$D$4:$D$1048576),"",INDEX(Main!G$4:G$1048576,MATCH(ROW(A102),Main!$D$4:$D$1048576,0)))="",IF(M104="","",N103),IF(ROW(A102)&gt;MAX(Main!$D$4:$D$1048576),"",INDEX(Main!G$4:G$1048576,MATCH(ROW(A102),Main!$D$4:$D$1048576,0))))</f>
        <v>99999859033</v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>-</v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>ー</v>
      </c>
      <c r="Q104" s="1" t="str">
        <f t="shared" si="5"/>
        <v>else</v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>遊佐町</v>
      </c>
      <c r="S104" s="9" t="str">
        <f>IF(ROW(G102)&gt;MAX(Main!$D$4:$D$1048576),"",INDEX(Main!K$4:K$1048576,MATCH(ROW(G102),Main!$D$4:$D$1048576,0)))</f>
        <v>99999859001関連</v>
      </c>
      <c r="T104" s="1">
        <f>IF(S104&lt;&gt;"",IF(ROW(G102)&gt;MAX(Main!$D$4:$D$1048576),"",INDEX(Main!N$4:N$1048576,MATCH(ROW(G102),Main!$D$4:$D$1048576,0))),"")</f>
        <v>99999859001</v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>関連</v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>2022/12/15</v>
      </c>
      <c r="C105" s="1">
        <f>IF(IF(ROW(A103)&gt;MAX(Main!$C$4:$C$1048576),"",INDEX(Main!G$4:G$1048576,MATCH(ROW(A103),Main!$C$4:$C$1048576,0)))="",IF(B105="","",C104),IF(ROW(A103)&gt;MAX(Main!$C$4:$C$1048576),"",INDEX(Main!G$4:G$1048576,MATCH(ROW(A103),Main!$C$4:$C$1048576,0))))</f>
        <v>99999859034</v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>-</v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>ー</v>
      </c>
      <c r="F105" s="1" t="str">
        <f t="shared" si="3"/>
        <v>else</v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>遊佐町</v>
      </c>
      <c r="H105" s="10" t="str">
        <f>IF(ROW(G103)&gt;MAX(Main!$C$4:$C$1048576),"",INDEX(Main!K$4:K$1048576,MATCH(ROW(G103),Main!$C$4:$C$1048576,0)))</f>
        <v>99999859001関連</v>
      </c>
      <c r="I105" s="1">
        <f>IF(H105&lt;&gt;"",IF(ROW(G103)&gt;MAX(Main!$C$4:$C$1048576),"",INDEX(Main!N$4:N$1048576,MATCH(ROW(G103),Main!$C$4:$C$1048576,0))),"")</f>
        <v>99999859001</v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>関連</v>
      </c>
      <c r="K105" s="27" t="str">
        <f t="shared" si="4"/>
        <v>クラスターNo.859</v>
      </c>
      <c r="M105" s="4" t="str">
        <f>TEXT(IF(ROW(A103)&gt;MAX(Main!$D$4:$D$1048576),"",INDEX(Main!Q$4:Q$1048576,MATCH(ROW(A103),Main!$D$4:$D$1048576,0))), "yyyy/m/d")</f>
        <v>2022/12/15</v>
      </c>
      <c r="N105" s="1">
        <f>IF(IF(ROW(A103)&gt;MAX(Main!$D$4:$D$1048576),"",INDEX(Main!G$4:G$1048576,MATCH(ROW(A103),Main!$D$4:$D$1048576,0)))="",IF(M105="","",N104),IF(ROW(A103)&gt;MAX(Main!$D$4:$D$1048576),"",INDEX(Main!G$4:G$1048576,MATCH(ROW(A103),Main!$D$4:$D$1048576,0))))</f>
        <v>99999859034</v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>-</v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>ー</v>
      </c>
      <c r="Q105" s="1" t="str">
        <f t="shared" si="5"/>
        <v>else</v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>遊佐町</v>
      </c>
      <c r="S105" s="9" t="str">
        <f>IF(ROW(G103)&gt;MAX(Main!$D$4:$D$1048576),"",INDEX(Main!K$4:K$1048576,MATCH(ROW(G103),Main!$D$4:$D$1048576,0)))</f>
        <v>99999859001関連</v>
      </c>
      <c r="T105" s="1">
        <f>IF(S105&lt;&gt;"",IF(ROW(G103)&gt;MAX(Main!$D$4:$D$1048576),"",INDEX(Main!N$4:N$1048576,MATCH(ROW(G103),Main!$D$4:$D$1048576,0))),"")</f>
        <v>99999859001</v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>関連</v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>2022/12/15</v>
      </c>
      <c r="C106" s="1">
        <f>IF(IF(ROW(A104)&gt;MAX(Main!$C$4:$C$1048576),"",INDEX(Main!G$4:G$1048576,MATCH(ROW(A104),Main!$C$4:$C$1048576,0)))="",IF(B106="","",C105),IF(ROW(A104)&gt;MAX(Main!$C$4:$C$1048576),"",INDEX(Main!G$4:G$1048576,MATCH(ROW(A104),Main!$C$4:$C$1048576,0))))</f>
        <v>99999859035</v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>-</v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>ー</v>
      </c>
      <c r="F106" s="1" t="str">
        <f t="shared" si="3"/>
        <v>else</v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>遊佐町</v>
      </c>
      <c r="H106" s="10" t="str">
        <f>IF(ROW(G104)&gt;MAX(Main!$C$4:$C$1048576),"",INDEX(Main!K$4:K$1048576,MATCH(ROW(G104),Main!$C$4:$C$1048576,0)))</f>
        <v>99999859001関連</v>
      </c>
      <c r="I106" s="1">
        <f>IF(H106&lt;&gt;"",IF(ROW(G104)&gt;MAX(Main!$C$4:$C$1048576),"",INDEX(Main!N$4:N$1048576,MATCH(ROW(G104),Main!$C$4:$C$1048576,0))),"")</f>
        <v>99999859001</v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>関連</v>
      </c>
      <c r="K106" s="27" t="str">
        <f t="shared" si="4"/>
        <v>クラスターNo.859</v>
      </c>
      <c r="M106" s="4" t="str">
        <f>TEXT(IF(ROW(A104)&gt;MAX(Main!$D$4:$D$1048576),"",INDEX(Main!Q$4:Q$1048576,MATCH(ROW(A104),Main!$D$4:$D$1048576,0))), "yyyy/m/d")</f>
        <v>2022/12/15</v>
      </c>
      <c r="N106" s="1">
        <f>IF(IF(ROW(A104)&gt;MAX(Main!$D$4:$D$1048576),"",INDEX(Main!G$4:G$1048576,MATCH(ROW(A104),Main!$D$4:$D$1048576,0)))="",IF(M106="","",N105),IF(ROW(A104)&gt;MAX(Main!$D$4:$D$1048576),"",INDEX(Main!G$4:G$1048576,MATCH(ROW(A104),Main!$D$4:$D$1048576,0))))</f>
        <v>99999859035</v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>-</v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>ー</v>
      </c>
      <c r="Q106" s="1" t="str">
        <f t="shared" si="5"/>
        <v>else</v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>遊佐町</v>
      </c>
      <c r="S106" s="9" t="str">
        <f>IF(ROW(G104)&gt;MAX(Main!$D$4:$D$1048576),"",INDEX(Main!K$4:K$1048576,MATCH(ROW(G104),Main!$D$4:$D$1048576,0)))</f>
        <v>99999859001関連</v>
      </c>
      <c r="T106" s="1">
        <f>IF(S106&lt;&gt;"",IF(ROW(G104)&gt;MAX(Main!$D$4:$D$1048576),"",INDEX(Main!N$4:N$1048576,MATCH(ROW(G104),Main!$D$4:$D$1048576,0))),"")</f>
        <v>99999859001</v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>関連</v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>2022/12/15</v>
      </c>
      <c r="C107" s="1">
        <f>IF(IF(ROW(A105)&gt;MAX(Main!$C$4:$C$1048576),"",INDEX(Main!G$4:G$1048576,MATCH(ROW(A105),Main!$C$4:$C$1048576,0)))="",IF(B107="","",C106),IF(ROW(A105)&gt;MAX(Main!$C$4:$C$1048576),"",INDEX(Main!G$4:G$1048576,MATCH(ROW(A105),Main!$C$4:$C$1048576,0))))</f>
        <v>99999859036</v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>-</v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>ー</v>
      </c>
      <c r="F107" s="1" t="str">
        <f t="shared" si="3"/>
        <v>else</v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>遊佐町</v>
      </c>
      <c r="H107" s="10" t="str">
        <f>IF(ROW(G105)&gt;MAX(Main!$C$4:$C$1048576),"",INDEX(Main!K$4:K$1048576,MATCH(ROW(G105),Main!$C$4:$C$1048576,0)))</f>
        <v>99999859001関連</v>
      </c>
      <c r="I107" s="1">
        <f>IF(H107&lt;&gt;"",IF(ROW(G105)&gt;MAX(Main!$C$4:$C$1048576),"",INDEX(Main!N$4:N$1048576,MATCH(ROW(G105),Main!$C$4:$C$1048576,0))),"")</f>
        <v>99999859001</v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>関連</v>
      </c>
      <c r="K107" s="27" t="str">
        <f t="shared" si="4"/>
        <v>クラスターNo.859</v>
      </c>
      <c r="M107" s="4" t="str">
        <f>TEXT(IF(ROW(A105)&gt;MAX(Main!$D$4:$D$1048576),"",INDEX(Main!Q$4:Q$1048576,MATCH(ROW(A105),Main!$D$4:$D$1048576,0))), "yyyy/m/d")</f>
        <v>2022/12/15</v>
      </c>
      <c r="N107" s="1">
        <f>IF(IF(ROW(A105)&gt;MAX(Main!$D$4:$D$1048576),"",INDEX(Main!G$4:G$1048576,MATCH(ROW(A105),Main!$D$4:$D$1048576,0)))="",IF(M107="","",N106),IF(ROW(A105)&gt;MAX(Main!$D$4:$D$1048576),"",INDEX(Main!G$4:G$1048576,MATCH(ROW(A105),Main!$D$4:$D$1048576,0))))</f>
        <v>99999859036</v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>-</v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>ー</v>
      </c>
      <c r="Q107" s="1" t="str">
        <f t="shared" si="5"/>
        <v>else</v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>遊佐町</v>
      </c>
      <c r="S107" s="9" t="str">
        <f>IF(ROW(G105)&gt;MAX(Main!$D$4:$D$1048576),"",INDEX(Main!K$4:K$1048576,MATCH(ROW(G105),Main!$D$4:$D$1048576,0)))</f>
        <v>99999859001関連</v>
      </c>
      <c r="T107" s="1">
        <f>IF(S107&lt;&gt;"",IF(ROW(G105)&gt;MAX(Main!$D$4:$D$1048576),"",INDEX(Main!N$4:N$1048576,MATCH(ROW(G105),Main!$D$4:$D$1048576,0))),"")</f>
        <v>99999859001</v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>関連</v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>2022/12/15</v>
      </c>
      <c r="C108" s="1">
        <f>IF(IF(ROW(A106)&gt;MAX(Main!$C$4:$C$1048576),"",INDEX(Main!G$4:G$1048576,MATCH(ROW(A106),Main!$C$4:$C$1048576,0)))="",IF(B108="","",C107),IF(ROW(A106)&gt;MAX(Main!$C$4:$C$1048576),"",INDEX(Main!G$4:G$1048576,MATCH(ROW(A106),Main!$C$4:$C$1048576,0))))</f>
        <v>99999859037</v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>-</v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>ー</v>
      </c>
      <c r="F108" s="1" t="str">
        <f t="shared" si="3"/>
        <v>else</v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>遊佐町</v>
      </c>
      <c r="H108" s="10" t="str">
        <f>IF(ROW(G106)&gt;MAX(Main!$C$4:$C$1048576),"",INDEX(Main!K$4:K$1048576,MATCH(ROW(G106),Main!$C$4:$C$1048576,0)))</f>
        <v>99999859001関連</v>
      </c>
      <c r="I108" s="1">
        <f>IF(H108&lt;&gt;"",IF(ROW(G106)&gt;MAX(Main!$C$4:$C$1048576),"",INDEX(Main!N$4:N$1048576,MATCH(ROW(G106),Main!$C$4:$C$1048576,0))),"")</f>
        <v>99999859001</v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>関連</v>
      </c>
      <c r="K108" s="27" t="str">
        <f t="shared" si="4"/>
        <v>クラスターNo.859</v>
      </c>
      <c r="M108" s="4" t="str">
        <f>TEXT(IF(ROW(A106)&gt;MAX(Main!$D$4:$D$1048576),"",INDEX(Main!Q$4:Q$1048576,MATCH(ROW(A106),Main!$D$4:$D$1048576,0))), "yyyy/m/d")</f>
        <v>2022/12/15</v>
      </c>
      <c r="N108" s="1">
        <f>IF(IF(ROW(A106)&gt;MAX(Main!$D$4:$D$1048576),"",INDEX(Main!G$4:G$1048576,MATCH(ROW(A106),Main!$D$4:$D$1048576,0)))="",IF(M108="","",N107),IF(ROW(A106)&gt;MAX(Main!$D$4:$D$1048576),"",INDEX(Main!G$4:G$1048576,MATCH(ROW(A106),Main!$D$4:$D$1048576,0))))</f>
        <v>99999859037</v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>-</v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>ー</v>
      </c>
      <c r="Q108" s="1" t="str">
        <f t="shared" si="5"/>
        <v>else</v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>遊佐町</v>
      </c>
      <c r="S108" s="9" t="str">
        <f>IF(ROW(G106)&gt;MAX(Main!$D$4:$D$1048576),"",INDEX(Main!K$4:K$1048576,MATCH(ROW(G106),Main!$D$4:$D$1048576,0)))</f>
        <v>99999859001関連</v>
      </c>
      <c r="T108" s="1">
        <f>IF(S108&lt;&gt;"",IF(ROW(G106)&gt;MAX(Main!$D$4:$D$1048576),"",INDEX(Main!N$4:N$1048576,MATCH(ROW(G106),Main!$D$4:$D$1048576,0))),"")</f>
        <v>99999859001</v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>関連</v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>2022/12/15</v>
      </c>
      <c r="C109" s="1">
        <f>IF(IF(ROW(A107)&gt;MAX(Main!$C$4:$C$1048576),"",INDEX(Main!G$4:G$1048576,MATCH(ROW(A107),Main!$C$4:$C$1048576,0)))="",IF(B109="","",C108),IF(ROW(A107)&gt;MAX(Main!$C$4:$C$1048576),"",INDEX(Main!G$4:G$1048576,MATCH(ROW(A107),Main!$C$4:$C$1048576,0))))</f>
        <v>99999859038</v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>-</v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>ー</v>
      </c>
      <c r="F109" s="1" t="str">
        <f t="shared" si="3"/>
        <v>else</v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>遊佐町</v>
      </c>
      <c r="H109" s="10" t="str">
        <f>IF(ROW(G107)&gt;MAX(Main!$C$4:$C$1048576),"",INDEX(Main!K$4:K$1048576,MATCH(ROW(G107),Main!$C$4:$C$1048576,0)))</f>
        <v>99999859001関連</v>
      </c>
      <c r="I109" s="1">
        <f>IF(H109&lt;&gt;"",IF(ROW(G107)&gt;MAX(Main!$C$4:$C$1048576),"",INDEX(Main!N$4:N$1048576,MATCH(ROW(G107),Main!$C$4:$C$1048576,0))),"")</f>
        <v>99999859001</v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>関連</v>
      </c>
      <c r="K109" s="27" t="str">
        <f t="shared" si="4"/>
        <v>クラスターNo.859</v>
      </c>
      <c r="M109" s="4" t="str">
        <f>TEXT(IF(ROW(A107)&gt;MAX(Main!$D$4:$D$1048576),"",INDEX(Main!Q$4:Q$1048576,MATCH(ROW(A107),Main!$D$4:$D$1048576,0))), "yyyy/m/d")</f>
        <v>2022/12/15</v>
      </c>
      <c r="N109" s="1">
        <f>IF(IF(ROW(A107)&gt;MAX(Main!$D$4:$D$1048576),"",INDEX(Main!G$4:G$1048576,MATCH(ROW(A107),Main!$D$4:$D$1048576,0)))="",IF(M109="","",N108),IF(ROW(A107)&gt;MAX(Main!$D$4:$D$1048576),"",INDEX(Main!G$4:G$1048576,MATCH(ROW(A107),Main!$D$4:$D$1048576,0))))</f>
        <v>99999859038</v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>-</v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>ー</v>
      </c>
      <c r="Q109" s="1" t="str">
        <f t="shared" si="5"/>
        <v>else</v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>遊佐町</v>
      </c>
      <c r="S109" s="9" t="str">
        <f>IF(ROW(G107)&gt;MAX(Main!$D$4:$D$1048576),"",INDEX(Main!K$4:K$1048576,MATCH(ROW(G107),Main!$D$4:$D$1048576,0)))</f>
        <v>99999859001関連</v>
      </c>
      <c r="T109" s="1">
        <f>IF(S109&lt;&gt;"",IF(ROW(G107)&gt;MAX(Main!$D$4:$D$1048576),"",INDEX(Main!N$4:N$1048576,MATCH(ROW(G107),Main!$D$4:$D$1048576,0))),"")</f>
        <v>99999859001</v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>関連</v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>2022/12/15</v>
      </c>
      <c r="C110" s="1">
        <f>IF(IF(ROW(A108)&gt;MAX(Main!$C$4:$C$1048576),"",INDEX(Main!G$4:G$1048576,MATCH(ROW(A108),Main!$C$4:$C$1048576,0)))="",IF(B110="","",C109),IF(ROW(A108)&gt;MAX(Main!$C$4:$C$1048576),"",INDEX(Main!G$4:G$1048576,MATCH(ROW(A108),Main!$C$4:$C$1048576,0))))</f>
        <v>99999859039</v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>-</v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>ー</v>
      </c>
      <c r="F110" s="1" t="str">
        <f t="shared" si="3"/>
        <v>else</v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>遊佐町</v>
      </c>
      <c r="H110" s="10" t="str">
        <f>IF(ROW(G108)&gt;MAX(Main!$C$4:$C$1048576),"",INDEX(Main!K$4:K$1048576,MATCH(ROW(G108),Main!$C$4:$C$1048576,0)))</f>
        <v>99999859001関連</v>
      </c>
      <c r="I110" s="1">
        <f>IF(H110&lt;&gt;"",IF(ROW(G108)&gt;MAX(Main!$C$4:$C$1048576),"",INDEX(Main!N$4:N$1048576,MATCH(ROW(G108),Main!$C$4:$C$1048576,0))),"")</f>
        <v>99999859001</v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>関連</v>
      </c>
      <c r="K110" s="27" t="str">
        <f t="shared" si="4"/>
        <v>クラスターNo.859</v>
      </c>
      <c r="M110" s="4" t="str">
        <f>TEXT(IF(ROW(A108)&gt;MAX(Main!$D$4:$D$1048576),"",INDEX(Main!Q$4:Q$1048576,MATCH(ROW(A108),Main!$D$4:$D$1048576,0))), "yyyy/m/d")</f>
        <v>2022/12/15</v>
      </c>
      <c r="N110" s="1">
        <f>IF(IF(ROW(A108)&gt;MAX(Main!$D$4:$D$1048576),"",INDEX(Main!G$4:G$1048576,MATCH(ROW(A108),Main!$D$4:$D$1048576,0)))="",IF(M110="","",N109),IF(ROW(A108)&gt;MAX(Main!$D$4:$D$1048576),"",INDEX(Main!G$4:G$1048576,MATCH(ROW(A108),Main!$D$4:$D$1048576,0))))</f>
        <v>99999859039</v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>-</v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>ー</v>
      </c>
      <c r="Q110" s="1" t="str">
        <f t="shared" si="5"/>
        <v>else</v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>遊佐町</v>
      </c>
      <c r="S110" s="9" t="str">
        <f>IF(ROW(G108)&gt;MAX(Main!$D$4:$D$1048576),"",INDEX(Main!K$4:K$1048576,MATCH(ROW(G108),Main!$D$4:$D$1048576,0)))</f>
        <v>99999859001関連</v>
      </c>
      <c r="T110" s="1">
        <f>IF(S110&lt;&gt;"",IF(ROW(G108)&gt;MAX(Main!$D$4:$D$1048576),"",INDEX(Main!N$4:N$1048576,MATCH(ROW(G108),Main!$D$4:$D$1048576,0))),"")</f>
        <v>99999859001</v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>関連</v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>2022/12/15</v>
      </c>
      <c r="C111" s="1">
        <f>IF(IF(ROW(A109)&gt;MAX(Main!$C$4:$C$1048576),"",INDEX(Main!G$4:G$1048576,MATCH(ROW(A109),Main!$C$4:$C$1048576,0)))="",IF(B111="","",C110),IF(ROW(A109)&gt;MAX(Main!$C$4:$C$1048576),"",INDEX(Main!G$4:G$1048576,MATCH(ROW(A109),Main!$C$4:$C$1048576,0))))</f>
        <v>99999859040</v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>-</v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>ー</v>
      </c>
      <c r="F111" s="1" t="str">
        <f t="shared" si="3"/>
        <v>else</v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>遊佐町</v>
      </c>
      <c r="H111" s="10" t="str">
        <f>IF(ROW(G109)&gt;MAX(Main!$C$4:$C$1048576),"",INDEX(Main!K$4:K$1048576,MATCH(ROW(G109),Main!$C$4:$C$1048576,0)))</f>
        <v>99999859001関連</v>
      </c>
      <c r="I111" s="1">
        <f>IF(H111&lt;&gt;"",IF(ROW(G109)&gt;MAX(Main!$C$4:$C$1048576),"",INDEX(Main!N$4:N$1048576,MATCH(ROW(G109),Main!$C$4:$C$1048576,0))),"")</f>
        <v>99999859001</v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>関連</v>
      </c>
      <c r="K111" s="27" t="str">
        <f t="shared" si="4"/>
        <v>クラスターNo.859</v>
      </c>
      <c r="M111" s="4" t="str">
        <f>TEXT(IF(ROW(A109)&gt;MAX(Main!$D$4:$D$1048576),"",INDEX(Main!Q$4:Q$1048576,MATCH(ROW(A109),Main!$D$4:$D$1048576,0))), "yyyy/m/d")</f>
        <v>2022/12/15</v>
      </c>
      <c r="N111" s="1">
        <f>IF(IF(ROW(A109)&gt;MAX(Main!$D$4:$D$1048576),"",INDEX(Main!G$4:G$1048576,MATCH(ROW(A109),Main!$D$4:$D$1048576,0)))="",IF(M111="","",N110),IF(ROW(A109)&gt;MAX(Main!$D$4:$D$1048576),"",INDEX(Main!G$4:G$1048576,MATCH(ROW(A109),Main!$D$4:$D$1048576,0))))</f>
        <v>99999859040</v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>-</v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>ー</v>
      </c>
      <c r="Q111" s="1" t="str">
        <f t="shared" si="5"/>
        <v>else</v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>遊佐町</v>
      </c>
      <c r="S111" s="9" t="str">
        <f>IF(ROW(G109)&gt;MAX(Main!$D$4:$D$1048576),"",INDEX(Main!K$4:K$1048576,MATCH(ROW(G109),Main!$D$4:$D$1048576,0)))</f>
        <v>99999859001関連</v>
      </c>
      <c r="T111" s="1">
        <f>IF(S111&lt;&gt;"",IF(ROW(G109)&gt;MAX(Main!$D$4:$D$1048576),"",INDEX(Main!N$4:N$1048576,MATCH(ROW(G109),Main!$D$4:$D$1048576,0))),"")</f>
        <v>99999859001</v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>関連</v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>2022/12/15</v>
      </c>
      <c r="C112" s="1">
        <f>IF(IF(ROW(A110)&gt;MAX(Main!$C$4:$C$1048576),"",INDEX(Main!G$4:G$1048576,MATCH(ROW(A110),Main!$C$4:$C$1048576,0)))="",IF(B112="","",C111),IF(ROW(A110)&gt;MAX(Main!$C$4:$C$1048576),"",INDEX(Main!G$4:G$1048576,MATCH(ROW(A110),Main!$C$4:$C$1048576,0))))</f>
        <v>99999860001</v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>-</v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>ー</v>
      </c>
      <c r="F112" s="1" t="str">
        <f t="shared" si="3"/>
        <v>else</v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>山形市</v>
      </c>
      <c r="H112" s="10" t="str">
        <f>IF(ROW(G110)&gt;MAX(Main!$C$4:$C$1048576),"",INDEX(Main!K$4:K$1048576,MATCH(ROW(G110),Main!$C$4:$C$1048576,0)))</f>
        <v>99999860001介護施設</v>
      </c>
      <c r="I112" s="1">
        <f>IF(H112&lt;&gt;"",IF(ROW(G110)&gt;MAX(Main!$C$4:$C$1048576),"",INDEX(Main!N$4:N$1048576,MATCH(ROW(G110),Main!$C$4:$C$1048576,0))),"")</f>
        <v>99999860001</v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>介護施設</v>
      </c>
      <c r="K112" s="27" t="str">
        <f t="shared" si="4"/>
        <v>クラスターNo.860</v>
      </c>
      <c r="M112" s="4" t="str">
        <f>TEXT(IF(ROW(A110)&gt;MAX(Main!$D$4:$D$1048576),"",INDEX(Main!Q$4:Q$1048576,MATCH(ROW(A110),Main!$D$4:$D$1048576,0))), "yyyy/m/d")</f>
        <v>2022/12/15</v>
      </c>
      <c r="N112" s="1">
        <f>IF(IF(ROW(A110)&gt;MAX(Main!$D$4:$D$1048576),"",INDEX(Main!G$4:G$1048576,MATCH(ROW(A110),Main!$D$4:$D$1048576,0)))="",IF(M112="","",N111),IF(ROW(A110)&gt;MAX(Main!$D$4:$D$1048576),"",INDEX(Main!G$4:G$1048576,MATCH(ROW(A110),Main!$D$4:$D$1048576,0))))</f>
        <v>99999860001</v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>-</v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>ー</v>
      </c>
      <c r="Q112" s="1" t="str">
        <f t="shared" si="5"/>
        <v>else</v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>山形市</v>
      </c>
      <c r="S112" s="9" t="str">
        <f>IF(ROW(G110)&gt;MAX(Main!$D$4:$D$1048576),"",INDEX(Main!K$4:K$1048576,MATCH(ROW(G110),Main!$D$4:$D$1048576,0)))</f>
        <v>99999860001介護施設</v>
      </c>
      <c r="T112" s="1">
        <f>IF(S112&lt;&gt;"",IF(ROW(G110)&gt;MAX(Main!$D$4:$D$1048576),"",INDEX(Main!N$4:N$1048576,MATCH(ROW(G110),Main!$D$4:$D$1048576,0))),"")</f>
        <v>99999860001</v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>介護施設</v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110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99999856001,
            "date": "2022/12/15",
            "label": "クラスターNo.856\n2022/12/15\n鶴岡市\n-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99999856002,
            "date": "2022/12/15",
            "label": "クラスターNo.856\n2022/12/15\n鶴岡市\n-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99999856003,
            "date": "2022/12/15",
            "label": "クラスターNo.856\n2022/12/15\n鶴岡市\n-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99999856004,
            "date": "2022/12/15",
            "label": "クラスターNo.856\n2022/12/15\n鶴岡市\n-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99999856005,
            "date": "2022/12/15",
            "label": "クラスターNo.856\n2022/12/15\n鶴岡市\n-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99999856006,
            "date": "2022/12/15",
            "label": "クラスターNo.856\n2022/12/15\n鶴岡市\n-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99999856007,
            "date": "2022/12/15",
            "label": "クラスターNo.856\n2022/12/15\n鶴岡市\n-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99999856008,
            "date": "2022/12/15",
            "label": "クラスターNo.856\n2022/12/15\n鶴岡市\n-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99999856009,
            "date": "2022/12/15",
            "label": "クラスターNo.856\n2022/12/15\n鶴岡市\n- ー"
        },
        "classes": ["multiline-manual", "else"]
    },
</v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99999856010,
            "date": "2022/12/15",
            "label": "クラスターNo.856\n2022/12/15\n鶴岡市\n- ー"
        },
        "classes": ["multiline-manual", "else"]
    },
</v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99999856011,
            "date": "2022/12/15",
            "label": "クラスターNo.856\n2022/12/15\n鶴岡市\n- ー"
        },
        "classes": ["multiline-manual", "else"]
    },
</v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99999856012,
            "date": "2022/12/15",
            "label": "クラスターNo.856\n2022/12/15\n鶴岡市\n- ー"
        },
        "classes": ["multiline-manual", "else"]
    },
</v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99999856013,
            "date": "2022/12/15",
            "label": "クラスターNo.856\n2022/12/15\n鶴岡市\n- ー"
        },
        "classes": ["multiline-manual", "else"]
    },
</v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99999856014,
            "date": "2022/12/15",
            "label": "クラスターNo.856\n2022/12/15\n鶴岡市\n- ー"
        },
        "classes": ["multiline-manual", "else"]
    },
</v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99999856015,
            "date": "2022/12/15",
            "label": "クラスターNo.856\n2022/12/15\n鶴岡市\n- ー"
        },
        "classes": ["multiline-manual", "else"]
    },
</v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99999856016,
            "date": "2022/12/15",
            "label": "クラスターNo.856\n2022/12/15\n鶴岡市\n- ー"
        },
        "classes": ["multiline-manual", "else"]
    },
</v>
      </c>
    </row>
    <row r="29" spans="2:3" ht="168.75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99999856017,
            "date": "2022/12/15",
            "label": "クラスターNo.856\n2022/12/15\n鶴岡市\n- ー"
        },
        "classes": ["multiline-manual", "else"]
    },
</v>
      </c>
    </row>
    <row r="30" spans="2:3" ht="168.75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 xml:space="preserve">    {
        "data": {
            "id": 99999856018,
            "date": "2022/12/15",
            "label": "クラスターNo.856\n2022/12/15\n鶴岡市\n- ー"
        },
        "classes": ["multiline-manual", "else"]
    },
</v>
      </c>
    </row>
    <row r="31" spans="2:3" ht="150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 xml:space="preserve">    {
        "data": {
            "id": 99999856019,
            "date": "2022/12/15",
            "label": "クラスターNo.856\n2022/12/15\n鶴岡市\n- ー"
        },
        "classes": ["multiline-manual", "else"]
    },
</v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 xml:space="preserve">    {
        "data": {
            "id": 99999856020,
            "date": "2022/12/15",
            "label": "クラスターNo.856\n2022/12/15\n鶴岡市\n- ー"
        },
        "classes": ["multiline-manual", "else"]
    },
</v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 xml:space="preserve">    {
        "data": {
            "id": 99999856021,
            "date": "2022/12/15",
            "label": "クラスターNo.856\n2022/12/15\n鶴岡市\n- ー"
        },
        "classes": ["multiline-manual", "else"]
    },
</v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 xml:space="preserve">    {
        "data": {
            "id": 99999856022,
            "date": "2022/12/15",
            "label": "クラスターNo.856\n2022/12/15\n鶴岡市\n- ー"
        },
        "classes": ["multiline-manual", "else"]
    },
</v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 xml:space="preserve">    {
        "data": {
            "id": 99999856023,
            "date": "2022/12/15",
            "label": "クラスターNo.856\n2022/12/15\n鶴岡市\n- ー"
        },
        "classes": ["multiline-manual", "else"]
    },
</v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 xml:space="preserve">    {
        "data": {
            "id": 99999856024,
            "date": "2022/12/15",
            "label": "クラスターNo.856\n2022/12/15\n鶴岡市\n- ー"
        },
        "classes": ["multiline-manual", "else"]
    },
</v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 xml:space="preserve">    {
        "data": {
            "id": 99999856025,
            "date": "2022/12/15",
            "label": "クラスターNo.856\n2022/12/15\n鶴岡市\n- ー"
        },
        "classes": ["multiline-manual", "else"]
    },
</v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 xml:space="preserve">    {
        "data": {
            "id": 99999856026,
            "date": "2022/12/15",
            "label": "クラスターNo.856\n2022/12/15\n鶴岡市\n- ー"
        },
        "classes": ["multiline-manual", "else"]
    },
</v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 xml:space="preserve">    {
        "data": {
            "id": 99999856027,
            "date": "2022/12/15",
            "label": "クラスターNo.856\n2022/12/15\n鶴岡市\n- ー"
        },
        "classes": ["multiline-manual", "else"]
    },
</v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 xml:space="preserve">    {
        "data": {
            "id": 99999856028,
            "date": "2022/12/15",
            "label": "クラスターNo.856\n2022/12/15\n鶴岡市\n- ー"
        },
        "classes": ["multiline-manual", "else"]
    },
</v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 xml:space="preserve">    {
        "data": {
            "id": 99999856029,
            "date": "2022/12/15",
            "label": "クラスターNo.856\n2022/12/15\n鶴岡市\n- ー"
        },
        "classes": ["multiline-manual", "else"]
    },
</v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 xml:space="preserve">    {
        "data": {
            "id": 99999856030,
            "date": "2022/12/15",
            "label": "クラスターNo.856\n2022/12/15\n鶴岡市\n- ー"
        },
        "classes": ["multiline-manual", "else"]
    },
</v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 xml:space="preserve">    {
        "data": {
            "id": 99999856031,
            "date": "2022/12/15",
            "label": "クラスターNo.856\n2022/12/15\n鶴岡市\n- ー"
        },
        "classes": ["multiline-manual", "else"]
    },
</v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 xml:space="preserve">    {
        "data": {
            "id": 99999856032,
            "date": "2022/12/15",
            "label": "クラスターNo.856\n2022/12/15\n鶴岡市\n- ー"
        },
        "classes": ["multiline-manual", "else"]
    },
</v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 xml:space="preserve">    {
        "data": {
            "id": 99999856033,
            "date": "2022/12/15",
            "label": "クラスターNo.856\n2022/12/15\n鶴岡市\n- ー"
        },
        "classes": ["multiline-manual", "else"]
    },
</v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 xml:space="preserve">    {
        "data": {
            "id": 99999856034,
            "date": "2022/12/15",
            "label": "クラスターNo.856\n2022/12/15\n鶴岡市\n- ー"
        },
        "classes": ["multiline-manual", "else"]
    },
</v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 xml:space="preserve">    {
        "data": {
            "id": 99999857001,
            "date": "2022/12/15",
            "label": "クラスターNo.857\n2022/12/15\n庄内町\n- ー"
        },
        "classes": ["multiline-manual", "else"]
    },
</v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 xml:space="preserve">    {
        "data": {
            "id": 99999857002,
            "date": "2022/12/15",
            "label": "クラスターNo.857\n2022/12/15\n庄内町\n- ー"
        },
        "classes": ["multiline-manual", "else"]
    },
</v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 xml:space="preserve">    {
        "data": {
            "id": 99999857003,
            "date": "2022/12/15",
            "label": "クラスターNo.857\n2022/12/15\n庄内町\n- ー"
        },
        "classes": ["multiline-manual", "else"]
    },
</v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 xml:space="preserve">    {
        "data": {
            "id": 99999857004,
            "date": "2022/12/15",
            "label": "クラスターNo.857\n2022/12/15\n庄内町\n- ー"
        },
        "classes": ["multiline-manual", "else"]
    },
</v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 xml:space="preserve">    {
        "data": {
            "id": 99999857005,
            "date": "2022/12/15",
            "label": "クラスターNo.857\n2022/12/15\n庄内町\n- ー"
        },
        "classes": ["multiline-manual", "else"]
    },
</v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 xml:space="preserve">    {
        "data": {
            "id": 99999857006,
            "date": "2022/12/15",
            "label": "クラスターNo.857\n2022/12/15\n庄内町\n- ー"
        },
        "classes": ["multiline-manual", "else"]
    },
</v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 xml:space="preserve">    {
        "data": {
            "id": 99999857007,
            "date": "2022/12/15",
            "label": "クラスターNo.857\n2022/12/15\n庄内町\n- ー"
        },
        "classes": ["multiline-manual", "else"]
    },
</v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 xml:space="preserve">    {
        "data": {
            "id": 99999857008,
            "date": "2022/12/15",
            "label": "クラスターNo.857\n2022/12/15\n庄内町\n- ー"
        },
        "classes": ["multiline-manual", "else"]
    },
</v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 xml:space="preserve">    {
        "data": {
            "id": 99999857009,
            "date": "2022/12/15",
            "label": "クラスターNo.857\n2022/12/15\n庄内町\n- ー"
        },
        "classes": ["multiline-manual", "else"]
    },
</v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 xml:space="preserve">    {
        "data": {
            "id": 99999857010,
            "date": "2022/12/15",
            "label": "クラスターNo.857\n2022/12/15\n庄内町\n- ー"
        },
        "classes": ["multiline-manual", "else"]
    },
</v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 xml:space="preserve">    {
        "data": {
            "id": 99999857011,
            "date": "2022/12/15",
            "label": "クラスターNo.857\n2022/12/15\n庄内町\n- ー"
        },
        "classes": ["multiline-manual", "else"]
    },
</v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 xml:space="preserve">    {
        "data": {
            "id": 99999857012,
            "date": "2022/12/15",
            "label": "クラスターNo.857\n2022/12/15\n庄内町\n- ー"
        },
        "classes": ["multiline-manual", "else"]
    },
</v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 xml:space="preserve">    {
        "data": {
            "id": 99999857013,
            "date": "2022/12/15",
            "label": "クラスターNo.857\n2022/12/15\n庄内町\n- ー"
        },
        "classes": ["multiline-manual", "else"]
    },
</v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 xml:space="preserve">    {
        "data": {
            "id": 99999857014,
            "date": "2022/12/15",
            "label": "クラスターNo.857\n2022/12/15\n庄内町\n- ー"
        },
        "classes": ["multiline-manual", "else"]
    },
</v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 xml:space="preserve">    {
        "data": {
            "id": 99999857015,
            "date": "2022/12/15",
            "label": "クラスターNo.857\n2022/12/15\n庄内町\n- ー"
        },
        "classes": ["multiline-manual", "else"]
    },
</v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 xml:space="preserve">    {
        "data": {
            "id": 99999857016,
            "date": "2022/12/15",
            "label": "クラスターNo.857\n2022/12/15\n庄内町\n- ー"
        },
        "classes": ["multiline-manual", "else"]
    },
</v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 xml:space="preserve">    {
        "data": {
            "id": 99999857017,
            "date": "2022/12/15",
            "label": "クラスターNo.857\n2022/12/15\n庄内町\n- ー"
        },
        "classes": ["multiline-manual", "else"]
    },
</v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 xml:space="preserve">    {
        "data": {
            "id": 99999857018,
            "date": "2022/12/15",
            "label": "クラスターNo.857\n2022/12/15\n庄内町\n- ー"
        },
        "classes": ["multiline-manual", "else"]
    },
</v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 xml:space="preserve">    {
        "data": {
            "id": 99999857019,
            "date": "2022/12/15",
            "label": "クラスターNo.857\n2022/12/15\n庄内町\n- ー"
        },
        "classes": ["multiline-manual", "else"]
    },
</v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 xml:space="preserve">    {
        "data": {
            "id": 99999857020,
            "date": "2022/12/15",
            "label": "クラスターNo.857\n2022/12/15\n庄内町\n- ー"
        },
        "classes": ["multiline-manual", "else"]
    },
</v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 xml:space="preserve">    {
        "data": {
            "id": 99999858001,
            "date": "2022/12/15",
            "label": "クラスターNo.858\n2022/12/15\n遊佐町\n- ー"
        },
        "classes": ["multiline-manual", "else"]
    },
</v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 xml:space="preserve">    {
        "data": {
            "id": 99999858002,
            "date": "2022/12/15",
            "label": "クラスターNo.858\n2022/12/15\n遊佐町\n- ー"
        },
        "classes": ["multiline-manual", "else"]
    },
</v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 xml:space="preserve">    {
        "data": {
            "id": 99999858003,
            "date": "2022/12/15",
            "label": "クラスターNo.858\n2022/12/15\n遊佐町\n- ー"
        },
        "classes": ["multiline-manual", "else"]
    },
</v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 xml:space="preserve">    {
        "data": {
            "id": 99999858004,
            "date": "2022/12/15",
            "label": "クラスターNo.858\n2022/12/15\n遊佐町\n- ー"
        },
        "classes": ["multiline-manual", "else"]
    },
</v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 xml:space="preserve">    {
        "data": {
            "id": 99999858005,
            "date": "2022/12/15",
            "label": "クラスターNo.858\n2022/12/15\n遊佐町\n- ー"
        },
        "classes": ["multiline-manual", "else"]
    },
</v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 xml:space="preserve">    {
        "data": {
            "id": 99999858006,
            "date": "2022/12/15",
            "label": "クラスターNo.858\n2022/12/15\n遊佐町\n- ー"
        },
        "classes": ["multiline-manual", "else"]
    },
</v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 xml:space="preserve">    {
        "data": {
            "id": 99999858007,
            "date": "2022/12/15",
            "label": "クラスターNo.858\n2022/12/15\n遊佐町\n- ー"
        },
        "classes": ["multiline-manual", "else"]
    },
</v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 xml:space="preserve">    {
        "data": {
            "id": 99999858008,
            "date": "2022/12/15",
            "label": "クラスターNo.858\n2022/12/15\n遊佐町\n- ー"
        },
        "classes": ["multiline-manual", "else"]
    },
</v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 xml:space="preserve">    {
        "data": {
            "id": 99999858009,
            "date": "2022/12/15",
            "label": "クラスターNo.858\n2022/12/15\n遊佐町\n- ー"
        },
        "classes": ["multiline-manual", "else"]
    },
</v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 xml:space="preserve">    {
        "data": {
            "id": 99999858010,
            "date": "2022/12/15",
            "label": "クラスターNo.858\n2022/12/15\n遊佐町\n- ー"
        },
        "classes": ["multiline-manual", "else"]
    },
</v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 xml:space="preserve">    {
        "data": {
            "id": 99999858011,
            "date": "2022/12/15",
            "label": "クラスターNo.858\n2022/12/15\n遊佐町\n- ー"
        },
        "classes": ["multiline-manual", "else"]
    },
</v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 xml:space="preserve">    {
        "data": {
            "id": 99999858012,
            "date": "2022/12/15",
            "label": "クラスターNo.858\n2022/12/15\n遊佐町\n- ー"
        },
        "classes": ["multiline-manual", "else"]
    },
</v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 xml:space="preserve">    {
        "data": {
            "id": 99999858013,
            "date": "2022/12/15",
            "label": "クラスターNo.858\n2022/12/15\n遊佐町\n- ー"
        },
        "classes": ["multiline-manual", "else"]
    },
</v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 xml:space="preserve">    {
        "data": {
            "id": 99999858014,
            "date": "2022/12/15",
            "label": "クラスターNo.858\n2022/12/15\n遊佐町\n- ー"
        },
        "classes": ["multiline-manual", "else"]
    },
</v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 xml:space="preserve">    {
        "data": {
            "id": 99999858015,
            "date": "2022/12/15",
            "label": "クラスターNo.858\n2022/12/15\n遊佐町\n- ー"
        },
        "classes": ["multiline-manual", "else"]
    },
</v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 xml:space="preserve">    {
        "data": {
            "id": 99999859001,
            "date": "2022/12/15",
            "label": "クラスターNo.859\n2022/12/15\n遊佐町\n- ー"
        },
        "classes": ["multiline-manual", "else"]
    },
</v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 xml:space="preserve">    {
        "data": {
            "id": 99999859002,
            "date": "2022/12/15",
            "label": "クラスターNo.859\n2022/12/15\n遊佐町\n- ー"
        },
        "classes": ["multiline-manual", "else"]
    },
</v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 xml:space="preserve">    {
        "data": {
            "id": 99999859003,
            "date": "2022/12/15",
            "label": "クラスターNo.859\n2022/12/15\n遊佐町\n- ー"
        },
        "classes": ["multiline-manual", "else"]
    },
</v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 xml:space="preserve">    {
        "data": {
            "id": 99999859004,
            "date": "2022/12/15",
            "label": "クラスターNo.859\n2022/12/15\n遊佐町\n- ー"
        },
        "classes": ["multiline-manual", "else"]
    },
</v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 xml:space="preserve">    {
        "data": {
            "id": 99999859005,
            "date": "2022/12/15",
            "label": "クラスターNo.859\n2022/12/15\n遊佐町\n- ー"
        },
        "classes": ["multiline-manual", "else"]
    },
</v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 xml:space="preserve">    {
        "data": {
            "id": 99999859006,
            "date": "2022/12/15",
            "label": "クラスターNo.859\n2022/12/15\n遊佐町\n- ー"
        },
        "classes": ["multiline-manual", "else"]
    },
</v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 xml:space="preserve">    {
        "data": {
            "id": 99999859007,
            "date": "2022/12/15",
            "label": "クラスターNo.859\n2022/12/15\n遊佐町\n- ー"
        },
        "classes": ["multiline-manual", "else"]
    },
</v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 xml:space="preserve">    {
        "data": {
            "id": 99999859008,
            "date": "2022/12/15",
            "label": "クラスターNo.859\n2022/12/15\n遊佐町\n- ー"
        },
        "classes": ["multiline-manual", "else"]
    },
</v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 xml:space="preserve">    {
        "data": {
            "id": 99999859009,
            "date": "2022/12/15",
            "label": "クラスターNo.859\n2022/12/15\n遊佐町\n- ー"
        },
        "classes": ["multiline-manual", "else"]
    },
</v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 xml:space="preserve">    {
        "data": {
            "id": 99999859010,
            "date": "2022/12/15",
            "label": "クラスターNo.859\n2022/12/15\n遊佐町\n- ー"
        },
        "classes": ["multiline-manual", "else"]
    },
</v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 xml:space="preserve">    {
        "data": {
            "id": 99999859011,
            "date": "2022/12/15",
            "label": "クラスターNo.859\n2022/12/15\n遊佐町\n- ー"
        },
        "classes": ["multiline-manual", "else"]
    },
</v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 xml:space="preserve">    {
        "data": {
            "id": 99999859012,
            "date": "2022/12/15",
            "label": "クラスターNo.859\n2022/12/15\n遊佐町\n- ー"
        },
        "classes": ["multiline-manual", "else"]
    },
</v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 xml:space="preserve">    {
        "data": {
            "id": 99999859013,
            "date": "2022/12/15",
            "label": "クラスターNo.859\n2022/12/15\n遊佐町\n- ー"
        },
        "classes": ["multiline-manual", "else"]
    },
</v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 xml:space="preserve">    {
        "data": {
            "id": 99999859014,
            "date": "2022/12/15",
            "label": "クラスターNo.859\n2022/12/15\n遊佐町\n- ー"
        },
        "classes": ["multiline-manual", "else"]
    },
</v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 xml:space="preserve">    {
        "data": {
            "id": 99999859015,
            "date": "2022/12/15",
            "label": "クラスターNo.859\n2022/12/15\n遊佐町\n- ー"
        },
        "classes": ["multiline-manual", "else"]
    },
</v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 xml:space="preserve">    {
        "data": {
            "id": 99999859016,
            "date": "2022/12/15",
            "label": "クラスターNo.859\n2022/12/15\n遊佐町\n- ー"
        },
        "classes": ["multiline-manual", "else"]
    },
</v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 xml:space="preserve">    {
        "data": {
            "id": 99999859017,
            "date": "2022/12/15",
            "label": "クラスターNo.859\n2022/12/15\n遊佐町\n- ー"
        },
        "classes": ["multiline-manual", "else"]
    },
</v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 xml:space="preserve">    {
        "data": {
            "id": 99999859018,
            "date": "2022/12/15",
            "label": "クラスターNo.859\n2022/12/15\n遊佐町\n- ー"
        },
        "classes": ["multiline-manual", "else"]
    },
</v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 xml:space="preserve">    {
        "data": {
            "id": 99999859019,
            "date": "2022/12/15",
            "label": "クラスターNo.859\n2022/12/15\n遊佐町\n- ー"
        },
        "classes": ["multiline-manual", "else"]
    },
</v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 xml:space="preserve">    {
        "data": {
            "id": 99999859020,
            "date": "2022/12/15",
            "label": "クラスターNo.859\n2022/12/15\n遊佐町\n- ー"
        },
        "classes": ["multiline-manual", "else"]
    },
</v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 xml:space="preserve">    {
        "data": {
            "id": 99999859021,
            "date": "2022/12/15",
            "label": "クラスターNo.859\n2022/12/15\n遊佐町\n- ー"
        },
        "classes": ["multiline-manual", "else"]
    },
</v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 xml:space="preserve">    {
        "data": {
            "id": 99999859022,
            "date": "2022/12/15",
            "label": "クラスターNo.859\n2022/12/15\n遊佐町\n- ー"
        },
        "classes": ["multiline-manual", "else"]
    },
</v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 xml:space="preserve">    {
        "data": {
            "id": 99999859023,
            "date": "2022/12/15",
            "label": "クラスターNo.859\n2022/12/15\n遊佐町\n- ー"
        },
        "classes": ["multiline-manual", "else"]
    },
</v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 xml:space="preserve">    {
        "data": {
            "id": 99999859024,
            "date": "2022/12/15",
            "label": "クラスターNo.859\n2022/12/15\n遊佐町\n- ー"
        },
        "classes": ["multiline-manual", "else"]
    },
</v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 xml:space="preserve">    {
        "data": {
            "id": 99999859025,
            "date": "2022/12/15",
            "label": "クラスターNo.859\n2022/12/15\n遊佐町\n- ー"
        },
        "classes": ["multiline-manual", "else"]
    },
</v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 xml:space="preserve">    {
        "data": {
            "id": 99999859026,
            "date": "2022/12/15",
            "label": "クラスターNo.859\n2022/12/15\n遊佐町\n- ー"
        },
        "classes": ["multiline-manual", "else"]
    },
</v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 xml:space="preserve">    {
        "data": {
            "id": 99999859027,
            "date": "2022/12/15",
            "label": "クラスターNo.859\n2022/12/15\n遊佐町\n- ー"
        },
        "classes": ["multiline-manual", "else"]
    },
</v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 xml:space="preserve">    {
        "data": {
            "id": 99999859028,
            "date": "2022/12/15",
            "label": "クラスターNo.859\n2022/12/15\n遊佐町\n- ー"
        },
        "classes": ["multiline-manual", "else"]
    },
</v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 xml:space="preserve">    {
        "data": {
            "id": 99999859029,
            "date": "2022/12/15",
            "label": "クラスターNo.859\n2022/12/15\n遊佐町\n- ー"
        },
        "classes": ["multiline-manual", "else"]
    },
</v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 xml:space="preserve">    {
        "data": {
            "id": 99999859030,
            "date": "2022/12/15",
            "label": "クラスターNo.859\n2022/12/15\n遊佐町\n- ー"
        },
        "classes": ["multiline-manual", "else"]
    },
</v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 xml:space="preserve">    {
        "data": {
            "id": 99999859031,
            "date": "2022/12/15",
            "label": "クラスターNo.859\n2022/12/15\n遊佐町\n- ー"
        },
        "classes": ["multiline-manual", "else"]
    },
</v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 xml:space="preserve">    {
        "data": {
            "id": 99999859032,
            "date": "2022/12/15",
            "label": "クラスターNo.859\n2022/12/15\n遊佐町\n- ー"
        },
        "classes": ["multiline-manual", "else"]
    },
</v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 xml:space="preserve">    {
        "data": {
            "id": 99999859033,
            "date": "2022/12/15",
            "label": "クラスターNo.859\n2022/12/15\n遊佐町\n- ー"
        },
        "classes": ["multiline-manual", "else"]
    },
</v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 xml:space="preserve">    {
        "data": {
            "id": 99999859034,
            "date": "2022/12/15",
            "label": "クラスターNo.859\n2022/12/15\n遊佐町\n- ー"
        },
        "classes": ["multiline-manual", "else"]
    },
</v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 xml:space="preserve">    {
        "data": {
            "id": 99999859035,
            "date": "2022/12/15",
            "label": "クラスターNo.859\n2022/12/15\n遊佐町\n- ー"
        },
        "classes": ["multiline-manual", "else"]
    },
</v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 xml:space="preserve">    {
        "data": {
            "id": 99999859036,
            "date": "2022/12/15",
            "label": "クラスターNo.859\n2022/12/15\n遊佐町\n- ー"
        },
        "classes": ["multiline-manual", "else"]
    },
</v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 xml:space="preserve">    {
        "data": {
            "id": 99999859037,
            "date": "2022/12/15",
            "label": "クラスターNo.859\n2022/12/15\n遊佐町\n- ー"
        },
        "classes": ["multiline-manual", "else"]
    },
</v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 xml:space="preserve">    {
        "data": {
            "id": 99999859038,
            "date": "2022/12/15",
            "label": "クラスターNo.859\n2022/12/15\n遊佐町\n- ー"
        },
        "classes": ["multiline-manual", "else"]
    },
</v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 xml:space="preserve">    {
        "data": {
            "id": 99999859039,
            "date": "2022/12/15",
            "label": "クラスターNo.859\n2022/12/15\n遊佐町\n- ー"
        },
        "classes": ["multiline-manual", "else"]
    },
</v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 xml:space="preserve">    {
        "data": {
            "id": 99999859040,
            "date": "2022/12/15",
            "label": "クラスターNo.859\n2022/12/15\n遊佐町\n- ー"
        },
        "classes": ["multiline-manual", "else"]
    },
</v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 xml:space="preserve">    {
        "data": {
            "id": 99999860001,
            "date": "2022/12/15",
            "label": "クラスターNo.860\n2022/12/15\n山形市\n- ー"
        },
        "classes": ["multiline-manual", "else"]
    }</v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110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"99999856001",
            "target": "99999856001",
            "label": "医療機関"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"99999856002",
            "target": "99999856001",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"99999856003",
            "target": "99999856001",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"99999856004",
            "target": "99999856001",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"99999856005",
            "target": "99999856001",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"99999856006",
            "target": "99999856001",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"99999856007",
            "target": "99999856001",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"99999856008",
            "target": "99999856001",
            "label": "関連"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"99999856009",
            "target": "99999856001",
            "label": "関連"
        }
    },
</v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"99999856010",
            "target": "99999856001",
            "label": "関連"
        }
    },
</v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"99999856011",
            "target": "99999856001",
            "label": "関連"
        }
    },
</v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"99999856012",
            "target": "99999856001",
            "label": "関連"
        }
    },
</v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"99999856013",
            "target": "99999856001",
            "label": "関連"
        }
    },
</v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"99999856014",
            "target": "99999856001",
            "label": "関連"
        }
    },
</v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"99999856015",
            "target": "99999856001",
            "label": "関連"
        }
    },
</v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"99999856016",
            "target": "99999856001",
            "label": "関連"
        }
    },
</v>
      </c>
    </row>
    <row r="28" spans="2:3" ht="150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"99999856017",
            "target": "99999856001",
            "label": "関連"
        }
    },
</v>
      </c>
    </row>
    <row r="29" spans="2:3" ht="150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 xml:space="preserve">    {
        "data": {
            "source": "99999856018",
            "target": "99999856001",
            "label": "関連"
        }
    },
</v>
      </c>
    </row>
    <row r="30" spans="2:3" ht="131.25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 xml:space="preserve">    {
        "data": {
            "source": "99999856019",
            "target": "99999856001",
            "label": "関連"
        }
    },
</v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 xml:space="preserve">    {
        "data": {
            "source": "99999856020",
            "target": "99999856001",
            "label": "関連"
        }
    },
</v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 xml:space="preserve">    {
        "data": {
            "source": "99999856021",
            "target": "99999856001",
            "label": "関連"
        }
    },
</v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 xml:space="preserve">    {
        "data": {
            "source": "99999856022",
            "target": "99999856001",
            "label": "関連"
        }
    },
</v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 xml:space="preserve">    {
        "data": {
            "source": "99999856023",
            "target": "99999856001",
            "label": "関連"
        }
    },
</v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 xml:space="preserve">    {
        "data": {
            "source": "99999856024",
            "target": "99999856001",
            "label": "関連"
        }
    },
</v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 xml:space="preserve">    {
        "data": {
            "source": "99999856025",
            "target": "99999856001",
            "label": "関連"
        }
    },
</v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 xml:space="preserve">    {
        "data": {
            "source": "99999856026",
            "target": "99999856001",
            "label": "関連"
        }
    },
</v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 xml:space="preserve">    {
        "data": {
            "source": "99999856027",
            "target": "99999856001",
            "label": "関連"
        }
    },
</v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 xml:space="preserve">    {
        "data": {
            "source": "99999856028",
            "target": "99999856001",
            "label": "関連"
        }
    },
</v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 xml:space="preserve">    {
        "data": {
            "source": "99999856029",
            "target": "99999856001",
            "label": "関連"
        }
    },
</v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 xml:space="preserve">    {
        "data": {
            "source": "99999856030",
            "target": "99999856001",
            "label": "関連"
        }
    },
</v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 xml:space="preserve">    {
        "data": {
            "source": "99999856031",
            "target": "99999856001",
            "label": "関連"
        }
    },
</v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 xml:space="preserve">    {
        "data": {
            "source": "99999856032",
            "target": "99999856001",
            "label": "関連"
        }
    },
</v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 xml:space="preserve">    {
        "data": {
            "source": "99999856033",
            "target": "99999856001",
            "label": "関連"
        }
    },
</v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 xml:space="preserve">    {
        "data": {
            "source": "99999856034",
            "target": "99999856001",
            "label": "関連"
        }
    },
</v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 xml:space="preserve">    {
        "data": {
            "source": "99999857001",
            "target": "99999857001",
            "label": "介護施設"
        }
    },
</v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 xml:space="preserve">    {
        "data": {
            "source": "99999857002",
            "target": "99999857001",
            "label": "関連"
        }
    },
</v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 xml:space="preserve">    {
        "data": {
            "source": "99999857003",
            "target": "99999857001",
            "label": "関連"
        }
    },
</v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 xml:space="preserve">    {
        "data": {
            "source": "99999857004",
            "target": "99999857001",
            "label": "関連"
        }
    },
</v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 xml:space="preserve">    {
        "data": {
            "source": "99999857005",
            "target": "99999857001",
            "label": "関連"
        }
    },
</v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 xml:space="preserve">    {
        "data": {
            "source": "99999857006",
            "target": "99999857001",
            "label": "関連"
        }
    },
</v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 xml:space="preserve">    {
        "data": {
            "source": "99999857007",
            "target": "99999857001",
            "label": "関連"
        }
    },
</v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 xml:space="preserve">    {
        "data": {
            "source": "99999857008",
            "target": "99999857001",
            "label": "関連"
        }
    },
</v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 xml:space="preserve">    {
        "data": {
            "source": "99999857009",
            "target": "99999857001",
            "label": "関連"
        }
    },
</v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 xml:space="preserve">    {
        "data": {
            "source": "99999857010",
            "target": "99999857001",
            "label": "関連"
        }
    },
</v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 xml:space="preserve">    {
        "data": {
            "source": "99999857011",
            "target": "99999857001",
            "label": "関連"
        }
    },
</v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 xml:space="preserve">    {
        "data": {
            "source": "99999857012",
            "target": "99999857001",
            "label": "関連"
        }
    },
</v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 xml:space="preserve">    {
        "data": {
            "source": "99999857013",
            "target": "99999857001",
            "label": "関連"
        }
    },
</v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 xml:space="preserve">    {
        "data": {
            "source": "99999857014",
            "target": "99999857001",
            "label": "関連"
        }
    },
</v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 xml:space="preserve">    {
        "data": {
            "source": "99999857015",
            "target": "99999857001",
            "label": "関連"
        }
    },
</v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 xml:space="preserve">    {
        "data": {
            "source": "99999857016",
            "target": "99999857001",
            "label": "関連"
        }
    },
</v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 xml:space="preserve">    {
        "data": {
            "source": "99999857017",
            "target": "99999857001",
            "label": "関連"
        }
    },
</v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 xml:space="preserve">    {
        "data": {
            "source": "99999857018",
            "target": "99999857001",
            "label": "関連"
        }
    },
</v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 xml:space="preserve">    {
        "data": {
            "source": "99999857019",
            "target": "99999857001",
            "label": "関連"
        }
    },
</v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 xml:space="preserve">    {
        "data": {
            "source": "99999857020",
            "target": "99999857001",
            "label": "関連"
        }
    },
</v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 xml:space="preserve">    {
        "data": {
            "source": "99999858001",
            "target": "99999858001",
            "label": "介護施設"
        }
    },
</v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 xml:space="preserve">    {
        "data": {
            "source": "99999858002",
            "target": "99999858001",
            "label": "関連"
        }
    },
</v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 xml:space="preserve">    {
        "data": {
            "source": "99999858003",
            "target": "99999858001",
            "label": "関連"
        }
    },
</v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 xml:space="preserve">    {
        "data": {
            "source": "99999858004",
            "target": "99999858001",
            "label": "関連"
        }
    },
</v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 xml:space="preserve">    {
        "data": {
            "source": "99999858005",
            "target": "99999858001",
            "label": "関連"
        }
    },
</v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 xml:space="preserve">    {
        "data": {
            "source": "99999858006",
            "target": "99999858001",
            "label": "関連"
        }
    },
</v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 xml:space="preserve">    {
        "data": {
            "source": "99999858007",
            "target": "99999858001",
            "label": "関連"
        }
    },
</v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 xml:space="preserve">    {
        "data": {
            "source": "99999858008",
            "target": "99999858001",
            "label": "関連"
        }
    },
</v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 xml:space="preserve">    {
        "data": {
            "source": "99999858009",
            "target": "99999858001",
            "label": "関連"
        }
    },
</v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 xml:space="preserve">    {
        "data": {
            "source": "99999858010",
            "target": "99999858001",
            "label": "関連"
        }
    },
</v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 xml:space="preserve">    {
        "data": {
            "source": "99999858011",
            "target": "99999858001",
            "label": "関連"
        }
    },
</v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 xml:space="preserve">    {
        "data": {
            "source": "99999858012",
            "target": "99999858001",
            "label": "関連"
        }
    },
</v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 xml:space="preserve">    {
        "data": {
            "source": "99999858013",
            "target": "99999858001",
            "label": "関連"
        }
    },
</v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 xml:space="preserve">    {
        "data": {
            "source": "99999858014",
            "target": "99999858001",
            "label": "関連"
        }
    },
</v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 xml:space="preserve">    {
        "data": {
            "source": "99999858015",
            "target": "99999858001",
            "label": "関連"
        }
    },
</v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 xml:space="preserve">    {
        "data": {
            "source": "99999859001",
            "target": "99999859001",
            "label": "障がい者施設"
        }
    },
</v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 xml:space="preserve">    {
        "data": {
            "source": "99999859002",
            "target": "99999859001",
            "label": "関連"
        }
    },
</v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 xml:space="preserve">    {
        "data": {
            "source": "99999859003",
            "target": "99999859001",
            "label": "関連"
        }
    },
</v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 xml:space="preserve">    {
        "data": {
            "source": "99999859004",
            "target": "99999859001",
            "label": "関連"
        }
    },
</v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 xml:space="preserve">    {
        "data": {
            "source": "99999859005",
            "target": "99999859001",
            "label": "関連"
        }
    },
</v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 xml:space="preserve">    {
        "data": {
            "source": "99999859006",
            "target": "99999859001",
            "label": "関連"
        }
    },
</v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 xml:space="preserve">    {
        "data": {
            "source": "99999859007",
            "target": "99999859001",
            "label": "関連"
        }
    },
</v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 xml:space="preserve">    {
        "data": {
            "source": "99999859008",
            "target": "99999859001",
            "label": "関連"
        }
    },
</v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 xml:space="preserve">    {
        "data": {
            "source": "99999859009",
            "target": "99999859001",
            "label": "関連"
        }
    },
</v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 xml:space="preserve">    {
        "data": {
            "source": "99999859010",
            "target": "99999859001",
            "label": "関連"
        }
    },
</v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 xml:space="preserve">    {
        "data": {
            "source": "99999859011",
            "target": "99999859001",
            "label": "関連"
        }
    },
</v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 xml:space="preserve">    {
        "data": {
            "source": "99999859012",
            "target": "99999859001",
            "label": "関連"
        }
    },
</v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 xml:space="preserve">    {
        "data": {
            "source": "99999859013",
            "target": "99999859001",
            "label": "関連"
        }
    },
</v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 xml:space="preserve">    {
        "data": {
            "source": "99999859014",
            "target": "99999859001",
            "label": "関連"
        }
    },
</v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 xml:space="preserve">    {
        "data": {
            "source": "99999859015",
            "target": "99999859001",
            "label": "関連"
        }
    },
</v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 xml:space="preserve">    {
        "data": {
            "source": "99999859016",
            "target": "99999859001",
            "label": "関連"
        }
    },
</v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 xml:space="preserve">    {
        "data": {
            "source": "99999859017",
            "target": "99999859001",
            "label": "関連"
        }
    },
</v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 xml:space="preserve">    {
        "data": {
            "source": "99999859018",
            "target": "99999859001",
            "label": "関連"
        }
    },
</v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 xml:space="preserve">    {
        "data": {
            "source": "99999859019",
            "target": "99999859001",
            "label": "関連"
        }
    },
</v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 xml:space="preserve">    {
        "data": {
            "source": "99999859020",
            "target": "99999859001",
            "label": "関連"
        }
    },
</v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 xml:space="preserve">    {
        "data": {
            "source": "99999859021",
            "target": "99999859001",
            "label": "関連"
        }
    },
</v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 xml:space="preserve">    {
        "data": {
            "source": "99999859022",
            "target": "99999859001",
            "label": "関連"
        }
    },
</v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 xml:space="preserve">    {
        "data": {
            "source": "99999859023",
            "target": "99999859001",
            "label": "関連"
        }
    },
</v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 xml:space="preserve">    {
        "data": {
            "source": "99999859024",
            "target": "99999859001",
            "label": "関連"
        }
    },
</v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 xml:space="preserve">    {
        "data": {
            "source": "99999859025",
            "target": "99999859001",
            "label": "関連"
        }
    },
</v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 xml:space="preserve">    {
        "data": {
            "source": "99999859026",
            "target": "99999859001",
            "label": "関連"
        }
    },
</v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 xml:space="preserve">    {
        "data": {
            "source": "99999859027",
            "target": "99999859001",
            "label": "関連"
        }
    },
</v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 xml:space="preserve">    {
        "data": {
            "source": "99999859028",
            "target": "99999859001",
            "label": "関連"
        }
    },
</v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 xml:space="preserve">    {
        "data": {
            "source": "99999859029",
            "target": "99999859001",
            "label": "関連"
        }
    },
</v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 xml:space="preserve">    {
        "data": {
            "source": "99999859030",
            "target": "99999859001",
            "label": "関連"
        }
    },
</v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 xml:space="preserve">    {
        "data": {
            "source": "99999859031",
            "target": "99999859001",
            "label": "関連"
        }
    },
</v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 xml:space="preserve">    {
        "data": {
            "source": "99999859032",
            "target": "99999859001",
            "label": "関連"
        }
    },
</v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 xml:space="preserve">    {
        "data": {
            "source": "99999859033",
            "target": "99999859001",
            "label": "関連"
        }
    },
</v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 xml:space="preserve">    {
        "data": {
            "source": "99999859034",
            "target": "99999859001",
            "label": "関連"
        }
    },
</v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 xml:space="preserve">    {
        "data": {
            "source": "99999859035",
            "target": "99999859001",
            "label": "関連"
        }
    },
</v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 xml:space="preserve">    {
        "data": {
            "source": "99999859036",
            "target": "99999859001",
            "label": "関連"
        }
    },
</v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 xml:space="preserve">    {
        "data": {
            "source": "99999859037",
            "target": "99999859001",
            "label": "関連"
        }
    },
</v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 xml:space="preserve">    {
        "data": {
            "source": "99999859038",
            "target": "99999859001",
            "label": "関連"
        }
    },
</v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 xml:space="preserve">    {
        "data": {
            "source": "99999859039",
            "target": "99999859001",
            "label": "関連"
        }
    },
</v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 xml:space="preserve">    {
        "data": {
            "source": "99999859040",
            "target": "99999859001",
            "label": "関連"
        }
    },
</v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 xml:space="preserve">    {
        "data": {
            "source": "99999860001",
            "target": "99999860001",
            "label": "介護施設"
        }
    }</v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2" sqref="F12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"lastUpdate":"2022/12/15 20:43"}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2022-12-15T11:44:07Z</dcterms:modified>
</cp:coreProperties>
</file>