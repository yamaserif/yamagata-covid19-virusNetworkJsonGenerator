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2B1A4703-9CEA-4BEA-9654-23D44A2B8250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3" i="1" l="1"/>
  <c r="S22" i="1"/>
  <c r="S21" i="1"/>
  <c r="S20" i="1"/>
  <c r="S19" i="1"/>
  <c r="S18" i="1"/>
  <c r="S17" i="1"/>
  <c r="AB17" i="1" s="1"/>
  <c r="S15" i="1"/>
  <c r="S14" i="1"/>
  <c r="S13" i="1"/>
  <c r="G13" i="1" s="1"/>
  <c r="S12" i="1"/>
  <c r="S11" i="1"/>
  <c r="S10" i="1"/>
  <c r="AB10" i="1" s="1"/>
  <c r="G15" i="1"/>
  <c r="J15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K49" i="1" s="1"/>
  <c r="M49" i="1" s="1" a="1"/>
  <c r="M49" i="1" s="1"/>
  <c r="O49" i="1" s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1" i="1" l="1"/>
  <c r="AB18" i="1"/>
  <c r="AB12" i="1"/>
  <c r="AB19" i="1"/>
  <c r="K19" i="1" s="1"/>
  <c r="M19" i="1" s="1" a="1"/>
  <c r="M19" i="1" s="1"/>
  <c r="O19" i="1" s="1"/>
  <c r="AB13" i="1"/>
  <c r="AB20" i="1"/>
  <c r="K20" i="1" s="1"/>
  <c r="AB14" i="1"/>
  <c r="AB21" i="1"/>
  <c r="AB15" i="1"/>
  <c r="K15" i="1" s="1"/>
  <c r="M15" i="1" s="1" a="1"/>
  <c r="M15" i="1" s="1"/>
  <c r="O15" i="1" s="1"/>
  <c r="AB22" i="1"/>
  <c r="K22" i="1" s="1"/>
  <c r="L22" i="1" s="1"/>
  <c r="AB23" i="1"/>
  <c r="K21" i="1"/>
  <c r="M21" i="1" s="1" a="1"/>
  <c r="M21" i="1" s="1"/>
  <c r="O21" i="1" s="1"/>
  <c r="K29" i="1"/>
  <c r="K32" i="1"/>
  <c r="K16" i="1"/>
  <c r="L16" i="1" s="1"/>
  <c r="K26" i="1"/>
  <c r="M26" i="1" s="1" a="1"/>
  <c r="M26" i="1" s="1"/>
  <c r="O26" i="1" s="1"/>
  <c r="K27" i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K23" i="1"/>
  <c r="K24" i="1"/>
  <c r="M24" i="1" s="1" a="1"/>
  <c r="M24" i="1" s="1"/>
  <c r="O24" i="1" s="1"/>
  <c r="K45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K41" i="1"/>
  <c r="J41" i="1"/>
  <c r="I41" i="1"/>
  <c r="H41" i="1"/>
  <c r="K44" i="1"/>
  <c r="L49" i="1"/>
  <c r="N49" i="1" s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N100" i="1" l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N19" i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68" i="1" l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C13" i="1"/>
  <c r="D12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R10" i="3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R7" i="3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R4" i="3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R6" i="3"/>
  <c r="M7" i="3"/>
  <c r="N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S45" i="3"/>
  <c r="T45" i="3" s="1"/>
  <c r="U45" i="3" s="1"/>
  <c r="M18" i="3"/>
  <c r="N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R169" i="3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R5" i="3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U4" i="3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R34" i="3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R132" i="3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11" i="3"/>
  <c r="P11" i="3" s="1"/>
  <c r="Q11" i="3" s="1"/>
  <c r="O8" i="3"/>
  <c r="P8" i="3" s="1"/>
  <c r="Q8" i="3" s="1"/>
  <c r="O5" i="3"/>
  <c r="P5" i="3" s="1"/>
  <c r="Q5" i="3" s="1"/>
  <c r="S85" i="3"/>
  <c r="T85" i="3" s="1"/>
  <c r="U85" i="3" s="1"/>
  <c r="S36" i="3"/>
  <c r="T36" i="3" s="1"/>
  <c r="U36" i="3" s="1"/>
  <c r="R151" i="3"/>
  <c r="R193" i="3"/>
  <c r="R50" i="3"/>
  <c r="M193" i="3"/>
  <c r="N193" i="3" s="1"/>
  <c r="O193" i="3" s="1"/>
  <c r="P193" i="3" s="1"/>
  <c r="Q193" i="3" s="1"/>
  <c r="R103" i="3"/>
  <c r="R183" i="3"/>
  <c r="S186" i="3"/>
  <c r="T186" i="3" s="1"/>
  <c r="U186" i="3" s="1"/>
  <c r="O18" i="3"/>
  <c r="P18" i="3" s="1"/>
  <c r="Q18" i="3" s="1"/>
  <c r="O4" i="3"/>
  <c r="P4" i="3" s="1"/>
  <c r="Q4" i="3" s="1"/>
  <c r="R49" i="3"/>
  <c r="S75" i="3"/>
  <c r="T75" i="3" s="1"/>
  <c r="U75" i="3" s="1"/>
  <c r="R84" i="3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5" i="3"/>
  <c r="P15" i="3" s="1"/>
  <c r="Q15" i="3" s="1"/>
  <c r="R175" i="3"/>
  <c r="R129" i="3"/>
  <c r="O12" i="3"/>
  <c r="P12" i="3" s="1"/>
  <c r="Q12" i="3" s="1"/>
  <c r="O10" i="3"/>
  <c r="P10" i="3" s="1"/>
  <c r="Q10" i="3" s="1"/>
  <c r="R112" i="3"/>
  <c r="O6" i="3"/>
  <c r="P6" i="3" s="1"/>
  <c r="Q6" i="3" s="1"/>
  <c r="R78" i="3"/>
  <c r="M13" i="3"/>
  <c r="N13" i="3" s="1"/>
  <c r="O13" i="3" s="1"/>
  <c r="P13" i="3" s="1"/>
  <c r="R8" i="3"/>
  <c r="R192" i="3"/>
  <c r="O7" i="3"/>
  <c r="P7" i="3" s="1"/>
  <c r="Q7" i="3" s="1"/>
  <c r="R48" i="3"/>
  <c r="C50" i="1"/>
  <c r="R184" i="3" l="1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3" i="5" a="1"/>
  <c r="C15" i="5" a="1"/>
  <c r="C14" i="5" a="1"/>
  <c r="C12" i="5" a="1"/>
  <c r="C16" i="5" a="1"/>
  <c r="C17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3" i="5"/>
  <c r="C17" i="5"/>
  <c r="C12" i="5"/>
  <c r="C16" i="5"/>
  <c r="C14" i="5"/>
  <c r="C15" i="5"/>
  <c r="C52" i="1"/>
  <c r="C18" i="5" a="1"/>
  <c r="C18" i="5" l="1"/>
  <c r="C53" i="1"/>
  <c r="C54" i="1" s="1"/>
  <c r="C19" i="5" a="1"/>
  <c r="C19" i="5" l="1"/>
  <c r="C55" i="1"/>
  <c r="C56" i="1" s="1"/>
  <c r="C20" i="5" a="1"/>
  <c r="C20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21" i="5" a="1"/>
  <c r="C21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J14" i="3"/>
  <c r="H30" i="3"/>
  <c r="I30" i="3" s="1"/>
  <c r="J30" i="3" s="1"/>
  <c r="B52" i="3"/>
  <c r="C52" i="3" s="1"/>
  <c r="K52" i="3" s="1"/>
  <c r="B14" i="3"/>
  <c r="C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G4" i="3"/>
  <c r="B157" i="3"/>
  <c r="C157" i="3" s="1"/>
  <c r="K157" i="3" s="1"/>
  <c r="G8" i="3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G7" i="3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C11" i="3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J26" i="3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G6" i="3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C10" i="3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E7" i="3"/>
  <c r="F7" i="3" s="1"/>
  <c r="D109" i="3"/>
  <c r="E109" i="3" s="1"/>
  <c r="F109" i="3" s="1"/>
  <c r="D163" i="3"/>
  <c r="E163" i="3" s="1"/>
  <c r="F163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G5" i="3"/>
  <c r="H50" i="3"/>
  <c r="I50" i="3" s="1"/>
  <c r="J50" i="3" s="1"/>
  <c r="D73" i="3"/>
  <c r="E73" i="3" s="1"/>
  <c r="F73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D26" i="3"/>
  <c r="E26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D30" i="3"/>
  <c r="E30" i="3" s="1"/>
  <c r="F30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D42" i="3"/>
  <c r="E42" i="3" s="1"/>
  <c r="F42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E21" i="3" s="1"/>
  <c r="F21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D5" i="3"/>
  <c r="B91" i="3"/>
  <c r="C91" i="3" s="1"/>
  <c r="K91" i="3" s="1"/>
  <c r="H115" i="3"/>
  <c r="I115" i="3" s="1"/>
  <c r="J115" i="3" s="1"/>
  <c r="B71" i="3"/>
  <c r="C71" i="3" s="1"/>
  <c r="K71" i="3" s="1"/>
  <c r="D8" i="3"/>
  <c r="B70" i="3"/>
  <c r="C70" i="3" s="1"/>
  <c r="K70" i="3" s="1"/>
  <c r="D166" i="3"/>
  <c r="E166" i="3" s="1"/>
  <c r="F166" i="3" s="1"/>
  <c r="D160" i="3"/>
  <c r="E160" i="3" s="1"/>
  <c r="F160" i="3" s="1"/>
  <c r="D60" i="3"/>
  <c r="E60" i="3" s="1"/>
  <c r="F60" i="3" s="1"/>
  <c r="D196" i="3"/>
  <c r="E196" i="3" s="1"/>
  <c r="F196" i="3" s="1"/>
  <c r="D11" i="3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D130" i="3"/>
  <c r="E130" i="3" s="1"/>
  <c r="F130" i="3" s="1"/>
  <c r="B192" i="3"/>
  <c r="C192" i="3" s="1"/>
  <c r="K192" i="3" s="1"/>
  <c r="D132" i="3"/>
  <c r="E132" i="3" s="1"/>
  <c r="F132" i="3" s="1"/>
  <c r="D12" i="3"/>
  <c r="E1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B5" i="3"/>
  <c r="C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D167" i="3"/>
  <c r="E167" i="3" s="1"/>
  <c r="F167" i="3" s="1"/>
  <c r="D108" i="3"/>
  <c r="E108" i="3" s="1"/>
  <c r="F108" i="3" s="1"/>
  <c r="E14" i="3"/>
  <c r="F14" i="3" s="1"/>
  <c r="D54" i="3"/>
  <c r="E54" i="3" s="1"/>
  <c r="F54" i="3" s="1"/>
  <c r="E5" i="3"/>
  <c r="F5" i="3" s="1"/>
  <c r="E8" i="3"/>
  <c r="F8" i="3" s="1"/>
  <c r="E6" i="3"/>
  <c r="F6" i="3" s="1"/>
  <c r="D13" i="3"/>
  <c r="E13" i="3" s="1"/>
  <c r="D4" i="3"/>
  <c r="E4" i="3"/>
  <c r="F4" i="3" s="1"/>
  <c r="E11" i="3"/>
  <c r="F11" i="3" s="1"/>
  <c r="D10" i="3"/>
  <c r="E10" i="3" s="1"/>
  <c r="D15" i="3"/>
  <c r="E15" i="3" s="1"/>
  <c r="D14" i="3"/>
  <c r="C22" i="5" a="1"/>
  <c r="D57" i="3" l="1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C22" i="5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G163" i="3"/>
  <c r="D102" i="3"/>
  <c r="E102" i="3" s="1"/>
  <c r="F102" i="3" s="1"/>
  <c r="G111" i="3"/>
  <c r="D140" i="3"/>
  <c r="E140" i="3" s="1"/>
  <c r="F140" i="3" s="1"/>
  <c r="D165" i="3"/>
  <c r="E165" i="3" s="1"/>
  <c r="F165" i="3" s="1"/>
  <c r="D85" i="3"/>
  <c r="E85" i="3" s="1"/>
  <c r="G81" i="3"/>
  <c r="D74" i="3"/>
  <c r="E74" i="3" s="1"/>
  <c r="F74" i="3" s="1"/>
  <c r="D169" i="3"/>
  <c r="E169" i="3" s="1"/>
  <c r="D99" i="3"/>
  <c r="E99" i="3" s="1"/>
  <c r="G141" i="3"/>
  <c r="D112" i="3"/>
  <c r="E112" i="3" s="1"/>
  <c r="F112" i="3" s="1"/>
  <c r="D171" i="3"/>
  <c r="E171" i="3" s="1"/>
  <c r="D118" i="3"/>
  <c r="E118" i="3" s="1"/>
  <c r="F118" i="3" s="1"/>
  <c r="G47" i="3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G195" i="3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109" i="3"/>
  <c r="G181" i="3"/>
  <c r="G31" i="3"/>
  <c r="G60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G84" i="3"/>
  <c r="D193" i="3"/>
  <c r="E193" i="3" s="1"/>
  <c r="D144" i="3"/>
  <c r="E144" i="3" s="1"/>
  <c r="F144" i="3" s="1"/>
  <c r="G186" i="3"/>
  <c r="D173" i="3"/>
  <c r="E173" i="3" s="1"/>
  <c r="G17" i="3"/>
  <c r="G69" i="3"/>
  <c r="D63" i="3"/>
  <c r="E63" i="3" s="1"/>
  <c r="D174" i="3"/>
  <c r="E174" i="3" s="1"/>
  <c r="G87" i="3"/>
  <c r="D70" i="3"/>
  <c r="E70" i="3" s="1"/>
  <c r="G197" i="3"/>
  <c r="D147" i="3"/>
  <c r="E147" i="3" s="1"/>
  <c r="F147" i="3" s="1"/>
  <c r="D53" i="3"/>
  <c r="E53" i="3" s="1"/>
  <c r="G42" i="3"/>
  <c r="D98" i="3"/>
  <c r="E98" i="3" s="1"/>
  <c r="G78" i="3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57" i="3"/>
  <c r="G21" i="3"/>
  <c r="D40" i="3"/>
  <c r="E40" i="3" s="1"/>
  <c r="G44" i="3"/>
  <c r="D149" i="3"/>
  <c r="E149" i="3" s="1"/>
  <c r="D176" i="3"/>
  <c r="E176" i="3" s="1"/>
  <c r="F176" i="3" s="1"/>
  <c r="G108" i="3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129" i="3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G134" i="3"/>
  <c r="G160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G162" i="3"/>
  <c r="D143" i="3"/>
  <c r="E143" i="3" s="1"/>
  <c r="D122" i="3"/>
  <c r="E122" i="3" s="1"/>
  <c r="K17" i="3"/>
  <c r="D190" i="3"/>
  <c r="E190" i="3" s="1"/>
  <c r="G130" i="3"/>
  <c r="K29" i="3"/>
  <c r="K20" i="3"/>
  <c r="K8" i="3"/>
  <c r="G135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8" i="4" a="1"/>
  <c r="C17" i="4" a="1"/>
  <c r="C15" i="4" a="1"/>
  <c r="C13" i="4" a="1"/>
  <c r="C14" i="4" a="1"/>
  <c r="C23" i="5" a="1"/>
  <c r="C16" i="4" a="1"/>
  <c r="F79" i="3" l="1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C23" i="5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C14" i="4"/>
  <c r="C18" i="4"/>
  <c r="C17" i="4"/>
  <c r="C16" i="4"/>
  <c r="C15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24" i="5" a="1"/>
  <c r="C19" i="4" a="1"/>
  <c r="C19" i="4" l="1"/>
  <c r="C24" i="5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31" i="5" a="1"/>
  <c r="C26" i="4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41" i="5" a="1"/>
  <c r="C36" i="4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47" i="4" a="1"/>
  <c r="C52" i="5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60" i="5" a="1"/>
  <c r="C55" i="4" a="1"/>
  <c r="C60" i="5" l="1"/>
  <c r="C55" i="4"/>
  <c r="C61" i="5" a="1"/>
  <c r="C56" i="4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8" i="5" l="1"/>
  <c r="C63" i="4"/>
  <c r="C69" i="5" a="1"/>
  <c r="C64" i="4" a="1"/>
  <c r="C64" i="4" l="1"/>
  <c r="C69" i="5"/>
  <c r="C65" i="4" a="1"/>
  <c r="C70" i="5" a="1"/>
  <c r="C70" i="5" l="1"/>
  <c r="C65" i="4"/>
  <c r="C71" i="5" a="1"/>
  <c r="C66" i="4" a="1"/>
  <c r="C66" i="4" l="1"/>
  <c r="C71" i="5"/>
  <c r="C72" i="5" a="1"/>
  <c r="C67" i="4" a="1"/>
  <c r="C72" i="5" l="1"/>
  <c r="C67" i="4"/>
  <c r="C73" i="5" a="1"/>
  <c r="C68" i="4" a="1"/>
  <c r="C68" i="4" l="1"/>
  <c r="C73" i="5"/>
  <c r="C74" i="5" a="1"/>
  <c r="C69" i="4" a="1"/>
  <c r="C74" i="5" l="1"/>
  <c r="C69" i="4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80" i="5" l="1"/>
  <c r="C75" i="4"/>
  <c r="C81" i="5" a="1"/>
  <c r="C76" i="4" a="1"/>
  <c r="C76" i="4" l="1"/>
  <c r="C81" i="5"/>
  <c r="C77" i="4" a="1"/>
  <c r="C82" i="5" a="1"/>
  <c r="C82" i="5" l="1"/>
  <c r="C77" i="4"/>
  <c r="C83" i="5" a="1"/>
  <c r="C78" i="4" a="1"/>
  <c r="C78" i="4" l="1"/>
  <c r="C83" i="5"/>
  <c r="C84" i="5" a="1"/>
  <c r="C79" i="4" a="1"/>
  <c r="C84" i="5" l="1"/>
  <c r="C79" i="4"/>
  <c r="C85" i="5" a="1"/>
  <c r="C80" i="4" a="1"/>
  <c r="C80" i="4" l="1"/>
  <c r="C85" i="5"/>
  <c r="C86" i="5" a="1"/>
  <c r="C81" i="4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91" i="5" a="1"/>
  <c r="C86" i="4" a="1"/>
  <c r="C86" i="4" l="1"/>
  <c r="C91" i="5"/>
  <c r="C92" i="5" a="1"/>
  <c r="C87" i="4" a="1"/>
  <c r="C92" i="5" l="1"/>
  <c r="C87" i="4"/>
  <c r="C88" i="4" a="1"/>
  <c r="C93" i="5" a="1"/>
  <c r="C88" i="4" l="1"/>
  <c r="C93" i="5"/>
  <c r="C94" i="5" a="1"/>
  <c r="C89" i="4" a="1"/>
  <c r="C94" i="5" l="1"/>
  <c r="C89" i="4"/>
  <c r="C95" i="5" a="1"/>
  <c r="C90" i="4" a="1"/>
  <c r="C90" i="4" l="1"/>
  <c r="C95" i="5"/>
  <c r="C91" i="4" a="1"/>
  <c r="C96" i="5" a="1"/>
  <c r="C96" i="5" l="1"/>
  <c r="C91" i="4"/>
  <c r="C97" i="5" a="1"/>
  <c r="C92" i="4" a="1"/>
  <c r="C92" i="4" l="1"/>
  <c r="C97" i="5"/>
  <c r="C93" i="4" a="1"/>
  <c r="C98" i="5" a="1"/>
  <c r="C98" i="5" l="1"/>
  <c r="C93" i="4"/>
  <c r="C94" i="4" a="1"/>
  <c r="C99" i="5" a="1"/>
  <c r="C94" i="4" l="1"/>
  <c r="C99" i="5"/>
  <c r="C95" i="4" a="1"/>
  <c r="C100" i="5" a="1"/>
  <c r="C100" i="5" l="1"/>
  <c r="C95" i="4"/>
  <c r="C96" i="4" a="1"/>
  <c r="C101" i="5" a="1"/>
  <c r="C96" i="4" l="1"/>
  <c r="C101" i="5"/>
  <c r="C97" i="4" a="1"/>
  <c r="C102" i="5" a="1"/>
  <c r="C102" i="5" l="1"/>
  <c r="C97" i="4"/>
  <c r="C103" i="5" a="1"/>
  <c r="C98" i="4" a="1"/>
  <c r="C98" i="4" l="1"/>
  <c r="C103" i="5"/>
  <c r="C99" i="4" a="1"/>
  <c r="C104" i="5" a="1"/>
  <c r="C104" i="5" l="1"/>
  <c r="C99" i="4"/>
  <c r="C105" i="5" a="1"/>
  <c r="C100" i="4" a="1"/>
  <c r="C100" i="4" l="1"/>
  <c r="C105" i="5"/>
  <c r="C106" i="5" a="1"/>
  <c r="C101" i="4" a="1"/>
  <c r="C106" i="5" l="1"/>
  <c r="C101" i="4"/>
  <c r="C107" i="5" a="1"/>
  <c r="C102" i="4" a="1"/>
  <c r="C102" i="4" l="1"/>
  <c r="C107" i="5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31" i="5" l="1"/>
  <c r="C126" i="4"/>
  <c r="C127" i="4" a="1"/>
  <c r="C132" i="5" a="1"/>
  <c r="C127" i="4" l="1"/>
  <c r="C132" i="5"/>
  <c r="C133" i="5" a="1"/>
  <c r="C128" i="4" a="1"/>
  <c r="C133" i="5" l="1"/>
  <c r="C128" i="4"/>
  <c r="C129" i="4" a="1"/>
  <c r="C134" i="5" a="1"/>
  <c r="C129" i="4" l="1"/>
  <c r="C134" i="5"/>
  <c r="C135" i="5" a="1"/>
  <c r="C130" i="4" a="1"/>
  <c r="C135" i="5" l="1"/>
  <c r="C130" i="4"/>
  <c r="C136" i="5" a="1"/>
  <c r="C131" i="4" a="1"/>
  <c r="C131" i="4" l="1"/>
  <c r="C136" i="5"/>
  <c r="C132" i="4" a="1"/>
  <c r="C137" i="5" a="1"/>
  <c r="C137" i="5" l="1"/>
  <c r="C132" i="4"/>
  <c r="C138" i="5" a="1"/>
  <c r="C133" i="4" a="1"/>
  <c r="C133" i="4" l="1"/>
  <c r="C138" i="5"/>
  <c r="C134" i="4" a="1"/>
  <c r="C139" i="5" a="1"/>
  <c r="C139" i="5" l="1"/>
  <c r="C134" i="4"/>
  <c r="C135" i="4" a="1"/>
  <c r="C140" i="5" a="1"/>
  <c r="C135" i="4" l="1"/>
  <c r="C140" i="5"/>
  <c r="C141" i="5" a="1"/>
  <c r="C136" i="4" a="1"/>
  <c r="C141" i="5" l="1"/>
  <c r="C136" i="4"/>
  <c r="C142" i="5" a="1"/>
  <c r="C137" i="4" a="1"/>
  <c r="C137" i="4" l="1"/>
  <c r="C142" i="5"/>
  <c r="C138" i="4" a="1"/>
  <c r="C143" i="5" a="1"/>
  <c r="C143" i="5" l="1"/>
  <c r="C138" i="4"/>
  <c r="C144" i="5" a="1"/>
  <c r="C139" i="4" a="1"/>
  <c r="C139" i="4" l="1"/>
  <c r="C144" i="5"/>
  <c r="C145" i="5" a="1"/>
  <c r="C140" i="4" a="1"/>
  <c r="C145" i="5" l="1"/>
  <c r="C140" i="4"/>
  <c r="C146" i="5" a="1"/>
  <c r="C141" i="4" a="1"/>
  <c r="C141" i="4" l="1"/>
  <c r="C146" i="5"/>
  <c r="C147" i="5" a="1"/>
  <c r="C142" i="4" a="1"/>
  <c r="C147" i="5" l="1"/>
  <c r="C142" i="4"/>
  <c r="C148" i="5" a="1"/>
  <c r="C143" i="4" a="1"/>
  <c r="C143" i="4" l="1"/>
  <c r="C148" i="5"/>
  <c r="C144" i="4" a="1"/>
  <c r="C149" i="5" a="1"/>
  <c r="C149" i="5" l="1"/>
  <c r="C144" i="4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69" i="4" l="1"/>
  <c r="C174" i="5"/>
  <c r="C170" i="4" a="1"/>
  <c r="C175" i="5" a="1"/>
  <c r="C175" i="5" l="1"/>
  <c r="C170" i="4"/>
  <c r="C176" i="5" a="1"/>
  <c r="C171" i="4" a="1"/>
  <c r="C171" i="4" l="1"/>
  <c r="C176" i="5"/>
  <c r="C172" i="4" a="1"/>
  <c r="C177" i="5" a="1"/>
  <c r="C177" i="5" l="1"/>
  <c r="C172" i="4"/>
  <c r="C178" i="5" a="1"/>
  <c r="C173" i="4" a="1"/>
  <c r="C173" i="4" l="1"/>
  <c r="C178" i="5"/>
  <c r="C174" i="4" a="1"/>
  <c r="C179" i="5" a="1"/>
  <c r="C179" i="5" l="1"/>
  <c r="C174" i="4"/>
  <c r="C180" i="5" a="1"/>
  <c r="C175" i="4" a="1"/>
  <c r="C175" i="4" l="1"/>
  <c r="C180" i="5"/>
  <c r="C181" i="5" a="1"/>
  <c r="C176" i="4" a="1"/>
  <c r="C181" i="5" l="1"/>
  <c r="C176" i="4"/>
  <c r="C177" i="4" a="1"/>
  <c r="C182" i="5" a="1"/>
  <c r="C177" i="4" l="1"/>
  <c r="C182" i="5"/>
  <c r="C178" i="4" a="1"/>
  <c r="C183" i="5" a="1"/>
  <c r="C183" i="5" l="1"/>
  <c r="C178" i="4"/>
  <c r="C184" i="5" a="1"/>
  <c r="C179" i="4" a="1"/>
  <c r="C179" i="4" l="1"/>
  <c r="C184" i="5"/>
  <c r="C185" i="5" a="1"/>
  <c r="C180" i="4" a="1"/>
  <c r="C185" i="5" l="1"/>
  <c r="C180" i="4"/>
  <c r="C186" i="5" a="1"/>
  <c r="C181" i="4" a="1"/>
  <c r="C181" i="4" l="1"/>
  <c r="C186" i="5"/>
  <c r="C182" i="4" a="1"/>
  <c r="C187" i="5" a="1"/>
  <c r="C187" i="5" l="1"/>
  <c r="C182" i="4"/>
  <c r="C188" i="5" a="1"/>
  <c r="C183" i="4" a="1"/>
  <c r="C183" i="4" l="1"/>
  <c r="C188" i="5"/>
  <c r="C184" i="4" a="1"/>
  <c r="C189" i="5" a="1"/>
  <c r="C189" i="5" l="1"/>
  <c r="C184" i="4"/>
  <c r="C185" i="4" a="1"/>
  <c r="C190" i="5" a="1"/>
  <c r="C185" i="4" l="1"/>
  <c r="C190" i="5"/>
  <c r="C186" i="4" a="1"/>
  <c r="C191" i="5" a="1"/>
  <c r="C191" i="5" l="1"/>
  <c r="C186" i="4"/>
  <c r="C187" i="4" a="1"/>
  <c r="C192" i="5" a="1"/>
  <c r="C187" i="4" l="1"/>
  <c r="C192" i="5"/>
  <c r="C188" i="4" a="1"/>
  <c r="C193" i="5" a="1"/>
  <c r="C193" i="5" l="1"/>
  <c r="C188" i="4"/>
  <c r="C194" i="5" a="1"/>
  <c r="C189" i="4" a="1"/>
  <c r="C189" i="4" l="1"/>
  <c r="C194" i="5"/>
  <c r="C190" i="4" a="1"/>
  <c r="C195" i="5" a="1"/>
  <c r="C195" i="5" l="1"/>
  <c r="C190" i="4"/>
  <c r="C191" i="4" a="1"/>
  <c r="C196" i="5" a="1"/>
  <c r="C191" i="4" l="1"/>
  <c r="C196" i="5"/>
  <c r="C197" i="5" a="1"/>
  <c r="C192" i="4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<sst xmlns="http://schemas.openxmlformats.org/spreadsheetml/2006/main" count="1285" uniqueCount="447">
  <si>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</si>
  <si>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</si>
  <si>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</si>
  <si>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</si>
  <si>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</si>
  <si>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</si>
  <si>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</si>
  <si>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</si>
  <si>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</si>
  <si>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</si>
  <si>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</si>
  <si>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</si>
  <si>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</si>
  <si>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</si>
  <si>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</si>
  <si>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</si>
  <si>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</si>
  <si>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</si>
  <si>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</si>
  <si>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</si>
  <si>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</si>
  <si>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</si>
  <si>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</si>
  <si>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</si>
  <si>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</si>
  <si>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</si>
  <si>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</si>
  <si>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</si>
  <si>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</si>
  <si>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</si>
  <si>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</si>
  <si>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</si>
  <si>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</si>
  <si>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</si>
  <si>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</si>
  <si>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</si>
  <si>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</si>
  <si>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</si>
  <si>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</si>
  <si>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</si>
  <si>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</si>
  <si>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</si>
  <si>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</si>
  <si>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</si>
  <si>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</si>
  <si>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</si>
  <si>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</si>
  <si>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</si>
  <si>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</si>
  <si>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</si>
  <si>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</si>
  <si>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</si>
  <si>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</si>
  <si>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</si>
  <si>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</si>
  <si>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</si>
  <si>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</si>
  <si>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</si>
  <si>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</si>
  <si>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</si>
  <si>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</si>
  <si>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</si>
  <si>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</si>
  <si>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</si>
  <si>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</si>
  <si>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</si>
  <si>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</si>
  <si>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</si>
  <si>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</si>
  <si>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</si>
  <si>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</si>
  <si>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</si>
  <si>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</si>
  <si>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</si>
  <si>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</si>
  <si>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</si>
  <si>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</si>
  <si>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</si>
  <si>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</si>
  <si>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</si>
  <si>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</si>
  <si>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</si>
  <si>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</si>
  <si>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</si>
  <si>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</si>
  <si>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</si>
  <si>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</si>
  <si>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</si>
  <si>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</si>
  <si>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</si>
  <si>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</si>
  <si>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</si>
  <si>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</si>
  <si>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</si>
  <si>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</si>
  <si>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</si>
  <si>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</si>
  <si>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</si>
  <si>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</si>
  <si>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</si>
  <si>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</si>
  <si>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</si>
  <si>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</si>
  <si>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</si>
  <si>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</si>
  <si>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</si>
  <si>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</si>
  <si>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</si>
  <si>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</si>
  <si>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</si>
  <si>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</si>
  <si>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</si>
  <si>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</si>
  <si>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</si>
  <si>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</si>
  <si>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</si>
  <si>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</si>
  <si>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</si>
  <si>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</si>
  <si>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</si>
  <si>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</si>
  <si>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</si>
  <si>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</si>
  <si>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</si>
  <si>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</si>
  <si>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</si>
  <si>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</si>
  <si>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</si>
  <si>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</si>
  <si>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</si>
  <si>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</si>
  <si>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</si>
  <si>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</si>
  <si>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</si>
  <si>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</si>
  <si>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</si>
  <si>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</si>
  <si>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</si>
  <si>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</si>
  <si>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</si>
  <si>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</si>
  <si>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</si>
  <si>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</si>
  <si>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</si>
  <si>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</si>
  <si>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</si>
  <si>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</si>
  <si>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</si>
  <si>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</si>
  <si>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</si>
  <si>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</si>
  <si>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</si>
  <si>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</si>
  <si>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</si>
  <si>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</si>
  <si>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</si>
  <si>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</si>
  <si>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</si>
  <si>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</si>
  <si>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</si>
  <si>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</si>
  <si>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</si>
  <si>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</si>
  <si>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</si>
  <si>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</si>
  <si>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</si>
  <si>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</si>
  <si>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</si>
  <si>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</si>
  <si>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</si>
  <si>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</si>
  <si>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</si>
  <si>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</si>
  <si>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</si>
  <si>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</si>
  <si>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</si>
  <si>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</si>
  <si>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</si>
  <si>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</si>
  <si>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</si>
  <si>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</si>
  <si>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</si>
  <si>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</si>
  <si>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</si>
  <si>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</si>
  <si>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</si>
  <si>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</si>
  <si>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</si>
  <si>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</si>
  <si>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</si>
  <si>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</si>
  <si>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</si>
  <si>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</si>
  <si>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</si>
  <si>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</si>
  <si>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</si>
  <si>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</si>
  <si>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</si>
  <si>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</si>
  <si>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</si>
  <si>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</si>
  <si>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</si>
  <si>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</si>
  <si>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</si>
  <si>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</si>
  <si>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</si>
  <si>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</si>
  <si>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</si>
  <si>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</si>
  <si>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</si>
  <si>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</si>
  <si>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</si>
  <si>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</si>
  <si>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</si>
  <si>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</si>
  <si>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</si>
  <si>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</si>
  <si>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</si>
  <si>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</si>
  <si>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</si>
  <si>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</si>
  <si>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</si>
  <si>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</si>
  <si>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</si>
  <si>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</si>
  <si>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</si>
  <si>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</si>
  <si>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</si>
  <si>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</si>
  <si>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</si>
  <si>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</si>
  <si>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</si>
  <si>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</si>
  <si>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</si>
  <si>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</si>
  <si>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</si>
  <si>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</si>
  <si>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</si>
  <si>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</si>
  <si>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</si>
  <si>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</si>
  <si>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</si>
  <si>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</si>
  <si>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</si>
  <si>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</si>
  <si>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</si>
  <si>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</si>
  <si>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</si>
  <si>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</si>
  <si>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</si>
  <si>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</si>
  <si>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</si>
  <si>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</si>
  <si>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</si>
  <si>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</si>
  <si>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</si>
  <si>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</si>
  <si>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</si>
  <si>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</si>
  <si>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</si>
  <si>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</si>
  <si>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</si>
  <si>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</si>
  <si>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</si>
  <si>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</si>
  <si>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</si>
  <si>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</si>
  <si>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</si>
  <si>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</si>
  <si>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</si>
  <si>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</si>
  <si>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</si>
  <si>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</si>
  <si>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</si>
  <si>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</si>
  <si>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</si>
  <si>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</si>
  <si>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</si>
  <si>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</si>
  <si>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</si>
  <si>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</si>
  <si>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</si>
  <si>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</si>
  <si>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</si>
  <si>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</si>
  <si>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</si>
  <si>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</si>
  <si>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</si>
  <si>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</si>
  <si>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</si>
  <si>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</si>
  <si>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</si>
  <si>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</si>
  <si>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</si>
  <si>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</si>
  <si>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</si>
  <si>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</si>
  <si>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</si>
  <si>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</si>
  <si>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</si>
  <si>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</si>
  <si>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</si>
  <si>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</si>
  <si>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</si>
  <si>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</si>
  <si>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</si>
  <si>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</si>
  <si>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</si>
  <si>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</si>
  <si>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</si>
  <si>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</si>
  <si>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</si>
  <si>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</si>
  <si>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</si>
  <si>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</si>
  <si>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</si>
  <si>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</si>
  <si>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</si>
  <si>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</si>
  <si>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</si>
  <si>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</si>
  <si>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</si>
  <si>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</si>
  <si>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</si>
  <si>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</si>
  <si>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</si>
  <si>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</si>
  <si>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</si>
  <si>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</si>
  <si>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</si>
  <si>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</si>
  <si>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</si>
  <si>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</si>
  <si>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</si>
  <si>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</si>
  <si>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</si>
  <si>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</si>
  <si>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</si>
  <si>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</si>
  <si>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</si>
  <si>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</si>
  <si>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</si>
  <si>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</si>
  <si>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</si>
  <si>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</si>
  <si>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</si>
  <si>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</si>
  <si>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</si>
  <si>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</si>
  <si>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</si>
  <si>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</si>
  <si>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</si>
  <si>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</si>
  <si>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</si>
  <si>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</si>
  <si>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</si>
  <si>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</si>
  <si>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</si>
  <si>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</si>
  <si>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</si>
  <si>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</si>
  <si>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</si>
  <si>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</si>
  <si>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</si>
  <si>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</si>
  <si>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</si>
  <si>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</si>
  <si>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</si>
  <si>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</si>
  <si>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</si>
  <si>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</si>
  <si>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</si>
  <si>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</si>
  <si>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</si>
  <si>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</si>
  <si>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</si>
  <si>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</si>
  <si>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</si>
  <si>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</si>
  <si>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</si>
  <si>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</si>
  <si>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</si>
  <si>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</si>
  <si>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</si>
  <si>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</si>
  <si>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</si>
  <si>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</si>
  <si>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</si>
  <si>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</si>
  <si>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</si>
  <si>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</si>
  <si>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</si>
  <si>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</si>
  <si>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</si>
  <si>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</si>
  <si>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</si>
  <si>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</si>
  <si>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</si>
  <si>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</si>
  <si>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</si>
  <si>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</si>
  <si>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</si>
  <si>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</si>
  <si>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</si>
  <si>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</si>
  <si>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</si>
  <si>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</si>
  <si>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</si>
  <si>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</si>
  <si>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</si>
  <si>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</si>
  <si>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</si>
  <si>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</si>
  <si>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</si>
  <si>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</si>
  <si>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</si>
  <si>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</si>
  <si>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</si>
  <si>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</si>
  <si>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</si>
  <si>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</si>
  <si>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</si>
  <si>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</si>
  <si>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</si>
  <si>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</si>
  <si>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</si>
  <si>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</si>
  <si>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</si>
  <si>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</si>
  <si>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</si>
  <si>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</si>
  <si>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</si>
  <si>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</si>
  <si>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</si>
  <si>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</si>
  <si>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</si>
  <si>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</si>
  <si>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</si>
  <si>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</si>
  <si>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</si>
  <si>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</si>
  <si>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</si>
  <si>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</si>
  <si>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</si>
  <si>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</si>
  <si>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</si>
  <si>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南陽市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</si>
</sst>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7" activePane="bottomLeft" state="frozen"/>
      <selection activeCell="E20" sqref="E20"/>
      <selection pane="bottomLeft" activeCell="S25" sqref="S25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99999870001</v>
      </c>
      <c r="G10" s="29">
        <f t="shared" si="2"/>
        <v>99999870001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新庄市</v>
      </c>
      <c r="K10" s="31" t="str">
        <f t="shared" si="6"/>
        <v>99999870001介護施設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99999870001</v>
      </c>
      <c r="N10">
        <f>IF(L10&lt;&gt;"○",M10,INDEX(G$4:G9,MATCH(L10&amp;M10,F$4:F9,0)))</f>
        <v>99999870001</v>
      </c>
      <c r="O10" t="str">
        <f t="shared" si="8"/>
        <v>介護施設</v>
      </c>
      <c r="Q10" s="4">
        <v>44915</v>
      </c>
      <c r="S10" t="str">
        <f>$O$1&amp;
870&amp;
REPT("0",3-LEN(ROW($S1)))&amp;ROW($S1)</f>
        <v>99999870001</v>
      </c>
      <c r="T10" t="s">
        <v>50</v>
      </c>
      <c r="U10" t="s">
        <v>50</v>
      </c>
      <c r="V10" t="s">
        <v>46</v>
      </c>
      <c r="AB10" t="str">
        <f>$S$10&amp;"介護施設"</f>
        <v>99999870001介護施設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99999870002</v>
      </c>
      <c r="G11" s="29">
        <f t="shared" si="2"/>
        <v>99999870002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新庄市</v>
      </c>
      <c r="K11" s="31" t="str">
        <f t="shared" si="6"/>
        <v>99999870001関連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99999870001</v>
      </c>
      <c r="N11">
        <f>IF(L11&lt;&gt;"○",M11,INDEX(G$4:G10,MATCH(L11&amp;M11,F$4:F10,0)))</f>
        <v>99999870001</v>
      </c>
      <c r="O11" t="str">
        <f t="shared" si="8"/>
        <v>関連</v>
      </c>
      <c r="Q11" s="4">
        <v>44915</v>
      </c>
      <c r="S11" t="str">
        <f t="shared" ref="S11:S15" si="9">$O$1&amp;
870&amp;
REPT("0",3-LEN(ROW($S2)))&amp;ROW($S2)</f>
        <v>99999870002</v>
      </c>
      <c r="T11" t="s">
        <v>50</v>
      </c>
      <c r="U11" t="s">
        <v>50</v>
      </c>
      <c r="V11" t="s">
        <v>46</v>
      </c>
      <c r="AB11" t="str">
        <f>$S$10&amp;"関連"</f>
        <v>99999870001関連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99999870003</v>
      </c>
      <c r="G12" s="29">
        <f t="shared" si="2"/>
        <v>99999870003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新庄市</v>
      </c>
      <c r="K12" s="31" t="str">
        <f t="shared" si="6"/>
        <v>99999870001関連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99999870001</v>
      </c>
      <c r="N12">
        <f>IF(L12&lt;&gt;"○",M12,INDEX(G$4:G11,MATCH(L12&amp;M12,F$4:F11,0)))</f>
        <v>99999870001</v>
      </c>
      <c r="O12" t="str">
        <f t="shared" si="8"/>
        <v>関連</v>
      </c>
      <c r="Q12" s="4">
        <v>44915</v>
      </c>
      <c r="S12" t="str">
        <f t="shared" si="9"/>
        <v>99999870003</v>
      </c>
      <c r="T12" t="s">
        <v>50</v>
      </c>
      <c r="U12" t="s">
        <v>50</v>
      </c>
      <c r="V12" t="s">
        <v>46</v>
      </c>
      <c r="AB12" t="str">
        <f t="shared" ref="AB12:AB15" si="10">$S$10&amp;"関連"</f>
        <v>99999870001関連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99999870004</v>
      </c>
      <c r="G13" s="29">
        <f t="shared" si="2"/>
        <v>99999870004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新庄市</v>
      </c>
      <c r="K13" s="31" t="str">
        <f t="shared" si="6"/>
        <v>99999870001関連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99999870001</v>
      </c>
      <c r="N13">
        <f>IF(L13&lt;&gt;"○",M13,INDEX(G$4:G12,MATCH(L13&amp;M13,F$4:F12,0)))</f>
        <v>99999870001</v>
      </c>
      <c r="O13" t="str">
        <f t="shared" si="8"/>
        <v>関連</v>
      </c>
      <c r="Q13" s="4">
        <v>44915</v>
      </c>
      <c r="S13" t="str">
        <f t="shared" si="9"/>
        <v>99999870004</v>
      </c>
      <c r="T13" t="s">
        <v>50</v>
      </c>
      <c r="U13" t="s">
        <v>50</v>
      </c>
      <c r="V13" t="s">
        <v>46</v>
      </c>
      <c r="AB13" t="str">
        <f t="shared" si="10"/>
        <v>99999870001関連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99999870005</v>
      </c>
      <c r="G14" s="29">
        <f t="shared" si="2"/>
        <v>99999870005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新庄市</v>
      </c>
      <c r="K14" s="31" t="str">
        <f t="shared" si="6"/>
        <v>99999870001関連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99999870001</v>
      </c>
      <c r="N14">
        <f>IF(L14&lt;&gt;"○",M14,INDEX(G$4:G13,MATCH(L14&amp;M14,F$4:F13,0)))</f>
        <v>99999870001</v>
      </c>
      <c r="O14" t="str">
        <f t="shared" si="8"/>
        <v>関連</v>
      </c>
      <c r="Q14" s="4">
        <v>44915</v>
      </c>
      <c r="S14" t="str">
        <f t="shared" si="9"/>
        <v>99999870005</v>
      </c>
      <c r="T14" t="s">
        <v>50</v>
      </c>
      <c r="U14" t="s">
        <v>50</v>
      </c>
      <c r="V14" t="s">
        <v>46</v>
      </c>
      <c r="AB14" t="str">
        <f t="shared" si="10"/>
        <v>99999870001関連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99999870006</v>
      </c>
      <c r="G15" s="29">
        <f t="shared" si="2"/>
        <v>99999870006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新庄市</v>
      </c>
      <c r="K15" s="31" t="str">
        <f t="shared" si="6"/>
        <v>99999870001関連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99999870001</v>
      </c>
      <c r="N15">
        <f>IF(L15&lt;&gt;"○",M15,INDEX(G$4:G14,MATCH(L15&amp;M15,F$4:F14,0)))</f>
        <v>99999870001</v>
      </c>
      <c r="O15" t="str">
        <f t="shared" si="8"/>
        <v>関連</v>
      </c>
      <c r="Q15" s="4">
        <v>44915</v>
      </c>
      <c r="S15" t="str">
        <f t="shared" si="9"/>
        <v>99999870006</v>
      </c>
      <c r="T15" t="s">
        <v>50</v>
      </c>
      <c r="U15" t="s">
        <v>50</v>
      </c>
      <c r="V15" t="s">
        <v>46</v>
      </c>
      <c r="AB15" t="str">
        <f t="shared" si="10"/>
        <v>99999870001関連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28" x14ac:dyDescent="0.4">
      <c r="B17" t="s">
        <v>21</v>
      </c>
      <c r="C17">
        <f>IF(G17="","",MAX(C$4:C16)+1)</f>
        <v>7</v>
      </c>
      <c r="D17">
        <f>IF(AND(N17=""),"",MAX(D$4:D16)+1)</f>
        <v>7</v>
      </c>
      <c r="F17" s="26" t="str">
        <f t="shared" si="1"/>
        <v>99999871001</v>
      </c>
      <c r="G17" s="29">
        <f t="shared" si="2"/>
        <v>99999871001</v>
      </c>
      <c r="H17" s="20" t="str">
        <f t="shared" si="3"/>
        <v>-</v>
      </c>
      <c r="I17" s="20" t="str">
        <f t="shared" si="4"/>
        <v>ー</v>
      </c>
      <c r="J17" s="20" t="str">
        <f t="shared" si="5"/>
        <v>南陽市</v>
      </c>
      <c r="K17" s="31" t="str">
        <f t="shared" si="6"/>
        <v>99999871001介護施設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99999871001</v>
      </c>
      <c r="N17">
        <f>IF(L17&lt;&gt;"○",M17,INDEX(G$4:G16,MATCH(L17&amp;M17,F$4:F16,0)))</f>
        <v>99999871001</v>
      </c>
      <c r="O17" t="str">
        <f t="shared" si="8"/>
        <v>介護施設</v>
      </c>
      <c r="Q17" s="4">
        <v>44915</v>
      </c>
      <c r="S17" t="str">
        <f>$O$1&amp;
871&amp;
REPT("0",3-LEN(ROW($S1)))&amp;ROW($S1)</f>
        <v>99999871001</v>
      </c>
      <c r="T17" t="s">
        <v>50</v>
      </c>
      <c r="U17" t="s">
        <v>50</v>
      </c>
      <c r="V17" t="s">
        <v>446</v>
      </c>
      <c r="AB17" t="str">
        <f>$S$17&amp;"介護施設"</f>
        <v>99999871001介護施設</v>
      </c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99999871002</v>
      </c>
      <c r="G18" s="29">
        <f t="shared" si="2"/>
        <v>99999871002</v>
      </c>
      <c r="H18" s="20" t="str">
        <f t="shared" si="3"/>
        <v>-</v>
      </c>
      <c r="I18" s="20" t="str">
        <f t="shared" si="4"/>
        <v>ー</v>
      </c>
      <c r="J18" s="20" t="str">
        <f t="shared" si="5"/>
        <v>南陽市</v>
      </c>
      <c r="K18" s="31" t="str">
        <f t="shared" si="6"/>
        <v>99999871001関連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99999871001</v>
      </c>
      <c r="N18">
        <f>IF(L18&lt;&gt;"○",M18,INDEX(G$4:G17,MATCH(L18&amp;M18,F$4:F17,0)))</f>
        <v>99999871001</v>
      </c>
      <c r="O18" t="str">
        <f t="shared" si="8"/>
        <v>関連</v>
      </c>
      <c r="Q18" s="4">
        <v>44915</v>
      </c>
      <c r="S18" t="str">
        <f t="shared" ref="S18:S23" si="11">$O$1&amp;
871&amp;
REPT("0",3-LEN(ROW($S2)))&amp;ROW($S2)</f>
        <v>99999871002</v>
      </c>
      <c r="T18" t="s">
        <v>50</v>
      </c>
      <c r="U18" t="s">
        <v>50</v>
      </c>
      <c r="V18" t="s">
        <v>446</v>
      </c>
      <c r="AB18" t="str">
        <f>$S$17&amp;"関連"</f>
        <v>99999871001関連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99999871003</v>
      </c>
      <c r="G19" s="29">
        <f t="shared" si="2"/>
        <v>99999871003</v>
      </c>
      <c r="H19" s="20" t="str">
        <f t="shared" si="3"/>
        <v>-</v>
      </c>
      <c r="I19" s="20" t="str">
        <f t="shared" si="4"/>
        <v>ー</v>
      </c>
      <c r="J19" s="20" t="str">
        <f t="shared" si="5"/>
        <v>南陽市</v>
      </c>
      <c r="K19" s="31" t="str">
        <f t="shared" si="6"/>
        <v>99999871001関連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99999871001</v>
      </c>
      <c r="N19">
        <f>IF(L19&lt;&gt;"○",M19,INDEX(G$4:G18,MATCH(L19&amp;M19,F$4:F18,0)))</f>
        <v>99999871001</v>
      </c>
      <c r="O19" t="str">
        <f t="shared" si="8"/>
        <v>関連</v>
      </c>
      <c r="Q19" s="4">
        <v>44915</v>
      </c>
      <c r="S19" t="str">
        <f t="shared" si="11"/>
        <v>99999871003</v>
      </c>
      <c r="T19" t="s">
        <v>50</v>
      </c>
      <c r="U19" t="s">
        <v>50</v>
      </c>
      <c r="V19" t="s">
        <v>446</v>
      </c>
      <c r="AB19" t="str">
        <f t="shared" ref="AB19:AB23" si="12">$S$17&amp;"関連"</f>
        <v>99999871001関連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99999871004</v>
      </c>
      <c r="G20" s="29">
        <f t="shared" si="2"/>
        <v>99999871004</v>
      </c>
      <c r="H20" s="20" t="str">
        <f t="shared" si="3"/>
        <v>-</v>
      </c>
      <c r="I20" s="20" t="str">
        <f t="shared" si="4"/>
        <v>ー</v>
      </c>
      <c r="J20" s="20" t="str">
        <f t="shared" si="5"/>
        <v>南陽市</v>
      </c>
      <c r="K20" s="31" t="str">
        <f t="shared" si="6"/>
        <v>99999871001関連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99999871001</v>
      </c>
      <c r="N20">
        <f>IF(L20&lt;&gt;"○",M20,INDEX(G$4:G19,MATCH(L20&amp;M20,F$4:F19,0)))</f>
        <v>99999871001</v>
      </c>
      <c r="O20" t="str">
        <f t="shared" si="8"/>
        <v>関連</v>
      </c>
      <c r="Q20" s="4">
        <v>44915</v>
      </c>
      <c r="S20" t="str">
        <f t="shared" si="11"/>
        <v>99999871004</v>
      </c>
      <c r="T20" t="s">
        <v>50</v>
      </c>
      <c r="U20" t="s">
        <v>50</v>
      </c>
      <c r="V20" t="s">
        <v>446</v>
      </c>
      <c r="AB20" t="str">
        <f t="shared" si="12"/>
        <v>99999871001関連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99999871005</v>
      </c>
      <c r="G21" s="29">
        <f t="shared" si="2"/>
        <v>99999871005</v>
      </c>
      <c r="H21" s="20" t="str">
        <f t="shared" si="3"/>
        <v>-</v>
      </c>
      <c r="I21" s="20" t="str">
        <f t="shared" si="4"/>
        <v>ー</v>
      </c>
      <c r="J21" s="20" t="str">
        <f t="shared" si="5"/>
        <v>南陽市</v>
      </c>
      <c r="K21" s="31" t="str">
        <f t="shared" si="6"/>
        <v>99999871001関連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99999871001</v>
      </c>
      <c r="N21">
        <f>IF(L21&lt;&gt;"○",M21,INDEX(G$4:G20,MATCH(L21&amp;M21,F$4:F20,0)))</f>
        <v>99999871001</v>
      </c>
      <c r="O21" t="str">
        <f t="shared" si="8"/>
        <v>関連</v>
      </c>
      <c r="Q21" s="4">
        <v>44915</v>
      </c>
      <c r="S21" t="str">
        <f t="shared" si="11"/>
        <v>99999871005</v>
      </c>
      <c r="T21" t="s">
        <v>50</v>
      </c>
      <c r="U21" t="s">
        <v>50</v>
      </c>
      <c r="V21" t="s">
        <v>446</v>
      </c>
      <c r="AB21" t="str">
        <f t="shared" si="12"/>
        <v>99999871001関連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99999871006</v>
      </c>
      <c r="G22" s="29">
        <f t="shared" si="2"/>
        <v>99999871006</v>
      </c>
      <c r="H22" s="20" t="str">
        <f t="shared" si="3"/>
        <v>-</v>
      </c>
      <c r="I22" s="20" t="str">
        <f t="shared" si="4"/>
        <v>ー</v>
      </c>
      <c r="J22" s="20" t="str">
        <f t="shared" si="5"/>
        <v>南陽市</v>
      </c>
      <c r="K22" s="31" t="str">
        <f t="shared" si="6"/>
        <v>99999871001関連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99999871001</v>
      </c>
      <c r="N22">
        <f>IF(L22&lt;&gt;"○",M22,INDEX(G$4:G21,MATCH(L22&amp;M22,F$4:F21,0)))</f>
        <v>99999871001</v>
      </c>
      <c r="O22" t="str">
        <f t="shared" si="8"/>
        <v>関連</v>
      </c>
      <c r="Q22" s="4">
        <v>44915</v>
      </c>
      <c r="S22" t="str">
        <f t="shared" si="11"/>
        <v>99999871006</v>
      </c>
      <c r="T22" t="s">
        <v>50</v>
      </c>
      <c r="U22" t="s">
        <v>50</v>
      </c>
      <c r="V22" t="s">
        <v>446</v>
      </c>
      <c r="AB22" t="str">
        <f t="shared" si="12"/>
        <v>99999871001関連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99999871007</v>
      </c>
      <c r="G23" s="29">
        <f t="shared" si="2"/>
        <v>99999871007</v>
      </c>
      <c r="H23" s="20" t="str">
        <f t="shared" si="3"/>
        <v>-</v>
      </c>
      <c r="I23" s="20" t="str">
        <f t="shared" si="4"/>
        <v>ー</v>
      </c>
      <c r="J23" s="20" t="str">
        <f t="shared" si="5"/>
        <v>南陽市</v>
      </c>
      <c r="K23" s="31" t="str">
        <f t="shared" si="6"/>
        <v>99999871001関連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99999871001</v>
      </c>
      <c r="N23">
        <f>IF(L23&lt;&gt;"○",M23,INDEX(G$4:G22,MATCH(L23&amp;M23,F$4:F22,0)))</f>
        <v>99999871001</v>
      </c>
      <c r="O23" t="str">
        <f t="shared" si="8"/>
        <v>関連</v>
      </c>
      <c r="Q23" s="4">
        <v>44915</v>
      </c>
      <c r="S23" t="str">
        <f t="shared" si="11"/>
        <v>99999871007</v>
      </c>
      <c r="T23" t="s">
        <v>50</v>
      </c>
      <c r="U23" t="s">
        <v>50</v>
      </c>
      <c r="V23" t="s">
        <v>446</v>
      </c>
      <c r="AB23" t="str">
        <f t="shared" si="12"/>
        <v>99999871001関連</v>
      </c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2022/12/20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99999870001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新庄市</v>
      </c>
      <c r="H3" s="10" t="str">
        <f>IF(ROW(G1)&gt;MAX(Main!$C$4:$C$1048576),"",INDEX(Main!K$4:K$1048576,MATCH(ROW(G1),Main!$C$4:$C$1048576,0)))</f>
        <v>99999870001介護施設</v>
      </c>
      <c r="I3" s="1">
        <f>IF(H3&lt;&gt;"",IF(ROW(G1)&gt;MAX(Main!$C$4:$C$1048576),"",INDEX(Main!N$4:N$1048576,MATCH(ROW(G1),Main!$C$4:$C$1048576,0))),"")</f>
        <v>99999870001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クラスターNo.870</v>
      </c>
      <c r="M3" s="4" t="str">
        <f>TEXT(IF(ROW(A1)&gt;MAX(Main!$D$4:$D$1048576),"",INDEX(Main!Q$4:Q$1048576,MATCH(ROW(A1),Main!$D$4:$D$1048576,0))), "yyyy/m/d")</f>
        <v>2022/12/20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99999870001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新庄市</v>
      </c>
      <c r="S3" s="9" t="str">
        <f>IF(ROW(G1)&gt;MAX(Main!$D$4:$D$1048576),"",INDEX(Main!K$4:K$1048576,MATCH(ROW(G1),Main!$D$4:$D$1048576,0)))</f>
        <v>99999870001介護施設</v>
      </c>
      <c r="T3" s="1">
        <f>IF(S3&lt;&gt;"",IF(ROW(G1)&gt;MAX(Main!$D$4:$D$1048576),"",INDEX(Main!N$4:N$1048576,MATCH(ROW(G1),Main!$D$4:$D$1048576,0))),"")</f>
        <v>99999870001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2022/12/20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99999870002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新庄市</v>
      </c>
      <c r="H4" s="10" t="str">
        <f>IF(ROW(G2)&gt;MAX(Main!$C$4:$C$1048576),"",INDEX(Main!K$4:K$1048576,MATCH(ROW(G2),Main!$C$4:$C$1048576,0)))</f>
        <v>99999870001関連</v>
      </c>
      <c r="I4" s="1">
        <f>IF(H4&lt;&gt;"",IF(ROW(G2)&gt;MAX(Main!$C$4:$C$1048576),"",INDEX(Main!N$4:N$1048576,MATCH(ROW(G2),Main!$C$4:$C$1048576,0))),"")</f>
        <v>99999870001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クラスターNo.870</v>
      </c>
      <c r="M4" s="4" t="str">
        <f>TEXT(IF(ROW(A2)&gt;MAX(Main!$D$4:$D$1048576),"",INDEX(Main!Q$4:Q$1048576,MATCH(ROW(A2),Main!$D$4:$D$1048576,0))), "yyyy/m/d")</f>
        <v>2022/12/20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99999870002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新庄市</v>
      </c>
      <c r="S4" s="9" t="str">
        <f>IF(ROW(G2)&gt;MAX(Main!$D$4:$D$1048576),"",INDEX(Main!K$4:K$1048576,MATCH(ROW(G2),Main!$D$4:$D$1048576,0)))</f>
        <v>99999870001関連</v>
      </c>
      <c r="T4" s="1">
        <f>IF(S4&lt;&gt;"",IF(ROW(G2)&gt;MAX(Main!$D$4:$D$1048576),"",INDEX(Main!N$4:N$1048576,MATCH(ROW(G2),Main!$D$4:$D$1048576,0))),"")</f>
        <v>99999870001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2022/12/20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99999870003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新庄市</v>
      </c>
      <c r="H5" s="10" t="str">
        <f>IF(ROW(G3)&gt;MAX(Main!$C$4:$C$1048576),"",INDEX(Main!K$4:K$1048576,MATCH(ROW(G3),Main!$C$4:$C$1048576,0)))</f>
        <v>99999870001関連</v>
      </c>
      <c r="I5" s="1">
        <f>IF(H5&lt;&gt;"",IF(ROW(G3)&gt;MAX(Main!$C$4:$C$1048576),"",INDEX(Main!N$4:N$1048576,MATCH(ROW(G3),Main!$C$4:$C$1048576,0))),"")</f>
        <v>99999870001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クラスターNo.870</v>
      </c>
      <c r="M5" s="4" t="str">
        <f>TEXT(IF(ROW(A3)&gt;MAX(Main!$D$4:$D$1048576),"",INDEX(Main!Q$4:Q$1048576,MATCH(ROW(A3),Main!$D$4:$D$1048576,0))), "yyyy/m/d")</f>
        <v>2022/12/20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99999870003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新庄市</v>
      </c>
      <c r="S5" s="9" t="str">
        <f>IF(ROW(G3)&gt;MAX(Main!$D$4:$D$1048576),"",INDEX(Main!K$4:K$1048576,MATCH(ROW(G3),Main!$D$4:$D$1048576,0)))</f>
        <v>99999870001関連</v>
      </c>
      <c r="T5" s="1">
        <f>IF(S5&lt;&gt;"",IF(ROW(G3)&gt;MAX(Main!$D$4:$D$1048576),"",INDEX(Main!N$4:N$1048576,MATCH(ROW(G3),Main!$D$4:$D$1048576,0))),"")</f>
        <v>99999870001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2022/12/20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99999870004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新庄市</v>
      </c>
      <c r="H6" s="10" t="str">
        <f>IF(ROW(G4)&gt;MAX(Main!$C$4:$C$1048576),"",INDEX(Main!K$4:K$1048576,MATCH(ROW(G4),Main!$C$4:$C$1048576,0)))</f>
        <v>99999870001関連</v>
      </c>
      <c r="I6" s="1">
        <f>IF(H6&lt;&gt;"",IF(ROW(G4)&gt;MAX(Main!$C$4:$C$1048576),"",INDEX(Main!N$4:N$1048576,MATCH(ROW(G4),Main!$C$4:$C$1048576,0))),"")</f>
        <v>99999870001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クラスターNo.870</v>
      </c>
      <c r="M6" s="4" t="str">
        <f>TEXT(IF(ROW(A4)&gt;MAX(Main!$D$4:$D$1048576),"",INDEX(Main!Q$4:Q$1048576,MATCH(ROW(A4),Main!$D$4:$D$1048576,0))), "yyyy/m/d")</f>
        <v>2022/12/20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99999870004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新庄市</v>
      </c>
      <c r="S6" s="9" t="str">
        <f>IF(ROW(G4)&gt;MAX(Main!$D$4:$D$1048576),"",INDEX(Main!K$4:K$1048576,MATCH(ROW(G4),Main!$D$4:$D$1048576,0)))</f>
        <v>99999870001関連</v>
      </c>
      <c r="T6" s="1">
        <f>IF(S6&lt;&gt;"",IF(ROW(G4)&gt;MAX(Main!$D$4:$D$1048576),"",INDEX(Main!N$4:N$1048576,MATCH(ROW(G4),Main!$D$4:$D$1048576,0))),"")</f>
        <v>99999870001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2022/12/20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99999870005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新庄市</v>
      </c>
      <c r="H7" s="10" t="str">
        <f>IF(ROW(G5)&gt;MAX(Main!$C$4:$C$1048576),"",INDEX(Main!K$4:K$1048576,MATCH(ROW(G5),Main!$C$4:$C$1048576,0)))</f>
        <v>99999870001関連</v>
      </c>
      <c r="I7" s="1">
        <f>IF(H7&lt;&gt;"",IF(ROW(G5)&gt;MAX(Main!$C$4:$C$1048576),"",INDEX(Main!N$4:N$1048576,MATCH(ROW(G5),Main!$C$4:$C$1048576,0))),"")</f>
        <v>99999870001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クラスターNo.870</v>
      </c>
      <c r="M7" s="4" t="str">
        <f>TEXT(IF(ROW(A5)&gt;MAX(Main!$D$4:$D$1048576),"",INDEX(Main!Q$4:Q$1048576,MATCH(ROW(A5),Main!$D$4:$D$1048576,0))), "yyyy/m/d")</f>
        <v>2022/12/20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99999870005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新庄市</v>
      </c>
      <c r="S7" s="9" t="str">
        <f>IF(ROW(G5)&gt;MAX(Main!$D$4:$D$1048576),"",INDEX(Main!K$4:K$1048576,MATCH(ROW(G5),Main!$D$4:$D$1048576,0)))</f>
        <v>99999870001関連</v>
      </c>
      <c r="T7" s="1">
        <f>IF(S7&lt;&gt;"",IF(ROW(G5)&gt;MAX(Main!$D$4:$D$1048576),"",INDEX(Main!N$4:N$1048576,MATCH(ROW(G5),Main!$D$4:$D$1048576,0))),"")</f>
        <v>99999870001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2022/12/20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99999870006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新庄市</v>
      </c>
      <c r="H8" s="10" t="str">
        <f>IF(ROW(G6)&gt;MAX(Main!$C$4:$C$1048576),"",INDEX(Main!K$4:K$1048576,MATCH(ROW(G6),Main!$C$4:$C$1048576,0)))</f>
        <v>99999870001関連</v>
      </c>
      <c r="I8" s="1">
        <f>IF(H8&lt;&gt;"",IF(ROW(G6)&gt;MAX(Main!$C$4:$C$1048576),"",INDEX(Main!N$4:N$1048576,MATCH(ROW(G6),Main!$C$4:$C$1048576,0))),"")</f>
        <v>99999870001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クラスターNo.870</v>
      </c>
      <c r="M8" s="4" t="str">
        <f>TEXT(IF(ROW(A6)&gt;MAX(Main!$D$4:$D$1048576),"",INDEX(Main!Q$4:Q$1048576,MATCH(ROW(A6),Main!$D$4:$D$1048576,0))), "yyyy/m/d")</f>
        <v>2022/12/20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99999870006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新庄市</v>
      </c>
      <c r="S8" s="9" t="str">
        <f>IF(ROW(G6)&gt;MAX(Main!$D$4:$D$1048576),"",INDEX(Main!K$4:K$1048576,MATCH(ROW(G6),Main!$D$4:$D$1048576,0)))</f>
        <v>99999870001関連</v>
      </c>
      <c r="T8" s="1">
        <f>IF(S8&lt;&gt;"",IF(ROW(G6)&gt;MAX(Main!$D$4:$D$1048576),"",INDEX(Main!N$4:N$1048576,MATCH(ROW(G6),Main!$D$4:$D$1048576,0))),"")</f>
        <v>99999870001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2022/12/20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99999871001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南陽市</v>
      </c>
      <c r="H9" s="10" t="str">
        <f>IF(ROW(G7)&gt;MAX(Main!$C$4:$C$1048576),"",INDEX(Main!K$4:K$1048576,MATCH(ROW(G7),Main!$C$4:$C$1048576,0)))</f>
        <v>99999871001介護施設</v>
      </c>
      <c r="I9" s="1">
        <f>IF(H9&lt;&gt;"",IF(ROW(G7)&gt;MAX(Main!$C$4:$C$1048576),"",INDEX(Main!N$4:N$1048576,MATCH(ROW(G7),Main!$C$4:$C$1048576,0))),"")</f>
        <v>99999871001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介護施設</v>
      </c>
      <c r="K9" s="27" t="str">
        <f t="shared" si="1"/>
        <v>クラスターNo.871</v>
      </c>
      <c r="M9" s="4" t="str">
        <f>TEXT(IF(ROW(A7)&gt;MAX(Main!$D$4:$D$1048576),"",INDEX(Main!Q$4:Q$1048576,MATCH(ROW(A7),Main!$D$4:$D$1048576,0))), "yyyy/m/d")</f>
        <v>2022/12/20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99999871001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南陽市</v>
      </c>
      <c r="S9" s="9" t="str">
        <f>IF(ROW(G7)&gt;MAX(Main!$D$4:$D$1048576),"",INDEX(Main!K$4:K$1048576,MATCH(ROW(G7),Main!$D$4:$D$1048576,0)))</f>
        <v>99999871001介護施設</v>
      </c>
      <c r="T9" s="1">
        <f>IF(S9&lt;&gt;"",IF(ROW(G7)&gt;MAX(Main!$D$4:$D$1048576),"",INDEX(Main!N$4:N$1048576,MATCH(ROW(G7),Main!$D$4:$D$1048576,0))),"")</f>
        <v>99999871001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介護施設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2022/12/20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99999871002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南陽市</v>
      </c>
      <c r="H10" s="10" t="str">
        <f>IF(ROW(G8)&gt;MAX(Main!$C$4:$C$1048576),"",INDEX(Main!K$4:K$1048576,MATCH(ROW(G8),Main!$C$4:$C$1048576,0)))</f>
        <v>99999871001関連</v>
      </c>
      <c r="I10" s="1">
        <f>IF(H10&lt;&gt;"",IF(ROW(G8)&gt;MAX(Main!$C$4:$C$1048576),"",INDEX(Main!N$4:N$1048576,MATCH(ROW(G8),Main!$C$4:$C$1048576,0))),"")</f>
        <v>99999871001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クラスターNo.871</v>
      </c>
      <c r="M10" s="4" t="str">
        <f>TEXT(IF(ROW(A8)&gt;MAX(Main!$D$4:$D$1048576),"",INDEX(Main!Q$4:Q$1048576,MATCH(ROW(A8),Main!$D$4:$D$1048576,0))), "yyyy/m/d")</f>
        <v>2022/12/20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99999871002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南陽市</v>
      </c>
      <c r="S10" s="9" t="str">
        <f>IF(ROW(G8)&gt;MAX(Main!$D$4:$D$1048576),"",INDEX(Main!K$4:K$1048576,MATCH(ROW(G8),Main!$D$4:$D$1048576,0)))</f>
        <v>99999871001関連</v>
      </c>
      <c r="T10" s="1">
        <f>IF(S10&lt;&gt;"",IF(ROW(G8)&gt;MAX(Main!$D$4:$D$1048576),"",INDEX(Main!N$4:N$1048576,MATCH(ROW(G8),Main!$D$4:$D$1048576,0))),"")</f>
        <v>99999871001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2022/12/20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99999871003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南陽市</v>
      </c>
      <c r="H11" s="10" t="str">
        <f>IF(ROW(G9)&gt;MAX(Main!$C$4:$C$1048576),"",INDEX(Main!K$4:K$1048576,MATCH(ROW(G9),Main!$C$4:$C$1048576,0)))</f>
        <v>99999871001関連</v>
      </c>
      <c r="I11" s="1">
        <f>IF(H11&lt;&gt;"",IF(ROW(G9)&gt;MAX(Main!$C$4:$C$1048576),"",INDEX(Main!N$4:N$1048576,MATCH(ROW(G9),Main!$C$4:$C$1048576,0))),"")</f>
        <v>99999871001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クラスターNo.871</v>
      </c>
      <c r="M11" s="4" t="str">
        <f>TEXT(IF(ROW(A9)&gt;MAX(Main!$D$4:$D$1048576),"",INDEX(Main!Q$4:Q$1048576,MATCH(ROW(A9),Main!$D$4:$D$1048576,0))), "yyyy/m/d")</f>
        <v>2022/12/20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99999871003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南陽市</v>
      </c>
      <c r="S11" s="9" t="str">
        <f>IF(ROW(G9)&gt;MAX(Main!$D$4:$D$1048576),"",INDEX(Main!K$4:K$1048576,MATCH(ROW(G9),Main!$D$4:$D$1048576,0)))</f>
        <v>99999871001関連</v>
      </c>
      <c r="T11" s="1">
        <f>IF(S11&lt;&gt;"",IF(ROW(G9)&gt;MAX(Main!$D$4:$D$1048576),"",INDEX(Main!N$4:N$1048576,MATCH(ROW(G9),Main!$D$4:$D$1048576,0))),"")</f>
        <v>99999871001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2022/12/20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99999871004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南陽市</v>
      </c>
      <c r="H12" s="10" t="str">
        <f>IF(ROW(G10)&gt;MAX(Main!$C$4:$C$1048576),"",INDEX(Main!K$4:K$1048576,MATCH(ROW(G10),Main!$C$4:$C$1048576,0)))</f>
        <v>99999871001関連</v>
      </c>
      <c r="I12" s="1">
        <f>IF(H12&lt;&gt;"",IF(ROW(G10)&gt;MAX(Main!$C$4:$C$1048576),"",INDEX(Main!N$4:N$1048576,MATCH(ROW(G10),Main!$C$4:$C$1048576,0))),"")</f>
        <v>99999871001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クラスターNo.871</v>
      </c>
      <c r="M12" s="4" t="str">
        <f>TEXT(IF(ROW(A10)&gt;MAX(Main!$D$4:$D$1048576),"",INDEX(Main!Q$4:Q$1048576,MATCH(ROW(A10),Main!$D$4:$D$1048576,0))), "yyyy/m/d")</f>
        <v>2022/12/20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99999871004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南陽市</v>
      </c>
      <c r="S12" s="9" t="str">
        <f>IF(ROW(G10)&gt;MAX(Main!$D$4:$D$1048576),"",INDEX(Main!K$4:K$1048576,MATCH(ROW(G10),Main!$D$4:$D$1048576,0)))</f>
        <v>99999871001関連</v>
      </c>
      <c r="T12" s="1">
        <f>IF(S12&lt;&gt;"",IF(ROW(G10)&gt;MAX(Main!$D$4:$D$1048576),"",INDEX(Main!N$4:N$1048576,MATCH(ROW(G10),Main!$D$4:$D$1048576,0))),"")</f>
        <v>99999871001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2022/12/20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99999871005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南陽市</v>
      </c>
      <c r="H13" s="10" t="str">
        <f>IF(ROW(G11)&gt;MAX(Main!$C$4:$C$1048576),"",INDEX(Main!K$4:K$1048576,MATCH(ROW(G11),Main!$C$4:$C$1048576,0)))</f>
        <v>99999871001関連</v>
      </c>
      <c r="I13" s="1">
        <f>IF(H13&lt;&gt;"",IF(ROW(G11)&gt;MAX(Main!$C$4:$C$1048576),"",INDEX(Main!N$4:N$1048576,MATCH(ROW(G11),Main!$C$4:$C$1048576,0))),"")</f>
        <v>99999871001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クラスターNo.871</v>
      </c>
      <c r="M13" s="4" t="str">
        <f>TEXT(IF(ROW(A11)&gt;MAX(Main!$D$4:$D$1048576),"",INDEX(Main!Q$4:Q$1048576,MATCH(ROW(A11),Main!$D$4:$D$1048576,0))), "yyyy/m/d")</f>
        <v>2022/12/20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99999871005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南陽市</v>
      </c>
      <c r="S13" s="9" t="str">
        <f>IF(ROW(G11)&gt;MAX(Main!$D$4:$D$1048576),"",INDEX(Main!K$4:K$1048576,MATCH(ROW(G11),Main!$D$4:$D$1048576,0)))</f>
        <v>99999871001関連</v>
      </c>
      <c r="T13" s="1">
        <f>IF(S13&lt;&gt;"",IF(ROW(G11)&gt;MAX(Main!$D$4:$D$1048576),"",INDEX(Main!N$4:N$1048576,MATCH(ROW(G11),Main!$D$4:$D$1048576,0))),"")</f>
        <v>99999871001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2022/12/20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99999871006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南陽市</v>
      </c>
      <c r="H14" s="10" t="str">
        <f>IF(ROW(G12)&gt;MAX(Main!$C$4:$C$1048576),"",INDEX(Main!K$4:K$1048576,MATCH(ROW(G12),Main!$C$4:$C$1048576,0)))</f>
        <v>99999871001関連</v>
      </c>
      <c r="I14" s="1">
        <f>IF(H14&lt;&gt;"",IF(ROW(G12)&gt;MAX(Main!$C$4:$C$1048576),"",INDEX(Main!N$4:N$1048576,MATCH(ROW(G12),Main!$C$4:$C$1048576,0))),"")</f>
        <v>99999871001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クラスターNo.871</v>
      </c>
      <c r="M14" s="4" t="str">
        <f>TEXT(IF(ROW(A12)&gt;MAX(Main!$D$4:$D$1048576),"",INDEX(Main!Q$4:Q$1048576,MATCH(ROW(A12),Main!$D$4:$D$1048576,0))), "yyyy/m/d")</f>
        <v>2022/12/20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99999871006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南陽市</v>
      </c>
      <c r="S14" s="9" t="str">
        <f>IF(ROW(G12)&gt;MAX(Main!$D$4:$D$1048576),"",INDEX(Main!K$4:K$1048576,MATCH(ROW(G12),Main!$D$4:$D$1048576,0)))</f>
        <v>99999871001関連</v>
      </c>
      <c r="T14" s="1">
        <f>IF(S14&lt;&gt;"",IF(ROW(G12)&gt;MAX(Main!$D$4:$D$1048576),"",INDEX(Main!N$4:N$1048576,MATCH(ROW(G12),Main!$D$4:$D$1048576,0))),"")</f>
        <v>99999871001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2022/12/20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99999871007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南陽市</v>
      </c>
      <c r="H15" s="10" t="str">
        <f>IF(ROW(G13)&gt;MAX(Main!$C$4:$C$1048576),"",INDEX(Main!K$4:K$1048576,MATCH(ROW(G13),Main!$C$4:$C$1048576,0)))</f>
        <v>99999871001関連</v>
      </c>
      <c r="I15" s="1">
        <f>IF(H15&lt;&gt;"",IF(ROW(G13)&gt;MAX(Main!$C$4:$C$1048576),"",INDEX(Main!N$4:N$1048576,MATCH(ROW(G13),Main!$C$4:$C$1048576,0))),"")</f>
        <v>99999871001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クラスターNo.871</v>
      </c>
      <c r="M15" s="4" t="str">
        <f>TEXT(IF(ROW(A13)&gt;MAX(Main!$D$4:$D$1048576),"",INDEX(Main!Q$4:Q$1048576,MATCH(ROW(A13),Main!$D$4:$D$1048576,0))), "yyyy/m/d")</f>
        <v>2022/12/20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99999871007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南陽市</v>
      </c>
      <c r="S15" s="9" t="str">
        <f>IF(ROW(G13)&gt;MAX(Main!$D$4:$D$1048576),"",INDEX(Main!K$4:K$1048576,MATCH(ROW(G13),Main!$D$4:$D$1048576,0)))</f>
        <v>99999871001関連</v>
      </c>
      <c r="T15" s="1">
        <f>IF(S15&lt;&gt;"",IF(ROW(G13)&gt;MAX(Main!$D$4:$D$1048576),"",INDEX(Main!N$4:N$1048576,MATCH(ROW(G13),Main!$D$4:$D$1048576,0))),"")</f>
        <v>99999871001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13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99999870001,
            "date": "2022/12/20",
            "label": "クラスターNo.870\n2022/12/20\n新庄市\n-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99999870002,
            "date": "2022/12/20",
            "label": "クラスターNo.870\n2022/12/20\n新庄市\n-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99999870003,
            "date": "2022/12/20",
            "label": "クラスターNo.870\n2022/12/20\n新庄市\n-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99999870004,
            "date": "2022/12/20",
            "label": "クラスターNo.870\n2022/12/20\n新庄市\n-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99999870005,
            "date": "2022/12/20",
            "label": "クラスターNo.870\n2022/12/20\n新庄市\n- ー"
        },
        "classes": ["multiline-manual", "else"]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99999870006,
            "date": "2022/12/20",
            "label": "クラスターNo.870\n2022/12/20\n新庄市\n-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99999871001,
            "date": "2022/12/20",
            "label": "クラスターNo.871\n2022/12/20\n南陽市\n-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99999871002,
            "date": "2022/12/20",
            "label": "クラスターNo.871\n2022/12/20\n南陽市\n-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99999871003,
            "date": "2022/12/20",
            "label": "クラスターNo.871\n2022/12/20\n南陽市\n-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99999871004,
            "date": "2022/12/20",
            "label": "クラスターNo.871\n2022/12/20\n南陽市\n-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99999871005,
            "date": "2022/12/20",
            "label": "クラスターNo.871\n2022/12/20\n南陽市\n-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99999871006,
            "date": "2022/12/20",
            "label": "クラスターNo.871\n2022/12/20\n南陽市\n-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99999871007,
            "date": "2022/12/20",
            "label": "クラスターNo.871\n2022/12/20\n南陽市\n- ー"
        },
        "classes": ["multiline-manual", "else"]
    }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13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"99999870001",
            "target": "99999870001",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"99999870002",
            "target": "99999870001",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"99999870003",
            "target": "99999870001",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"99999870004",
            "target": "99999870001",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"99999870005",
            "target": "99999870001",
            "label": "関連"
        }
    },
</v>
      </c>
    </row>
    <row r="17" spans="2:3" ht="131.25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"99999870006",
            "target": "99999870001",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"99999871001",
            "target": "99999871001",
            "label": "介護施設"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"99999871002",
            "target": "99999871001",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"99999871003",
            "target": "99999871001",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"99999871004",
            "target": "99999871001",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"99999871005",
            "target": "99999871001",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"99999871006",
            "target": "99999871001",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"99999871007",
            "target": "99999871001",
            "label": "関連"
        }
    }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1" sqref="F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"lastUpdate":"2022/12/20 22:30"}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2022-12-20T13:31:34Z</dcterms:modified>
</cp:coreProperties>
</file>