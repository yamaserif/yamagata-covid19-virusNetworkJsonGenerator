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D3FB82B6-1E5B-4891-90FE-0ADFB5446D42}" xr6:coauthVersionLast="47" xr6:coauthVersionMax="47" xr10:uidLastSave="{00000000-0000-0000-0000-000000000000}"/>
  <bookViews>
    <workbookView xWindow="1950" yWindow="19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2" i="1" l="1"/>
  <c r="S31" i="1"/>
  <c r="S30" i="1"/>
  <c r="S29" i="1"/>
  <c r="S28" i="1"/>
  <c r="S27" i="1"/>
  <c r="AB31" i="1"/>
  <c r="AB30" i="1"/>
  <c r="AB29" i="1"/>
  <c r="AB28" i="1"/>
  <c r="S26" i="1"/>
  <c r="AB26" i="1" s="1"/>
  <c r="S24" i="1"/>
  <c r="S23" i="1"/>
  <c r="S22" i="1"/>
  <c r="S21" i="1"/>
  <c r="S20" i="1"/>
  <c r="S19" i="1"/>
  <c r="S18" i="1"/>
  <c r="G18" i="1" s="1"/>
  <c r="F18" i="1" s="1"/>
  <c r="AB24" i="1"/>
  <c r="AB23" i="1"/>
  <c r="AB22" i="1"/>
  <c r="AB21" i="1"/>
  <c r="AB20" i="1"/>
  <c r="AB19" i="1"/>
  <c r="AB18" i="1"/>
  <c r="AB17" i="1"/>
  <c r="S17" i="1"/>
  <c r="S15" i="1"/>
  <c r="S14" i="1"/>
  <c r="S13" i="1"/>
  <c r="G13" i="1" s="1"/>
  <c r="S12" i="1"/>
  <c r="S11" i="1"/>
  <c r="AB15" i="1"/>
  <c r="AB14" i="1"/>
  <c r="AB13" i="1"/>
  <c r="AB12" i="1"/>
  <c r="AB11" i="1"/>
  <c r="AB10" i="1"/>
  <c r="S10" i="1"/>
  <c r="G25" i="1"/>
  <c r="I25" i="1" s="1"/>
  <c r="G23" i="1"/>
  <c r="G11" i="1"/>
  <c r="I11" i="1" s="1"/>
  <c r="G44" i="1"/>
  <c r="J44" i="1" s="1"/>
  <c r="G41" i="1"/>
  <c r="G40" i="1"/>
  <c r="G39" i="1"/>
  <c r="F39" i="1" s="1"/>
  <c r="G38" i="1"/>
  <c r="F38" i="1" s="1"/>
  <c r="G37" i="1"/>
  <c r="G36" i="1"/>
  <c r="H36" i="1" s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2" i="1"/>
  <c r="I22" i="1" s="1"/>
  <c r="G21" i="1"/>
  <c r="G19" i="1"/>
  <c r="F19" i="1" s="1"/>
  <c r="G16" i="1"/>
  <c r="I16" i="1" s="1"/>
  <c r="G9" i="1"/>
  <c r="C9" i="1" s="1"/>
  <c r="G200" i="1"/>
  <c r="I200" i="1" s="1"/>
  <c r="AB27" i="1" l="1"/>
  <c r="AB32" i="1"/>
  <c r="K25" i="1"/>
  <c r="M25" i="1" s="1" a="1"/>
  <c r="M25" i="1" s="1"/>
  <c r="O25" i="1" s="1"/>
  <c r="K19" i="1"/>
  <c r="M19" i="1" s="1" a="1"/>
  <c r="M19" i="1" s="1"/>
  <c r="O19" i="1" s="1"/>
  <c r="K21" i="1"/>
  <c r="M21" i="1" s="1" a="1"/>
  <c r="M21" i="1" s="1"/>
  <c r="O21" i="1" s="1"/>
  <c r="K22" i="1"/>
  <c r="L22" i="1" s="1"/>
  <c r="K23" i="1"/>
  <c r="K24" i="1"/>
  <c r="M24" i="1" s="1" a="1"/>
  <c r="M24" i="1" s="1"/>
  <c r="O24" i="1" s="1"/>
  <c r="K13" i="1"/>
  <c r="K28" i="1"/>
  <c r="K35" i="1"/>
  <c r="L35" i="1" s="1"/>
  <c r="K38" i="1"/>
  <c r="M38" i="1" s="1" a="1"/>
  <c r="M38" i="1" s="1"/>
  <c r="O38" i="1" s="1"/>
  <c r="K26" i="1"/>
  <c r="M26" i="1" s="1" a="1"/>
  <c r="M26" i="1" s="1"/>
  <c r="O26" i="1" s="1"/>
  <c r="K39" i="1"/>
  <c r="M39" i="1" s="1" a="1"/>
  <c r="M39" i="1" s="1"/>
  <c r="O39" i="1" s="1"/>
  <c r="G17" i="1"/>
  <c r="H17" i="1" s="1"/>
  <c r="K42" i="1"/>
  <c r="K11" i="1"/>
  <c r="L11" i="1" s="1"/>
  <c r="K16" i="1"/>
  <c r="L16" i="1" s="1"/>
  <c r="K15" i="1"/>
  <c r="M15" i="1" s="1" a="1"/>
  <c r="M15" i="1" s="1"/>
  <c r="O15" i="1" s="1"/>
  <c r="G20" i="1"/>
  <c r="H20" i="1" s="1"/>
  <c r="K27" i="1"/>
  <c r="K29" i="1"/>
  <c r="F59" i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17" i="1" l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18" i="4" a="1"/>
  <c r="C23" i="5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30" i="5" a="1"/>
  <c r="C25" i="4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6" i="5" a="1"/>
  <c r="C31" i="4" a="1"/>
  <c r="C36" i="5" l="1"/>
  <c r="C31" i="4"/>
  <c r="C37" i="5" a="1"/>
  <c r="C32" i="4" a="1"/>
  <c r="C32" i="4" l="1"/>
  <c r="C37" i="5"/>
  <c r="C38" i="5" a="1"/>
  <c r="C33" i="4" a="1"/>
  <c r="C38" i="5" l="1"/>
  <c r="C33" i="4"/>
  <c r="C34" i="4" a="1"/>
  <c r="C39" i="5" a="1"/>
  <c r="C34" i="4" l="1"/>
  <c r="C39" i="5"/>
  <c r="C35" i="4" a="1"/>
  <c r="C40" i="5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2" i="4" a="1"/>
  <c r="C47" i="5" a="1"/>
  <c r="C42" i="4" l="1"/>
  <c r="C47" i="5"/>
  <c r="C48" i="5" a="1"/>
  <c r="C43" i="4" a="1"/>
  <c r="C48" i="5" l="1"/>
  <c r="C43" i="4"/>
  <c r="C49" i="5" a="1"/>
  <c r="C44" i="4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5" i="5" a="1"/>
  <c r="C50" i="4" a="1"/>
  <c r="C50" i="4" l="1"/>
  <c r="C55" i="5"/>
  <c r="C51" i="4" a="1"/>
  <c r="C56" i="5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3" i="4" a="1"/>
  <c r="C68" i="5" a="1"/>
  <c r="C63" i="4" l="1"/>
  <c r="C68" i="5"/>
  <c r="C69" i="5" a="1"/>
  <c r="C64" i="4" a="1"/>
  <c r="C69" i="5" l="1"/>
  <c r="C64" i="4"/>
  <c r="C65" i="4" a="1"/>
  <c r="C70" i="5" a="1"/>
  <c r="C65" i="4" l="1"/>
  <c r="C70" i="5"/>
  <c r="C71" i="5" a="1"/>
  <c r="C66" i="4" a="1"/>
  <c r="C71" i="5" l="1"/>
  <c r="C66" i="4"/>
  <c r="C67" i="4" a="1"/>
  <c r="C72" i="5" a="1"/>
  <c r="C67" i="4" l="1"/>
  <c r="C72" i="5"/>
  <c r="C68" i="4" a="1"/>
  <c r="C73" i="5" a="1"/>
  <c r="C73" i="5" l="1"/>
  <c r="C68" i="4"/>
  <c r="C74" i="5" a="1"/>
  <c r="C69" i="4" a="1"/>
  <c r="C69" i="4" l="1"/>
  <c r="C74" i="5"/>
  <c r="C75" i="5" a="1"/>
  <c r="C70" i="4" a="1"/>
  <c r="C70" i="4" l="1"/>
  <c r="C75" i="5"/>
  <c r="C76" i="5" a="1"/>
  <c r="C71" i="4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90" i="5" a="1"/>
  <c r="C85" i="4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100" i="5" a="1"/>
  <c r="C95" i="4" a="1"/>
  <c r="C95" i="4" l="1"/>
  <c r="C100" i="5"/>
  <c r="C101" i="5" a="1"/>
  <c r="C96" i="4" a="1"/>
  <c r="C101" i="5" l="1"/>
  <c r="C96" i="4"/>
  <c r="C102" i="5" a="1"/>
  <c r="C97" i="4" a="1"/>
  <c r="C97" i="4" l="1"/>
  <c r="C102" i="5"/>
  <c r="C103" i="5" a="1"/>
  <c r="C98" i="4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0" i="4" a="1"/>
  <c r="C145" i="5" a="1"/>
  <c r="C140" i="4" l="1"/>
  <c r="C145" i="5"/>
  <c r="C146" i="5" a="1"/>
  <c r="C141" i="4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<sst xmlns="http://schemas.openxmlformats.org/spreadsheetml/2006/main" count="1309" uniqueCount="448">
  <si>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</si>
  <si>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</si>
  <si>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</si>
  <si>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</si>
  <si>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</si>
  <si>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</si>
  <si>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</si>
  <si>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</si>
  <si>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</si>
  <si>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</si>
  <si>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</si>
  <si>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</si>
  <si>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</si>
  <si>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</si>
  <si>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</si>
  <si>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</si>
  <si>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</si>
  <si>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</si>
  <si>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</si>
  <si>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</si>
  <si>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</si>
  <si>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</si>
  <si>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</si>
  <si>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</si>
  <si>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</si>
  <si>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</si>
  <si>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</si>
  <si>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</si>
  <si>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</si>
  <si>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</si>
  <si>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</si>
  <si>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</si>
  <si>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</si>
  <si>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</si>
  <si>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</si>
  <si>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</si>
  <si>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</si>
  <si>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</si>
  <si>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</si>
  <si>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</si>
  <si>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</si>
  <si>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</si>
  <si>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</si>
  <si>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</si>
  <si>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</si>
  <si>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</si>
  <si>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</si>
  <si>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</si>
  <si>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</si>
  <si>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</si>
  <si>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</si>
  <si>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</si>
  <si>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</si>
  <si>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</si>
  <si>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</si>
  <si>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</si>
  <si>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</si>
  <si>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</si>
  <si>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</si>
  <si>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</si>
  <si>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</si>
  <si>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</si>
  <si>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</si>
  <si>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</si>
  <si>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</si>
  <si>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</si>
  <si>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</si>
  <si>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</si>
  <si>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</si>
  <si>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</si>
  <si>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</si>
  <si>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</si>
  <si>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</si>
  <si>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</si>
  <si>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</si>
  <si>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</si>
  <si>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</si>
  <si>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</si>
  <si>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</si>
  <si>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</si>
  <si>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</si>
  <si>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</si>
  <si>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</si>
  <si>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</si>
  <si>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</si>
  <si>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</si>
  <si>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</si>
  <si>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</si>
  <si>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</si>
  <si>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</si>
  <si>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</si>
  <si>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</si>
  <si>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</si>
  <si>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</si>
  <si>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</si>
  <si>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</si>
  <si>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</si>
  <si>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</si>
  <si>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</si>
  <si>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</si>
  <si>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</si>
  <si>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</si>
  <si>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</si>
  <si>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</si>
  <si>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</si>
  <si>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</si>
  <si>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</si>
  <si>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</si>
  <si>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</si>
  <si>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</si>
  <si>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</si>
  <si>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</si>
  <si>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</si>
  <si>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</si>
  <si>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</si>
  <si>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</si>
  <si>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</si>
  <si>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</si>
  <si>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</si>
  <si>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</si>
  <si>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</si>
  <si>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</si>
  <si>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</si>
  <si>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</si>
  <si>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</si>
  <si>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</si>
  <si>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</si>
  <si>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</si>
  <si>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</si>
  <si>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</si>
  <si>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</si>
  <si>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</si>
  <si>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</si>
  <si>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</si>
  <si>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</si>
  <si>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</si>
  <si>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</si>
  <si>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</si>
  <si>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</si>
  <si>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</si>
  <si>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</si>
  <si>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</si>
  <si>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</si>
  <si>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</si>
  <si>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</si>
  <si>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</si>
  <si>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</si>
  <si>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</si>
  <si>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</si>
  <si>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</si>
  <si>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</si>
  <si>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</si>
  <si>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</si>
  <si>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</si>
  <si>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</si>
  <si>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</si>
  <si>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</si>
  <si>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</si>
  <si>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</si>
  <si>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</si>
  <si>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</si>
  <si>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</si>
  <si>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</si>
  <si>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</si>
  <si>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</si>
  <si>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</si>
  <si>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</si>
  <si>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</si>
  <si>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</si>
  <si>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</si>
  <si>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</si>
  <si>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</si>
  <si>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</si>
  <si>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</si>
  <si>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</si>
  <si>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</si>
  <si>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</si>
  <si>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</si>
  <si>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</si>
  <si>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</si>
  <si>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</si>
  <si>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</si>
  <si>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</si>
  <si>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</si>
  <si>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</si>
  <si>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</si>
  <si>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</si>
  <si>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</si>
  <si>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</si>
  <si>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</si>
  <si>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</si>
  <si>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</si>
  <si>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</si>
  <si>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</si>
  <si>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</si>
  <si>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</si>
  <si>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</si>
  <si>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</si>
  <si>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</si>
  <si>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</si>
  <si>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</si>
  <si>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</si>
  <si>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</si>
  <si>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</si>
  <si>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</si>
  <si>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</si>
  <si>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</si>
  <si>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</si>
  <si>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</si>
  <si>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</si>
  <si>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</si>
  <si>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</si>
  <si>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</si>
  <si>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</si>
  <si>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</si>
  <si>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</si>
  <si>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</si>
  <si>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</si>
  <si>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</si>
  <si>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</si>
  <si>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</si>
  <si>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</si>
  <si>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</si>
  <si>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</si>
  <si>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</si>
  <si>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</si>
  <si>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</si>
  <si>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</si>
  <si>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</si>
  <si>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</si>
  <si>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</si>
  <si>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</si>
  <si>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</si>
  <si>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</si>
  <si>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</si>
  <si>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</si>
  <si>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</si>
  <si>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</si>
  <si>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</si>
  <si>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</si>
  <si>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</si>
  <si>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</si>
  <si>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</si>
  <si>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</si>
  <si>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</si>
  <si>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</si>
  <si>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</si>
  <si>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</si>
  <si>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</si>
  <si>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</si>
  <si>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</si>
  <si>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</si>
  <si>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</si>
  <si>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</si>
  <si>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</si>
  <si>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</si>
  <si>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</si>
  <si>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</si>
  <si>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</si>
  <si>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</si>
  <si>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</si>
  <si>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</si>
  <si>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</si>
  <si>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</si>
  <si>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</si>
  <si>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</si>
  <si>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</si>
  <si>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</si>
  <si>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</si>
  <si>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</si>
  <si>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</si>
  <si>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</si>
  <si>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</si>
  <si>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</si>
  <si>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</si>
  <si>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</si>
  <si>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</si>
  <si>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</si>
  <si>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</si>
  <si>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</si>
  <si>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</si>
  <si>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</si>
  <si>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</si>
  <si>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</si>
  <si>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</si>
  <si>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</si>
  <si>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</si>
  <si>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</si>
  <si>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</si>
  <si>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</si>
  <si>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</si>
  <si>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</si>
  <si>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</si>
  <si>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</si>
  <si>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</si>
  <si>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</si>
  <si>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</si>
  <si>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</si>
  <si>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</si>
  <si>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</si>
  <si>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</si>
  <si>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</si>
  <si>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</si>
  <si>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</si>
  <si>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</si>
  <si>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</si>
  <si>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</si>
  <si>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</si>
  <si>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</si>
  <si>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</si>
  <si>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</si>
  <si>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</si>
  <si>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</si>
  <si>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</si>
  <si>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</si>
  <si>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</si>
  <si>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</si>
  <si>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</si>
  <si>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</si>
  <si>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</si>
  <si>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</si>
  <si>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</si>
  <si>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</si>
  <si>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</si>
  <si>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</si>
  <si>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</si>
  <si>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</si>
  <si>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</si>
  <si>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</si>
  <si>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</si>
  <si>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</si>
  <si>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</si>
  <si>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</si>
  <si>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</si>
  <si>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</si>
  <si>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</si>
  <si>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</si>
  <si>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</si>
  <si>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</si>
  <si>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</si>
  <si>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</si>
  <si>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</si>
  <si>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</si>
  <si>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</si>
  <si>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</si>
  <si>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</si>
  <si>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</si>
  <si>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</si>
  <si>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</si>
  <si>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</si>
  <si>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</si>
  <si>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</si>
  <si>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</si>
  <si>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</si>
  <si>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</si>
  <si>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</si>
  <si>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</si>
  <si>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</si>
  <si>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</si>
  <si>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</si>
  <si>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</si>
  <si>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</si>
  <si>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</si>
  <si>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</si>
  <si>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</si>
  <si>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</si>
  <si>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</si>
  <si>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</si>
  <si>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</si>
  <si>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</si>
  <si>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</si>
  <si>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</si>
  <si>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</si>
  <si>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</si>
  <si>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</si>
  <si>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</si>
  <si>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</si>
  <si>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</si>
  <si>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</si>
  <si>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</si>
  <si>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</si>
  <si>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</si>
  <si>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</si>
  <si>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</si>
  <si>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</si>
  <si>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</si>
  <si>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</si>
  <si>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</si>
  <si>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</si>
  <si>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</si>
  <si>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</si>
  <si>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</si>
  <si>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</si>
  <si>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</si>
  <si>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</si>
  <si>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</si>
  <si>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</si>
  <si>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</si>
  <si>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</si>
  <si>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</si>
  <si>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</si>
  <si>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</si>
  <si>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</si>
  <si>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</si>
  <si>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</si>
  <si>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</si>
  <si>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</si>
  <si>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</si>
  <si>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</si>
  <si>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</si>
  <si>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</si>
  <si>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</si>
  <si>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</si>
  <si>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</si>
  <si>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</si>
  <si>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</si>
  <si>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</si>
  <si>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</si>
  <si>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</si>
  <si>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</si>
  <si>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</si>
  <si>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</si>
  <si>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</si>
  <si>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</si>
  <si>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</si>
  <si>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</si>
  <si>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</si>
  <si>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</si>
  <si>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</si>
  <si>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</si>
  <si>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</si>
  <si>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</si>
  <si>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</si>
  <si>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</si>
  <si>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</si>
  <si>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</si>
  <si>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</si>
  <si>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</si>
  <si>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</si>
  <si>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</si>
  <si>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</si>
  <si>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</si>
  <si>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</si>
  <si>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</si>
  <si>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</si>
  <si>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</si>
  <si>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寒河江市</t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</si>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</sst>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13" activePane="bottomLeft" state="frozen"/>
      <selection activeCell="E20" sqref="E20"/>
      <selection pane="bottomLeft" activeCell="S35" sqref="S35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99999939001</v>
      </c>
      <c r="G10" s="29">
        <f t="shared" si="2"/>
        <v>99999939001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寒河江市</v>
      </c>
      <c r="K10" s="31" t="str">
        <f t="shared" si="6"/>
        <v>99999939001医療機関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99999939001</v>
      </c>
      <c r="N10">
        <f>IF(L10&lt;&gt;"○",M10,INDEX(G$4:G9,MATCH(L10&amp;M10,F$4:F9,0)))</f>
        <v>99999939001</v>
      </c>
      <c r="O10" t="str">
        <f t="shared" si="8"/>
        <v>医療機関</v>
      </c>
      <c r="Q10" s="4">
        <v>44952</v>
      </c>
      <c r="S10" t="str">
        <f>$O$1&amp;
939&amp;
REPT("0",3-LEN(ROW($S1)))&amp;ROW($S1)</f>
        <v>99999939001</v>
      </c>
      <c r="T10" t="s">
        <v>50</v>
      </c>
      <c r="U10" t="s">
        <v>50</v>
      </c>
      <c r="V10" t="s">
        <v>446</v>
      </c>
      <c r="AB10" t="str">
        <f>$S$10&amp;"医療機関"</f>
        <v>99999939001医療機関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99999939002</v>
      </c>
      <c r="G11" s="29">
        <f t="shared" si="2"/>
        <v>99999939002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寒河江市</v>
      </c>
      <c r="K11" s="31" t="str">
        <f t="shared" si="6"/>
        <v>99999939001関連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99999939001</v>
      </c>
      <c r="N11">
        <f>IF(L11&lt;&gt;"○",M11,INDEX(G$4:G10,MATCH(L11&amp;M11,F$4:F10,0)))</f>
        <v>99999939001</v>
      </c>
      <c r="O11" t="str">
        <f t="shared" si="8"/>
        <v>関連</v>
      </c>
      <c r="Q11" s="4">
        <v>44952</v>
      </c>
      <c r="S11" t="str">
        <f t="shared" ref="S11:S15" si="9">$O$1&amp;
939&amp;
REPT("0",3-LEN(ROW($S2)))&amp;ROW($S2)</f>
        <v>99999939002</v>
      </c>
      <c r="T11" t="s">
        <v>50</v>
      </c>
      <c r="U11" t="s">
        <v>50</v>
      </c>
      <c r="V11" t="s">
        <v>446</v>
      </c>
      <c r="AB11" t="str">
        <f>$S$10&amp;"関連"</f>
        <v>99999939001関連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99999939003</v>
      </c>
      <c r="G12" s="29">
        <f t="shared" si="2"/>
        <v>99999939003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寒河江市</v>
      </c>
      <c r="K12" s="31" t="str">
        <f t="shared" si="6"/>
        <v>99999939001関連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99999939001</v>
      </c>
      <c r="N12">
        <f>IF(L12&lt;&gt;"○",M12,INDEX(G$4:G11,MATCH(L12&amp;M12,F$4:F11,0)))</f>
        <v>99999939001</v>
      </c>
      <c r="O12" t="str">
        <f t="shared" si="8"/>
        <v>関連</v>
      </c>
      <c r="Q12" s="4">
        <v>44952</v>
      </c>
      <c r="S12" t="str">
        <f t="shared" si="9"/>
        <v>99999939003</v>
      </c>
      <c r="T12" t="s">
        <v>50</v>
      </c>
      <c r="U12" t="s">
        <v>50</v>
      </c>
      <c r="V12" t="s">
        <v>446</v>
      </c>
      <c r="AB12" t="str">
        <f t="shared" ref="AB12:AB15" si="10">$S$10&amp;"関連"</f>
        <v>99999939001関連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99999939004</v>
      </c>
      <c r="G13" s="29">
        <f t="shared" si="2"/>
        <v>99999939004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寒河江市</v>
      </c>
      <c r="K13" s="31" t="str">
        <f t="shared" si="6"/>
        <v>99999939001関連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99999939001</v>
      </c>
      <c r="N13">
        <f>IF(L13&lt;&gt;"○",M13,INDEX(G$4:G12,MATCH(L13&amp;M13,F$4:F12,0)))</f>
        <v>99999939001</v>
      </c>
      <c r="O13" t="str">
        <f t="shared" si="8"/>
        <v>関連</v>
      </c>
      <c r="Q13" s="4">
        <v>44952</v>
      </c>
      <c r="S13" t="str">
        <f t="shared" si="9"/>
        <v>99999939004</v>
      </c>
      <c r="T13" t="s">
        <v>50</v>
      </c>
      <c r="U13" t="s">
        <v>50</v>
      </c>
      <c r="V13" t="s">
        <v>446</v>
      </c>
      <c r="AB13" t="str">
        <f t="shared" si="10"/>
        <v>99999939001関連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99999939005</v>
      </c>
      <c r="G14" s="29">
        <f t="shared" si="2"/>
        <v>99999939005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寒河江市</v>
      </c>
      <c r="K14" s="31" t="str">
        <f t="shared" si="6"/>
        <v>99999939001関連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99999939001</v>
      </c>
      <c r="N14">
        <f>IF(L14&lt;&gt;"○",M14,INDEX(G$4:G13,MATCH(L14&amp;M14,F$4:F13,0)))</f>
        <v>99999939001</v>
      </c>
      <c r="O14" t="str">
        <f t="shared" si="8"/>
        <v>関連</v>
      </c>
      <c r="Q14" s="4">
        <v>44952</v>
      </c>
      <c r="S14" t="str">
        <f t="shared" si="9"/>
        <v>99999939005</v>
      </c>
      <c r="T14" t="s">
        <v>50</v>
      </c>
      <c r="U14" t="s">
        <v>50</v>
      </c>
      <c r="V14" t="s">
        <v>446</v>
      </c>
      <c r="AB14" t="str">
        <f t="shared" si="10"/>
        <v>99999939001関連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99999939006</v>
      </c>
      <c r="G15" s="29">
        <f t="shared" si="2"/>
        <v>99999939006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寒河江市</v>
      </c>
      <c r="K15" s="31" t="str">
        <f t="shared" si="6"/>
        <v>99999939001関連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99999939001</v>
      </c>
      <c r="N15">
        <f>IF(L15&lt;&gt;"○",M15,INDEX(G$4:G14,MATCH(L15&amp;M15,F$4:F14,0)))</f>
        <v>99999939001</v>
      </c>
      <c r="O15" t="str">
        <f t="shared" si="8"/>
        <v>関連</v>
      </c>
      <c r="Q15" s="4">
        <v>44952</v>
      </c>
      <c r="S15" t="str">
        <f t="shared" si="9"/>
        <v>99999939006</v>
      </c>
      <c r="T15" t="s">
        <v>50</v>
      </c>
      <c r="U15" t="s">
        <v>50</v>
      </c>
      <c r="V15" t="s">
        <v>446</v>
      </c>
      <c r="AB15" t="str">
        <f t="shared" si="10"/>
        <v>99999939001関連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28" x14ac:dyDescent="0.4">
      <c r="B17" t="s">
        <v>21</v>
      </c>
      <c r="C17">
        <f>IF(G17="","",MAX(C$4:C16)+1)</f>
        <v>7</v>
      </c>
      <c r="D17">
        <f>IF(AND(N17=""),"",MAX(D$4:D16)+1)</f>
        <v>7</v>
      </c>
      <c r="F17" s="26" t="str">
        <f t="shared" si="1"/>
        <v>99999940001</v>
      </c>
      <c r="G17" s="29">
        <f t="shared" si="2"/>
        <v>99999940001</v>
      </c>
      <c r="H17" s="20" t="str">
        <f t="shared" si="3"/>
        <v>-</v>
      </c>
      <c r="I17" s="20" t="str">
        <f t="shared" si="4"/>
        <v>ー</v>
      </c>
      <c r="J17" s="20" t="str">
        <f t="shared" si="5"/>
        <v>米沢市</v>
      </c>
      <c r="K17" s="31" t="str">
        <f t="shared" si="6"/>
        <v>99999940001介護施設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99999940001</v>
      </c>
      <c r="N17">
        <f>IF(L17&lt;&gt;"○",M17,INDEX(G$4:G16,MATCH(L17&amp;M17,F$4:F16,0)))</f>
        <v>99999940001</v>
      </c>
      <c r="O17" t="str">
        <f t="shared" si="8"/>
        <v>介護施設</v>
      </c>
      <c r="Q17" s="4">
        <v>44952</v>
      </c>
      <c r="S17" t="str">
        <f>$O$1&amp;
940&amp;
REPT("0",3-LEN(ROW($S1)))&amp;ROW($S1)</f>
        <v>99999940001</v>
      </c>
      <c r="T17" t="s">
        <v>50</v>
      </c>
      <c r="U17" t="s">
        <v>50</v>
      </c>
      <c r="V17" t="s">
        <v>447</v>
      </c>
      <c r="AB17" t="str">
        <f>$S$17&amp;"介護施設"</f>
        <v>99999940001介護施設</v>
      </c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99999940002</v>
      </c>
      <c r="G18" s="29">
        <f t="shared" si="2"/>
        <v>99999940002</v>
      </c>
      <c r="H18" s="20" t="str">
        <f t="shared" si="3"/>
        <v>-</v>
      </c>
      <c r="I18" s="20" t="str">
        <f t="shared" si="4"/>
        <v>ー</v>
      </c>
      <c r="J18" s="20" t="str">
        <f t="shared" si="5"/>
        <v>米沢市</v>
      </c>
      <c r="K18" s="31" t="str">
        <f t="shared" si="6"/>
        <v>99999940001関連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99999940001</v>
      </c>
      <c r="N18">
        <f>IF(L18&lt;&gt;"○",M18,INDEX(G$4:G17,MATCH(L18&amp;M18,F$4:F17,0)))</f>
        <v>99999940001</v>
      </c>
      <c r="O18" t="str">
        <f t="shared" si="8"/>
        <v>関連</v>
      </c>
      <c r="Q18" s="4">
        <v>44952</v>
      </c>
      <c r="S18" t="str">
        <f t="shared" ref="S18:S24" si="11">$O$1&amp;
940&amp;
REPT("0",3-LEN(ROW($S2)))&amp;ROW($S2)</f>
        <v>99999940002</v>
      </c>
      <c r="T18" t="s">
        <v>50</v>
      </c>
      <c r="U18" t="s">
        <v>50</v>
      </c>
      <c r="V18" t="s">
        <v>447</v>
      </c>
      <c r="AB18" t="str">
        <f>$S$17&amp;"関連"</f>
        <v>99999940001関連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99999940003</v>
      </c>
      <c r="G19" s="29">
        <f t="shared" si="2"/>
        <v>99999940003</v>
      </c>
      <c r="H19" s="20" t="str">
        <f t="shared" si="3"/>
        <v>-</v>
      </c>
      <c r="I19" s="20" t="str">
        <f t="shared" si="4"/>
        <v>ー</v>
      </c>
      <c r="J19" s="20" t="str">
        <f t="shared" si="5"/>
        <v>米沢市</v>
      </c>
      <c r="K19" s="31" t="str">
        <f t="shared" si="6"/>
        <v>99999940001関連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99999940001</v>
      </c>
      <c r="N19">
        <f>IF(L19&lt;&gt;"○",M19,INDEX(G$4:G18,MATCH(L19&amp;M19,F$4:F18,0)))</f>
        <v>99999940001</v>
      </c>
      <c r="O19" t="str">
        <f t="shared" si="8"/>
        <v>関連</v>
      </c>
      <c r="Q19" s="4">
        <v>44952</v>
      </c>
      <c r="S19" t="str">
        <f t="shared" si="11"/>
        <v>99999940003</v>
      </c>
      <c r="T19" t="s">
        <v>50</v>
      </c>
      <c r="U19" t="s">
        <v>50</v>
      </c>
      <c r="V19" t="s">
        <v>447</v>
      </c>
      <c r="AB19" t="str">
        <f t="shared" ref="AB19:AB24" si="12">$S$17&amp;"関連"</f>
        <v>99999940001関連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99999940004</v>
      </c>
      <c r="G20" s="29">
        <f t="shared" si="2"/>
        <v>99999940004</v>
      </c>
      <c r="H20" s="20" t="str">
        <f t="shared" si="3"/>
        <v>-</v>
      </c>
      <c r="I20" s="20" t="str">
        <f t="shared" si="4"/>
        <v>ー</v>
      </c>
      <c r="J20" s="20" t="str">
        <f t="shared" si="5"/>
        <v>米沢市</v>
      </c>
      <c r="K20" s="31" t="str">
        <f t="shared" si="6"/>
        <v>99999940001関連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99999940001</v>
      </c>
      <c r="N20">
        <f>IF(L20&lt;&gt;"○",M20,INDEX(G$4:G19,MATCH(L20&amp;M20,F$4:F19,0)))</f>
        <v>99999940001</v>
      </c>
      <c r="O20" t="str">
        <f t="shared" si="8"/>
        <v>関連</v>
      </c>
      <c r="Q20" s="4">
        <v>44952</v>
      </c>
      <c r="S20" t="str">
        <f t="shared" si="11"/>
        <v>99999940004</v>
      </c>
      <c r="T20" t="s">
        <v>50</v>
      </c>
      <c r="U20" t="s">
        <v>50</v>
      </c>
      <c r="V20" t="s">
        <v>447</v>
      </c>
      <c r="AB20" t="str">
        <f t="shared" si="12"/>
        <v>99999940001関連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99999940005</v>
      </c>
      <c r="G21" s="29">
        <f t="shared" si="2"/>
        <v>99999940005</v>
      </c>
      <c r="H21" s="20" t="str">
        <f t="shared" si="3"/>
        <v>-</v>
      </c>
      <c r="I21" s="20" t="str">
        <f t="shared" si="4"/>
        <v>ー</v>
      </c>
      <c r="J21" s="20" t="str">
        <f t="shared" si="5"/>
        <v>米沢市</v>
      </c>
      <c r="K21" s="31" t="str">
        <f t="shared" si="6"/>
        <v>99999940001関連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99999940001</v>
      </c>
      <c r="N21">
        <f>IF(L21&lt;&gt;"○",M21,INDEX(G$4:G20,MATCH(L21&amp;M21,F$4:F20,0)))</f>
        <v>99999940001</v>
      </c>
      <c r="O21" t="str">
        <f t="shared" si="8"/>
        <v>関連</v>
      </c>
      <c r="Q21" s="4">
        <v>44952</v>
      </c>
      <c r="S21" t="str">
        <f t="shared" si="11"/>
        <v>99999940005</v>
      </c>
      <c r="T21" t="s">
        <v>50</v>
      </c>
      <c r="U21" t="s">
        <v>50</v>
      </c>
      <c r="V21" t="s">
        <v>447</v>
      </c>
      <c r="AB21" t="str">
        <f t="shared" si="12"/>
        <v>99999940001関連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99999940006</v>
      </c>
      <c r="G22" s="29">
        <f t="shared" si="2"/>
        <v>99999940006</v>
      </c>
      <c r="H22" s="20" t="str">
        <f t="shared" si="3"/>
        <v>-</v>
      </c>
      <c r="I22" s="20" t="str">
        <f t="shared" si="4"/>
        <v>ー</v>
      </c>
      <c r="J22" s="20" t="str">
        <f t="shared" si="5"/>
        <v>米沢市</v>
      </c>
      <c r="K22" s="31" t="str">
        <f t="shared" si="6"/>
        <v>99999940001関連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99999940001</v>
      </c>
      <c r="N22">
        <f>IF(L22&lt;&gt;"○",M22,INDEX(G$4:G21,MATCH(L22&amp;M22,F$4:F21,0)))</f>
        <v>99999940001</v>
      </c>
      <c r="O22" t="str">
        <f t="shared" si="8"/>
        <v>関連</v>
      </c>
      <c r="Q22" s="4">
        <v>44952</v>
      </c>
      <c r="S22" t="str">
        <f t="shared" si="11"/>
        <v>99999940006</v>
      </c>
      <c r="T22" t="s">
        <v>50</v>
      </c>
      <c r="U22" t="s">
        <v>50</v>
      </c>
      <c r="V22" t="s">
        <v>447</v>
      </c>
      <c r="AB22" t="str">
        <f t="shared" si="12"/>
        <v>99999940001関連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99999940007</v>
      </c>
      <c r="G23" s="29">
        <f t="shared" si="2"/>
        <v>99999940007</v>
      </c>
      <c r="H23" s="20" t="str">
        <f t="shared" si="3"/>
        <v>-</v>
      </c>
      <c r="I23" s="20" t="str">
        <f t="shared" si="4"/>
        <v>ー</v>
      </c>
      <c r="J23" s="20" t="str">
        <f t="shared" si="5"/>
        <v>米沢市</v>
      </c>
      <c r="K23" s="31" t="str">
        <f t="shared" si="6"/>
        <v>99999940001関連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99999940001</v>
      </c>
      <c r="N23">
        <f>IF(L23&lt;&gt;"○",M23,INDEX(G$4:G22,MATCH(L23&amp;M23,F$4:F22,0)))</f>
        <v>99999940001</v>
      </c>
      <c r="O23" t="str">
        <f t="shared" si="8"/>
        <v>関連</v>
      </c>
      <c r="Q23" s="4">
        <v>44952</v>
      </c>
      <c r="S23" t="str">
        <f t="shared" si="11"/>
        <v>99999940007</v>
      </c>
      <c r="T23" t="s">
        <v>50</v>
      </c>
      <c r="U23" t="s">
        <v>50</v>
      </c>
      <c r="V23" t="s">
        <v>447</v>
      </c>
      <c r="AB23" t="str">
        <f t="shared" si="12"/>
        <v>99999940001関連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99999940008</v>
      </c>
      <c r="G24" s="29">
        <f t="shared" si="2"/>
        <v>99999940008</v>
      </c>
      <c r="H24" s="20" t="str">
        <f t="shared" si="3"/>
        <v>-</v>
      </c>
      <c r="I24" s="20" t="str">
        <f t="shared" si="4"/>
        <v>ー</v>
      </c>
      <c r="J24" s="20" t="str">
        <f t="shared" si="5"/>
        <v>米沢市</v>
      </c>
      <c r="K24" s="31" t="str">
        <f t="shared" si="6"/>
        <v>99999940001関連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99999940001</v>
      </c>
      <c r="N24">
        <f>IF(L24&lt;&gt;"○",M24,INDEX(G$4:G23,MATCH(L24&amp;M24,F$4:F23,0)))</f>
        <v>99999940001</v>
      </c>
      <c r="O24" t="str">
        <f t="shared" si="8"/>
        <v>関連</v>
      </c>
      <c r="Q24" s="4">
        <v>44952</v>
      </c>
      <c r="S24" t="str">
        <f t="shared" si="11"/>
        <v>99999940008</v>
      </c>
      <c r="T24" t="s">
        <v>50</v>
      </c>
      <c r="U24" t="s">
        <v>50</v>
      </c>
      <c r="V24" t="s">
        <v>447</v>
      </c>
      <c r="AB24" t="str">
        <f t="shared" si="12"/>
        <v>99999940001関連</v>
      </c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>
        <f>IF(G26="","",MAX(C$4:C25)+1)</f>
        <v>15</v>
      </c>
      <c r="D26">
        <f>IF(AND(N26=""),"",MAX(D$4:D25)+1)</f>
        <v>15</v>
      </c>
      <c r="F26" s="26" t="str">
        <f t="shared" si="1"/>
        <v>99999941001</v>
      </c>
      <c r="G26" s="29">
        <f t="shared" si="2"/>
        <v>99999941001</v>
      </c>
      <c r="H26" s="20" t="str">
        <f t="shared" si="3"/>
        <v>-</v>
      </c>
      <c r="I26" s="20" t="str">
        <f t="shared" si="4"/>
        <v>ー</v>
      </c>
      <c r="J26" s="20" t="str">
        <f t="shared" si="5"/>
        <v>米沢市</v>
      </c>
      <c r="K26" s="31" t="str">
        <f t="shared" si="6"/>
        <v>99999941001介護施設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99999941001</v>
      </c>
      <c r="N26">
        <f>IF(L26&lt;&gt;"○",M26,INDEX(G$4:G25,MATCH(L26&amp;M26,F$4:F25,0)))</f>
        <v>99999941001</v>
      </c>
      <c r="O26" t="str">
        <f t="shared" si="8"/>
        <v>介護施設</v>
      </c>
      <c r="Q26" s="4">
        <v>44952</v>
      </c>
      <c r="S26" t="str">
        <f>$O$1&amp;
941&amp;
REPT("0",3-LEN(ROW($S1)))&amp;ROW($S1)</f>
        <v>99999941001</v>
      </c>
      <c r="T26" t="s">
        <v>50</v>
      </c>
      <c r="U26" t="s">
        <v>50</v>
      </c>
      <c r="V26" t="s">
        <v>447</v>
      </c>
      <c r="AB26" t="str">
        <f>$S$26&amp;"介護施設"</f>
        <v>99999941001介護施設</v>
      </c>
    </row>
    <row r="27" spans="2:28" x14ac:dyDescent="0.4">
      <c r="B27" t="s">
        <v>21</v>
      </c>
      <c r="C27">
        <f>IF(G27="","",MAX(C$4:C26)+1)</f>
        <v>16</v>
      </c>
      <c r="D27">
        <f>IF(AND(N27=""),"",MAX(D$4:D26)+1)</f>
        <v>16</v>
      </c>
      <c r="F27" s="26" t="str">
        <f t="shared" si="1"/>
        <v>99999941002</v>
      </c>
      <c r="G27" s="29">
        <f t="shared" si="2"/>
        <v>99999941002</v>
      </c>
      <c r="H27" s="20" t="str">
        <f t="shared" si="3"/>
        <v>-</v>
      </c>
      <c r="I27" s="20" t="str">
        <f t="shared" si="4"/>
        <v>ー</v>
      </c>
      <c r="J27" s="20" t="str">
        <f t="shared" si="5"/>
        <v>米沢市</v>
      </c>
      <c r="K27" s="31" t="str">
        <f t="shared" si="6"/>
        <v>99999941001関連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99999941001</v>
      </c>
      <c r="N27">
        <f>IF(L27&lt;&gt;"○",M27,INDEX(G$4:G26,MATCH(L27&amp;M27,F$4:F26,0)))</f>
        <v>99999941001</v>
      </c>
      <c r="O27" t="str">
        <f t="shared" si="8"/>
        <v>関連</v>
      </c>
      <c r="Q27" s="4">
        <v>44952</v>
      </c>
      <c r="S27" t="str">
        <f t="shared" ref="S27:S32" si="13">$O$1&amp;
941&amp;
REPT("0",3-LEN(ROW($S2)))&amp;ROW($S2)</f>
        <v>99999941002</v>
      </c>
      <c r="T27" t="s">
        <v>50</v>
      </c>
      <c r="U27" t="s">
        <v>50</v>
      </c>
      <c r="V27" t="s">
        <v>447</v>
      </c>
      <c r="AB27" t="str">
        <f>$S$26&amp;"関連"</f>
        <v>99999941001関連</v>
      </c>
    </row>
    <row r="28" spans="2:28" x14ac:dyDescent="0.4">
      <c r="B28" t="s">
        <v>21</v>
      </c>
      <c r="C28">
        <f>IF(G28="","",MAX(C$4:C27)+1)</f>
        <v>17</v>
      </c>
      <c r="D28">
        <f>IF(AND(N28=""),"",MAX(D$4:D27)+1)</f>
        <v>17</v>
      </c>
      <c r="F28" s="26" t="str">
        <f t="shared" si="1"/>
        <v>99999941003</v>
      </c>
      <c r="G28" s="29">
        <f t="shared" si="2"/>
        <v>99999941003</v>
      </c>
      <c r="H28" s="20" t="str">
        <f t="shared" si="3"/>
        <v>-</v>
      </c>
      <c r="I28" s="20" t="str">
        <f t="shared" si="4"/>
        <v>ー</v>
      </c>
      <c r="J28" s="20" t="str">
        <f t="shared" si="5"/>
        <v>米沢市</v>
      </c>
      <c r="K28" s="31" t="str">
        <f t="shared" si="6"/>
        <v>99999941001関連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99999941001</v>
      </c>
      <c r="N28">
        <f>IF(L28&lt;&gt;"○",M28,INDEX(G$4:G27,MATCH(L28&amp;M28,F$4:F27,0)))</f>
        <v>99999941001</v>
      </c>
      <c r="O28" t="str">
        <f t="shared" si="8"/>
        <v>関連</v>
      </c>
      <c r="Q28" s="4">
        <v>44952</v>
      </c>
      <c r="S28" t="str">
        <f t="shared" si="13"/>
        <v>99999941003</v>
      </c>
      <c r="T28" t="s">
        <v>50</v>
      </c>
      <c r="U28" t="s">
        <v>50</v>
      </c>
      <c r="V28" t="s">
        <v>447</v>
      </c>
      <c r="AB28" t="str">
        <f t="shared" ref="AB28:AB32" si="14">$S$26&amp;"関連"</f>
        <v>99999941001関連</v>
      </c>
    </row>
    <row r="29" spans="2:28" x14ac:dyDescent="0.4">
      <c r="B29" t="s">
        <v>21</v>
      </c>
      <c r="C29">
        <f>IF(G29="","",MAX(C$4:C28)+1)</f>
        <v>18</v>
      </c>
      <c r="D29">
        <f>IF(AND(N29=""),"",MAX(D$4:D28)+1)</f>
        <v>18</v>
      </c>
      <c r="F29" s="26" t="str">
        <f t="shared" si="1"/>
        <v>99999941004</v>
      </c>
      <c r="G29" s="29">
        <f t="shared" si="2"/>
        <v>99999941004</v>
      </c>
      <c r="H29" s="20" t="str">
        <f t="shared" si="3"/>
        <v>-</v>
      </c>
      <c r="I29" s="20" t="str">
        <f t="shared" si="4"/>
        <v>ー</v>
      </c>
      <c r="J29" s="20" t="str">
        <f t="shared" si="5"/>
        <v>米沢市</v>
      </c>
      <c r="K29" s="31" t="str">
        <f t="shared" si="6"/>
        <v>99999941001関連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99999941001</v>
      </c>
      <c r="N29">
        <f>IF(L29&lt;&gt;"○",M29,INDEX(G$4:G28,MATCH(L29&amp;M29,F$4:F28,0)))</f>
        <v>99999941001</v>
      </c>
      <c r="O29" t="str">
        <f t="shared" si="8"/>
        <v>関連</v>
      </c>
      <c r="Q29" s="4">
        <v>44952</v>
      </c>
      <c r="S29" t="str">
        <f t="shared" si="13"/>
        <v>99999941004</v>
      </c>
      <c r="T29" t="s">
        <v>50</v>
      </c>
      <c r="U29" t="s">
        <v>50</v>
      </c>
      <c r="V29" t="s">
        <v>447</v>
      </c>
      <c r="AB29" t="str">
        <f t="shared" si="14"/>
        <v>99999941001関連</v>
      </c>
    </row>
    <row r="30" spans="2:28" x14ac:dyDescent="0.4">
      <c r="B30" t="s">
        <v>21</v>
      </c>
      <c r="C30">
        <f>IF(G30="","",MAX(C$4:C29)+1)</f>
        <v>19</v>
      </c>
      <c r="D30">
        <f>IF(AND(N30=""),"",MAX(D$4:D29)+1)</f>
        <v>19</v>
      </c>
      <c r="F30" s="26" t="str">
        <f t="shared" si="1"/>
        <v>99999941005</v>
      </c>
      <c r="G30" s="29">
        <f t="shared" si="2"/>
        <v>99999941005</v>
      </c>
      <c r="H30" s="20" t="str">
        <f t="shared" si="3"/>
        <v>-</v>
      </c>
      <c r="I30" s="20" t="str">
        <f t="shared" si="4"/>
        <v>ー</v>
      </c>
      <c r="J30" s="20" t="str">
        <f t="shared" si="5"/>
        <v>米沢市</v>
      </c>
      <c r="K30" s="31" t="str">
        <f t="shared" si="6"/>
        <v>99999941001関連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99999941001</v>
      </c>
      <c r="N30">
        <f>IF(L30&lt;&gt;"○",M30,INDEX(G$4:G29,MATCH(L30&amp;M30,F$4:F29,0)))</f>
        <v>99999941001</v>
      </c>
      <c r="O30" t="str">
        <f t="shared" si="8"/>
        <v>関連</v>
      </c>
      <c r="Q30" s="4">
        <v>44952</v>
      </c>
      <c r="S30" t="str">
        <f t="shared" si="13"/>
        <v>99999941005</v>
      </c>
      <c r="T30" t="s">
        <v>50</v>
      </c>
      <c r="U30" t="s">
        <v>50</v>
      </c>
      <c r="V30" t="s">
        <v>447</v>
      </c>
      <c r="AB30" t="str">
        <f t="shared" si="14"/>
        <v>99999941001関連</v>
      </c>
    </row>
    <row r="31" spans="2:28" x14ac:dyDescent="0.4">
      <c r="B31" t="s">
        <v>21</v>
      </c>
      <c r="C31">
        <f>IF(G31="","",MAX(C$4:C30)+1)</f>
        <v>20</v>
      </c>
      <c r="D31">
        <f>IF(AND(N31=""),"",MAX(D$4:D30)+1)</f>
        <v>20</v>
      </c>
      <c r="F31" s="26" t="str">
        <f t="shared" si="1"/>
        <v>99999941006</v>
      </c>
      <c r="G31" s="29">
        <f t="shared" si="2"/>
        <v>99999941006</v>
      </c>
      <c r="H31" s="20" t="str">
        <f t="shared" si="3"/>
        <v>-</v>
      </c>
      <c r="I31" s="20" t="str">
        <f t="shared" si="4"/>
        <v>ー</v>
      </c>
      <c r="J31" s="20" t="str">
        <f t="shared" si="5"/>
        <v>米沢市</v>
      </c>
      <c r="K31" s="31" t="str">
        <f t="shared" si="6"/>
        <v>99999941001関連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99999941001</v>
      </c>
      <c r="N31">
        <f>IF(L31&lt;&gt;"○",M31,INDEX(G$4:G30,MATCH(L31&amp;M31,F$4:F30,0)))</f>
        <v>99999941001</v>
      </c>
      <c r="O31" t="str">
        <f t="shared" si="8"/>
        <v>関連</v>
      </c>
      <c r="Q31" s="4">
        <v>44952</v>
      </c>
      <c r="S31" t="str">
        <f t="shared" si="13"/>
        <v>99999941006</v>
      </c>
      <c r="T31" t="s">
        <v>50</v>
      </c>
      <c r="U31" t="s">
        <v>50</v>
      </c>
      <c r="V31" t="s">
        <v>447</v>
      </c>
      <c r="AB31" t="str">
        <f t="shared" si="14"/>
        <v>99999941001関連</v>
      </c>
    </row>
    <row r="32" spans="2:28" x14ac:dyDescent="0.4">
      <c r="B32" t="s">
        <v>21</v>
      </c>
      <c r="C32">
        <f>IF(G32="","",MAX(C$4:C31)+1)</f>
        <v>21</v>
      </c>
      <c r="D32">
        <f>IF(AND(N32=""),"",MAX(D$4:D31)+1)</f>
        <v>21</v>
      </c>
      <c r="F32" s="26" t="str">
        <f t="shared" si="1"/>
        <v>99999941007</v>
      </c>
      <c r="G32" s="29">
        <f t="shared" si="2"/>
        <v>99999941007</v>
      </c>
      <c r="H32" s="20" t="str">
        <f t="shared" si="3"/>
        <v>-</v>
      </c>
      <c r="I32" s="20" t="str">
        <f t="shared" si="4"/>
        <v>ー</v>
      </c>
      <c r="J32" s="20" t="str">
        <f t="shared" si="5"/>
        <v>米沢市</v>
      </c>
      <c r="K32" s="31" t="str">
        <f t="shared" si="6"/>
        <v>99999941001関連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99999941001</v>
      </c>
      <c r="N32">
        <f>IF(L32&lt;&gt;"○",M32,INDEX(G$4:G31,MATCH(L32&amp;M32,F$4:F31,0)))</f>
        <v>99999941001</v>
      </c>
      <c r="O32" t="str">
        <f t="shared" si="8"/>
        <v>関連</v>
      </c>
      <c r="Q32" s="4">
        <v>44952</v>
      </c>
      <c r="S32" t="str">
        <f t="shared" si="13"/>
        <v>99999941007</v>
      </c>
      <c r="T32" t="s">
        <v>50</v>
      </c>
      <c r="U32" t="s">
        <v>50</v>
      </c>
      <c r="V32" t="s">
        <v>447</v>
      </c>
      <c r="AB32" t="str">
        <f t="shared" si="14"/>
        <v>99999941001関連</v>
      </c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5">IF(G73&lt;&gt;"",R73&amp;S73,"")</f>
        <v/>
      </c>
      <c r="G73" s="29" t="str">
        <f t="shared" ref="G73:G136" si="16">IF(AND((S73 &lt;&gt; ""),(S73 &gt;= 0)), ABS(IF(OR((R73=""),(R73="　")), S73, T73)), "")</f>
        <v/>
      </c>
      <c r="H73" s="20" t="str">
        <f t="shared" ref="H73:H136" si="17">IF(OR((R73=""),(R73="　")),IF(G73 &lt;&gt; "", T73, ""),IF(G73 &lt;&gt; "", U73, ""))</f>
        <v/>
      </c>
      <c r="I73" s="20" t="str">
        <f t="shared" ref="I73:I136" si="18">IF(G73 &lt;&gt; "", IF(COUNTIF(IF(OR((R73=""),(R73="　")), U73, V73),"*男*"),"男性",IF(COUNTIF(IF(OR((R73=""),(R73="　")), U73, V73),"*女*"),"女性","ー")),"")</f>
        <v/>
      </c>
      <c r="J73" s="20" t="str">
        <f t="shared" ref="J73:J136" si="19">IF(G73 &lt;&gt; "", IF(OR((R73=""),(R73="　")), V73, W73),"")</f>
        <v/>
      </c>
      <c r="K73" s="31" t="str">
        <f t="shared" ref="K73:K136" si="20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21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2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5"/>
        <v/>
      </c>
      <c r="G74" s="29" t="str">
        <f t="shared" si="16"/>
        <v/>
      </c>
      <c r="H74" s="20" t="str">
        <f t="shared" si="17"/>
        <v/>
      </c>
      <c r="I74" s="20" t="str">
        <f t="shared" si="18"/>
        <v/>
      </c>
      <c r="J74" s="20" t="str">
        <f t="shared" si="19"/>
        <v/>
      </c>
      <c r="K74" s="31" t="str">
        <f t="shared" si="20"/>
        <v/>
      </c>
      <c r="L74" s="23" t="str">
        <f t="shared" si="21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2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5"/>
        <v/>
      </c>
      <c r="G75" s="29" t="str">
        <f t="shared" si="16"/>
        <v/>
      </c>
      <c r="H75" s="20" t="str">
        <f t="shared" si="17"/>
        <v/>
      </c>
      <c r="I75" s="20" t="str">
        <f t="shared" si="18"/>
        <v/>
      </c>
      <c r="J75" s="20" t="str">
        <f t="shared" si="19"/>
        <v/>
      </c>
      <c r="K75" s="31" t="str">
        <f t="shared" si="20"/>
        <v/>
      </c>
      <c r="L75" s="23" t="str">
        <f t="shared" si="21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2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5"/>
        <v/>
      </c>
      <c r="G76" s="29" t="str">
        <f t="shared" si="16"/>
        <v/>
      </c>
      <c r="H76" s="20" t="str">
        <f t="shared" si="17"/>
        <v/>
      </c>
      <c r="I76" s="20" t="str">
        <f t="shared" si="18"/>
        <v/>
      </c>
      <c r="J76" s="20" t="str">
        <f t="shared" si="19"/>
        <v/>
      </c>
      <c r="K76" s="31" t="str">
        <f t="shared" si="20"/>
        <v/>
      </c>
      <c r="L76" s="23" t="str">
        <f t="shared" si="21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2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5"/>
        <v/>
      </c>
      <c r="G77" s="29" t="str">
        <f t="shared" si="16"/>
        <v/>
      </c>
      <c r="H77" s="20" t="str">
        <f t="shared" si="17"/>
        <v/>
      </c>
      <c r="I77" s="20" t="str">
        <f t="shared" si="18"/>
        <v/>
      </c>
      <c r="J77" s="20" t="str">
        <f t="shared" si="19"/>
        <v/>
      </c>
      <c r="K77" s="31" t="str">
        <f t="shared" si="20"/>
        <v/>
      </c>
      <c r="L77" s="23" t="str">
        <f t="shared" si="21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2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5"/>
        <v/>
      </c>
      <c r="G78" s="29" t="str">
        <f t="shared" si="16"/>
        <v/>
      </c>
      <c r="H78" s="20" t="str">
        <f t="shared" si="17"/>
        <v/>
      </c>
      <c r="I78" s="20" t="str">
        <f t="shared" si="18"/>
        <v/>
      </c>
      <c r="J78" s="20" t="str">
        <f t="shared" si="19"/>
        <v/>
      </c>
      <c r="K78" s="31" t="str">
        <f t="shared" si="20"/>
        <v/>
      </c>
      <c r="L78" s="23" t="str">
        <f t="shared" si="21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2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5"/>
        <v/>
      </c>
      <c r="G79" s="29" t="str">
        <f t="shared" si="16"/>
        <v/>
      </c>
      <c r="H79" s="20" t="str">
        <f t="shared" si="17"/>
        <v/>
      </c>
      <c r="I79" s="20" t="str">
        <f t="shared" si="18"/>
        <v/>
      </c>
      <c r="J79" s="20" t="str">
        <f t="shared" si="19"/>
        <v/>
      </c>
      <c r="K79" s="31" t="str">
        <f t="shared" si="20"/>
        <v/>
      </c>
      <c r="L79" s="23" t="str">
        <f t="shared" si="21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2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5"/>
        <v/>
      </c>
      <c r="G80" s="29" t="str">
        <f t="shared" si="16"/>
        <v/>
      </c>
      <c r="H80" s="20" t="str">
        <f t="shared" si="17"/>
        <v/>
      </c>
      <c r="I80" s="20" t="str">
        <f t="shared" si="18"/>
        <v/>
      </c>
      <c r="J80" s="20" t="str">
        <f t="shared" si="19"/>
        <v/>
      </c>
      <c r="K80" s="31" t="str">
        <f t="shared" si="20"/>
        <v/>
      </c>
      <c r="L80" s="23" t="str">
        <f t="shared" si="21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2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5"/>
        <v/>
      </c>
      <c r="G81" s="29" t="str">
        <f t="shared" si="16"/>
        <v/>
      </c>
      <c r="H81" s="20" t="str">
        <f t="shared" si="17"/>
        <v/>
      </c>
      <c r="I81" s="20" t="str">
        <f t="shared" si="18"/>
        <v/>
      </c>
      <c r="J81" s="20" t="str">
        <f t="shared" si="19"/>
        <v/>
      </c>
      <c r="K81" s="31" t="str">
        <f t="shared" si="20"/>
        <v/>
      </c>
      <c r="L81" s="23" t="str">
        <f t="shared" si="21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2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5"/>
        <v/>
      </c>
      <c r="G82" s="29" t="str">
        <f t="shared" si="16"/>
        <v/>
      </c>
      <c r="H82" s="20" t="str">
        <f t="shared" si="17"/>
        <v/>
      </c>
      <c r="I82" s="20" t="str">
        <f t="shared" si="18"/>
        <v/>
      </c>
      <c r="J82" s="20" t="str">
        <f t="shared" si="19"/>
        <v/>
      </c>
      <c r="K82" s="31" t="str">
        <f t="shared" si="20"/>
        <v/>
      </c>
      <c r="L82" s="23" t="str">
        <f t="shared" si="21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2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5"/>
        <v/>
      </c>
      <c r="G83" s="29" t="str">
        <f t="shared" si="16"/>
        <v/>
      </c>
      <c r="H83" s="20" t="str">
        <f t="shared" si="17"/>
        <v/>
      </c>
      <c r="I83" s="20" t="str">
        <f t="shared" si="18"/>
        <v/>
      </c>
      <c r="J83" s="20" t="str">
        <f t="shared" si="19"/>
        <v/>
      </c>
      <c r="K83" s="31" t="str">
        <f t="shared" si="20"/>
        <v/>
      </c>
      <c r="L83" s="23" t="str">
        <f t="shared" si="21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2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5"/>
        <v/>
      </c>
      <c r="G84" s="29" t="str">
        <f t="shared" si="16"/>
        <v/>
      </c>
      <c r="H84" s="20" t="str">
        <f t="shared" si="17"/>
        <v/>
      </c>
      <c r="I84" s="20" t="str">
        <f t="shared" si="18"/>
        <v/>
      </c>
      <c r="J84" s="20" t="str">
        <f t="shared" si="19"/>
        <v/>
      </c>
      <c r="K84" s="31" t="str">
        <f t="shared" si="20"/>
        <v/>
      </c>
      <c r="L84" s="23" t="str">
        <f t="shared" si="21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2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5"/>
        <v/>
      </c>
      <c r="G85" s="29" t="str">
        <f t="shared" si="16"/>
        <v/>
      </c>
      <c r="H85" s="20" t="str">
        <f t="shared" si="17"/>
        <v/>
      </c>
      <c r="I85" s="20" t="str">
        <f t="shared" si="18"/>
        <v/>
      </c>
      <c r="J85" s="20" t="str">
        <f t="shared" si="19"/>
        <v/>
      </c>
      <c r="K85" s="31" t="str">
        <f t="shared" si="20"/>
        <v/>
      </c>
      <c r="L85" s="23" t="str">
        <f t="shared" si="21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2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5"/>
        <v/>
      </c>
      <c r="G86" s="29" t="str">
        <f t="shared" si="16"/>
        <v/>
      </c>
      <c r="H86" s="20" t="str">
        <f t="shared" si="17"/>
        <v/>
      </c>
      <c r="I86" s="20" t="str">
        <f t="shared" si="18"/>
        <v/>
      </c>
      <c r="J86" s="20" t="str">
        <f t="shared" si="19"/>
        <v/>
      </c>
      <c r="K86" s="31" t="str">
        <f t="shared" si="20"/>
        <v/>
      </c>
      <c r="L86" s="23" t="str">
        <f t="shared" si="21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2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5"/>
        <v/>
      </c>
      <c r="G87" s="29" t="str">
        <f t="shared" si="16"/>
        <v/>
      </c>
      <c r="H87" s="20" t="str">
        <f t="shared" si="17"/>
        <v/>
      </c>
      <c r="I87" s="20" t="str">
        <f t="shared" si="18"/>
        <v/>
      </c>
      <c r="J87" s="20" t="str">
        <f t="shared" si="19"/>
        <v/>
      </c>
      <c r="K87" s="31" t="str">
        <f t="shared" si="20"/>
        <v/>
      </c>
      <c r="L87" s="23" t="str">
        <f t="shared" si="21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2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5"/>
        <v/>
      </c>
      <c r="G88" s="29" t="str">
        <f t="shared" si="16"/>
        <v/>
      </c>
      <c r="H88" s="20" t="str">
        <f t="shared" si="17"/>
        <v/>
      </c>
      <c r="I88" s="20" t="str">
        <f t="shared" si="18"/>
        <v/>
      </c>
      <c r="J88" s="20" t="str">
        <f t="shared" si="19"/>
        <v/>
      </c>
      <c r="K88" s="31" t="str">
        <f t="shared" si="20"/>
        <v/>
      </c>
      <c r="L88" s="23" t="str">
        <f t="shared" si="21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2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5"/>
        <v/>
      </c>
      <c r="G89" s="29" t="str">
        <f t="shared" si="16"/>
        <v/>
      </c>
      <c r="H89" s="20" t="str">
        <f t="shared" si="17"/>
        <v/>
      </c>
      <c r="I89" s="20" t="str">
        <f t="shared" si="18"/>
        <v/>
      </c>
      <c r="J89" s="20" t="str">
        <f t="shared" si="19"/>
        <v/>
      </c>
      <c r="K89" s="31" t="str">
        <f t="shared" si="20"/>
        <v/>
      </c>
      <c r="L89" s="23" t="str">
        <f t="shared" si="21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2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5"/>
        <v/>
      </c>
      <c r="G90" s="29" t="str">
        <f t="shared" si="16"/>
        <v/>
      </c>
      <c r="H90" s="20" t="str">
        <f t="shared" si="17"/>
        <v/>
      </c>
      <c r="I90" s="20" t="str">
        <f t="shared" si="18"/>
        <v/>
      </c>
      <c r="J90" s="20" t="str">
        <f t="shared" si="19"/>
        <v/>
      </c>
      <c r="K90" s="31" t="str">
        <f t="shared" si="20"/>
        <v/>
      </c>
      <c r="L90" s="23" t="str">
        <f t="shared" si="21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2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5"/>
        <v/>
      </c>
      <c r="G91" s="29" t="str">
        <f t="shared" si="16"/>
        <v/>
      </c>
      <c r="H91" s="20" t="str">
        <f t="shared" si="17"/>
        <v/>
      </c>
      <c r="I91" s="20" t="str">
        <f t="shared" si="18"/>
        <v/>
      </c>
      <c r="J91" s="20" t="str">
        <f t="shared" si="19"/>
        <v/>
      </c>
      <c r="K91" s="31" t="str">
        <f t="shared" si="20"/>
        <v/>
      </c>
      <c r="L91" s="23" t="str">
        <f t="shared" si="21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2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5"/>
        <v/>
      </c>
      <c r="G92" s="29" t="str">
        <f t="shared" si="16"/>
        <v/>
      </c>
      <c r="H92" s="20" t="str">
        <f t="shared" si="17"/>
        <v/>
      </c>
      <c r="I92" s="20" t="str">
        <f t="shared" si="18"/>
        <v/>
      </c>
      <c r="J92" s="20" t="str">
        <f t="shared" si="19"/>
        <v/>
      </c>
      <c r="K92" s="31" t="str">
        <f t="shared" si="20"/>
        <v/>
      </c>
      <c r="L92" s="23" t="str">
        <f t="shared" si="21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2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5"/>
        <v/>
      </c>
      <c r="G93" s="29" t="str">
        <f t="shared" si="16"/>
        <v/>
      </c>
      <c r="H93" s="20" t="str">
        <f t="shared" si="17"/>
        <v/>
      </c>
      <c r="I93" s="20" t="str">
        <f t="shared" si="18"/>
        <v/>
      </c>
      <c r="J93" s="20" t="str">
        <f t="shared" si="19"/>
        <v/>
      </c>
      <c r="K93" s="31" t="str">
        <f t="shared" si="20"/>
        <v/>
      </c>
      <c r="L93" s="23" t="str">
        <f t="shared" si="21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2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5"/>
        <v/>
      </c>
      <c r="G94" s="29" t="str">
        <f t="shared" si="16"/>
        <v/>
      </c>
      <c r="H94" s="20" t="str">
        <f t="shared" si="17"/>
        <v/>
      </c>
      <c r="I94" s="20" t="str">
        <f t="shared" si="18"/>
        <v/>
      </c>
      <c r="J94" s="20" t="str">
        <f t="shared" si="19"/>
        <v/>
      </c>
      <c r="K94" s="31" t="str">
        <f t="shared" si="20"/>
        <v/>
      </c>
      <c r="L94" s="23" t="str">
        <f t="shared" si="21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2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5"/>
        <v/>
      </c>
      <c r="G95" s="29" t="str">
        <f t="shared" si="16"/>
        <v/>
      </c>
      <c r="H95" s="20" t="str">
        <f t="shared" si="17"/>
        <v/>
      </c>
      <c r="I95" s="20" t="str">
        <f t="shared" si="18"/>
        <v/>
      </c>
      <c r="J95" s="20" t="str">
        <f t="shared" si="19"/>
        <v/>
      </c>
      <c r="K95" s="31" t="str">
        <f t="shared" si="20"/>
        <v/>
      </c>
      <c r="L95" s="23" t="str">
        <f t="shared" si="21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2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5"/>
        <v/>
      </c>
      <c r="G96" s="29" t="str">
        <f t="shared" si="16"/>
        <v/>
      </c>
      <c r="H96" s="20" t="str">
        <f t="shared" si="17"/>
        <v/>
      </c>
      <c r="I96" s="20" t="str">
        <f t="shared" si="18"/>
        <v/>
      </c>
      <c r="J96" s="20" t="str">
        <f t="shared" si="19"/>
        <v/>
      </c>
      <c r="K96" s="31" t="str">
        <f t="shared" si="20"/>
        <v/>
      </c>
      <c r="L96" s="23" t="str">
        <f t="shared" si="21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2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5"/>
        <v/>
      </c>
      <c r="G97" s="29" t="str">
        <f t="shared" si="16"/>
        <v/>
      </c>
      <c r="H97" s="20" t="str">
        <f t="shared" si="17"/>
        <v/>
      </c>
      <c r="I97" s="20" t="str">
        <f t="shared" si="18"/>
        <v/>
      </c>
      <c r="J97" s="20" t="str">
        <f t="shared" si="19"/>
        <v/>
      </c>
      <c r="K97" s="31" t="str">
        <f t="shared" si="20"/>
        <v/>
      </c>
      <c r="L97" s="23" t="str">
        <f t="shared" si="21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2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5"/>
        <v/>
      </c>
      <c r="G98" s="29" t="str">
        <f t="shared" si="16"/>
        <v/>
      </c>
      <c r="H98" s="20" t="str">
        <f t="shared" si="17"/>
        <v/>
      </c>
      <c r="I98" s="20" t="str">
        <f t="shared" si="18"/>
        <v/>
      </c>
      <c r="J98" s="20" t="str">
        <f t="shared" si="19"/>
        <v/>
      </c>
      <c r="K98" s="31" t="str">
        <f t="shared" si="20"/>
        <v/>
      </c>
      <c r="L98" s="23" t="str">
        <f t="shared" si="21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2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5"/>
        <v/>
      </c>
      <c r="G99" s="29" t="str">
        <f t="shared" si="16"/>
        <v/>
      </c>
      <c r="H99" s="20" t="str">
        <f t="shared" si="17"/>
        <v/>
      </c>
      <c r="I99" s="20" t="str">
        <f t="shared" si="18"/>
        <v/>
      </c>
      <c r="J99" s="20" t="str">
        <f t="shared" si="19"/>
        <v/>
      </c>
      <c r="K99" s="31" t="str">
        <f t="shared" si="20"/>
        <v/>
      </c>
      <c r="L99" s="23" t="str">
        <f t="shared" si="21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2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5"/>
        <v/>
      </c>
      <c r="G100" s="29" t="str">
        <f t="shared" si="16"/>
        <v/>
      </c>
      <c r="H100" s="20" t="str">
        <f t="shared" si="17"/>
        <v/>
      </c>
      <c r="I100" s="20" t="str">
        <f t="shared" si="18"/>
        <v/>
      </c>
      <c r="J100" s="20" t="str">
        <f t="shared" si="19"/>
        <v/>
      </c>
      <c r="K100" s="31" t="str">
        <f t="shared" si="20"/>
        <v/>
      </c>
      <c r="L100" s="23" t="str">
        <f t="shared" si="21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2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5"/>
        <v/>
      </c>
      <c r="G101" s="29" t="str">
        <f t="shared" si="16"/>
        <v/>
      </c>
      <c r="H101" s="20" t="str">
        <f t="shared" si="17"/>
        <v/>
      </c>
      <c r="I101" s="20" t="str">
        <f t="shared" si="18"/>
        <v/>
      </c>
      <c r="J101" s="20" t="str">
        <f t="shared" si="19"/>
        <v/>
      </c>
      <c r="K101" s="31" t="str">
        <f t="shared" si="20"/>
        <v/>
      </c>
      <c r="L101" s="23" t="str">
        <f t="shared" si="21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2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5"/>
        <v/>
      </c>
      <c r="G102" s="29" t="str">
        <f t="shared" si="16"/>
        <v/>
      </c>
      <c r="H102" s="20" t="str">
        <f t="shared" si="17"/>
        <v/>
      </c>
      <c r="I102" s="20" t="str">
        <f t="shared" si="18"/>
        <v/>
      </c>
      <c r="J102" s="20" t="str">
        <f t="shared" si="19"/>
        <v/>
      </c>
      <c r="K102" s="31" t="str">
        <f t="shared" si="20"/>
        <v/>
      </c>
      <c r="L102" s="23" t="str">
        <f t="shared" si="21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2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5"/>
        <v/>
      </c>
      <c r="G103" s="29" t="str">
        <f t="shared" si="16"/>
        <v/>
      </c>
      <c r="H103" s="20" t="str">
        <f t="shared" si="17"/>
        <v/>
      </c>
      <c r="I103" s="20" t="str">
        <f t="shared" si="18"/>
        <v/>
      </c>
      <c r="J103" s="20" t="str">
        <f t="shared" si="19"/>
        <v/>
      </c>
      <c r="K103" s="31" t="str">
        <f t="shared" si="20"/>
        <v/>
      </c>
      <c r="L103" s="23" t="str">
        <f t="shared" si="21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2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5"/>
        <v/>
      </c>
      <c r="G104" s="29" t="str">
        <f t="shared" si="16"/>
        <v/>
      </c>
      <c r="H104" s="20" t="str">
        <f t="shared" si="17"/>
        <v/>
      </c>
      <c r="I104" s="20" t="str">
        <f t="shared" si="18"/>
        <v/>
      </c>
      <c r="J104" s="20" t="str">
        <f t="shared" si="19"/>
        <v/>
      </c>
      <c r="K104" s="31" t="str">
        <f t="shared" si="20"/>
        <v/>
      </c>
      <c r="L104" s="23" t="str">
        <f t="shared" si="21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2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5"/>
        <v/>
      </c>
      <c r="G105" s="29" t="str">
        <f t="shared" si="16"/>
        <v/>
      </c>
      <c r="H105" s="20" t="str">
        <f t="shared" si="17"/>
        <v/>
      </c>
      <c r="I105" s="20" t="str">
        <f t="shared" si="18"/>
        <v/>
      </c>
      <c r="J105" s="20" t="str">
        <f t="shared" si="19"/>
        <v/>
      </c>
      <c r="K105" s="31" t="str">
        <f t="shared" si="20"/>
        <v/>
      </c>
      <c r="L105" s="23" t="str">
        <f t="shared" si="21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2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5"/>
        <v/>
      </c>
      <c r="G106" s="29" t="str">
        <f t="shared" si="16"/>
        <v/>
      </c>
      <c r="H106" s="20" t="str">
        <f t="shared" si="17"/>
        <v/>
      </c>
      <c r="I106" s="20" t="str">
        <f t="shared" si="18"/>
        <v/>
      </c>
      <c r="J106" s="20" t="str">
        <f t="shared" si="19"/>
        <v/>
      </c>
      <c r="K106" s="31" t="str">
        <f t="shared" si="20"/>
        <v/>
      </c>
      <c r="L106" s="23" t="str">
        <f t="shared" si="21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2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5"/>
        <v/>
      </c>
      <c r="G107" s="29" t="str">
        <f t="shared" si="16"/>
        <v/>
      </c>
      <c r="H107" s="20" t="str">
        <f t="shared" si="17"/>
        <v/>
      </c>
      <c r="I107" s="20" t="str">
        <f t="shared" si="18"/>
        <v/>
      </c>
      <c r="J107" s="20" t="str">
        <f t="shared" si="19"/>
        <v/>
      </c>
      <c r="K107" s="31" t="str">
        <f t="shared" si="20"/>
        <v/>
      </c>
      <c r="L107" s="23" t="str">
        <f t="shared" si="21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2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5"/>
        <v/>
      </c>
      <c r="G108" s="29" t="str">
        <f t="shared" si="16"/>
        <v/>
      </c>
      <c r="H108" s="20" t="str">
        <f t="shared" si="17"/>
        <v/>
      </c>
      <c r="I108" s="20" t="str">
        <f t="shared" si="18"/>
        <v/>
      </c>
      <c r="J108" s="20" t="str">
        <f t="shared" si="19"/>
        <v/>
      </c>
      <c r="K108" s="31" t="str">
        <f t="shared" si="20"/>
        <v/>
      </c>
      <c r="L108" s="23" t="str">
        <f t="shared" si="21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2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5"/>
        <v/>
      </c>
      <c r="G109" s="29" t="str">
        <f t="shared" si="16"/>
        <v/>
      </c>
      <c r="H109" s="20" t="str">
        <f t="shared" si="17"/>
        <v/>
      </c>
      <c r="I109" s="20" t="str">
        <f t="shared" si="18"/>
        <v/>
      </c>
      <c r="J109" s="20" t="str">
        <f t="shared" si="19"/>
        <v/>
      </c>
      <c r="K109" s="31" t="str">
        <f t="shared" si="20"/>
        <v/>
      </c>
      <c r="L109" s="23" t="str">
        <f t="shared" si="21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2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5"/>
        <v/>
      </c>
      <c r="G110" s="29" t="str">
        <f t="shared" si="16"/>
        <v/>
      </c>
      <c r="H110" s="20" t="str">
        <f t="shared" si="17"/>
        <v/>
      </c>
      <c r="I110" s="20" t="str">
        <f t="shared" si="18"/>
        <v/>
      </c>
      <c r="J110" s="20" t="str">
        <f t="shared" si="19"/>
        <v/>
      </c>
      <c r="K110" s="31" t="str">
        <f t="shared" si="20"/>
        <v/>
      </c>
      <c r="L110" s="23" t="str">
        <f t="shared" si="21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2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5"/>
        <v/>
      </c>
      <c r="G111" s="29" t="str">
        <f t="shared" si="16"/>
        <v/>
      </c>
      <c r="H111" s="20" t="str">
        <f t="shared" si="17"/>
        <v/>
      </c>
      <c r="I111" s="20" t="str">
        <f t="shared" si="18"/>
        <v/>
      </c>
      <c r="J111" s="20" t="str">
        <f t="shared" si="19"/>
        <v/>
      </c>
      <c r="K111" s="31" t="str">
        <f t="shared" si="20"/>
        <v/>
      </c>
      <c r="L111" s="23" t="str">
        <f t="shared" si="21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2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5"/>
        <v/>
      </c>
      <c r="G112" s="29" t="str">
        <f t="shared" si="16"/>
        <v/>
      </c>
      <c r="H112" s="20" t="str">
        <f t="shared" si="17"/>
        <v/>
      </c>
      <c r="I112" s="20" t="str">
        <f t="shared" si="18"/>
        <v/>
      </c>
      <c r="J112" s="20" t="str">
        <f t="shared" si="19"/>
        <v/>
      </c>
      <c r="K112" s="31" t="str">
        <f t="shared" si="20"/>
        <v/>
      </c>
      <c r="L112" s="23" t="str">
        <f t="shared" si="21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2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5"/>
        <v/>
      </c>
      <c r="G113" s="29" t="str">
        <f t="shared" si="16"/>
        <v/>
      </c>
      <c r="H113" s="20" t="str">
        <f t="shared" si="17"/>
        <v/>
      </c>
      <c r="I113" s="20" t="str">
        <f t="shared" si="18"/>
        <v/>
      </c>
      <c r="J113" s="20" t="str">
        <f t="shared" si="19"/>
        <v/>
      </c>
      <c r="K113" s="31" t="str">
        <f t="shared" si="20"/>
        <v/>
      </c>
      <c r="L113" s="23" t="str">
        <f t="shared" si="21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2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5"/>
        <v/>
      </c>
      <c r="G114" s="29" t="str">
        <f t="shared" si="16"/>
        <v/>
      </c>
      <c r="H114" s="20" t="str">
        <f t="shared" si="17"/>
        <v/>
      </c>
      <c r="I114" s="20" t="str">
        <f t="shared" si="18"/>
        <v/>
      </c>
      <c r="J114" s="20" t="str">
        <f t="shared" si="19"/>
        <v/>
      </c>
      <c r="K114" s="31" t="str">
        <f t="shared" si="20"/>
        <v/>
      </c>
      <c r="L114" s="23" t="str">
        <f t="shared" si="21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2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5"/>
        <v/>
      </c>
      <c r="G115" s="29" t="str">
        <f t="shared" si="16"/>
        <v/>
      </c>
      <c r="H115" s="20" t="str">
        <f t="shared" si="17"/>
        <v/>
      </c>
      <c r="I115" s="20" t="str">
        <f t="shared" si="18"/>
        <v/>
      </c>
      <c r="J115" s="20" t="str">
        <f t="shared" si="19"/>
        <v/>
      </c>
      <c r="K115" s="31" t="str">
        <f t="shared" si="20"/>
        <v/>
      </c>
      <c r="L115" s="23" t="str">
        <f t="shared" si="21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2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5"/>
        <v/>
      </c>
      <c r="G116" s="29" t="str">
        <f t="shared" si="16"/>
        <v/>
      </c>
      <c r="H116" s="20" t="str">
        <f t="shared" si="17"/>
        <v/>
      </c>
      <c r="I116" s="20" t="str">
        <f t="shared" si="18"/>
        <v/>
      </c>
      <c r="J116" s="20" t="str">
        <f t="shared" si="19"/>
        <v/>
      </c>
      <c r="K116" s="31" t="str">
        <f t="shared" si="20"/>
        <v/>
      </c>
      <c r="L116" s="23" t="str">
        <f t="shared" si="21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2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5"/>
        <v/>
      </c>
      <c r="G117" s="29" t="str">
        <f t="shared" si="16"/>
        <v/>
      </c>
      <c r="H117" s="20" t="str">
        <f t="shared" si="17"/>
        <v/>
      </c>
      <c r="I117" s="20" t="str">
        <f t="shared" si="18"/>
        <v/>
      </c>
      <c r="J117" s="20" t="str">
        <f t="shared" si="19"/>
        <v/>
      </c>
      <c r="K117" s="31" t="str">
        <f t="shared" si="20"/>
        <v/>
      </c>
      <c r="L117" s="23" t="str">
        <f t="shared" si="21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2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5"/>
        <v/>
      </c>
      <c r="G118" s="29" t="str">
        <f t="shared" si="16"/>
        <v/>
      </c>
      <c r="H118" s="20" t="str">
        <f t="shared" si="17"/>
        <v/>
      </c>
      <c r="I118" s="20" t="str">
        <f t="shared" si="18"/>
        <v/>
      </c>
      <c r="J118" s="20" t="str">
        <f t="shared" si="19"/>
        <v/>
      </c>
      <c r="K118" s="31" t="str">
        <f t="shared" si="20"/>
        <v/>
      </c>
      <c r="L118" s="23" t="str">
        <f t="shared" si="21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2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5"/>
        <v/>
      </c>
      <c r="G119" s="29" t="str">
        <f t="shared" si="16"/>
        <v/>
      </c>
      <c r="H119" s="20" t="str">
        <f t="shared" si="17"/>
        <v/>
      </c>
      <c r="I119" s="20" t="str">
        <f t="shared" si="18"/>
        <v/>
      </c>
      <c r="J119" s="20" t="str">
        <f t="shared" si="19"/>
        <v/>
      </c>
      <c r="K119" s="31" t="str">
        <f t="shared" si="20"/>
        <v/>
      </c>
      <c r="L119" s="23" t="str">
        <f t="shared" si="21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2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5"/>
        <v/>
      </c>
      <c r="G120" s="29" t="str">
        <f t="shared" si="16"/>
        <v/>
      </c>
      <c r="H120" s="20" t="str">
        <f t="shared" si="17"/>
        <v/>
      </c>
      <c r="I120" s="20" t="str">
        <f t="shared" si="18"/>
        <v/>
      </c>
      <c r="J120" s="20" t="str">
        <f t="shared" si="19"/>
        <v/>
      </c>
      <c r="K120" s="31" t="str">
        <f t="shared" si="20"/>
        <v/>
      </c>
      <c r="L120" s="23" t="str">
        <f t="shared" si="21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2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5"/>
        <v/>
      </c>
      <c r="G121" s="29" t="str">
        <f t="shared" si="16"/>
        <v/>
      </c>
      <c r="H121" s="20" t="str">
        <f t="shared" si="17"/>
        <v/>
      </c>
      <c r="I121" s="20" t="str">
        <f t="shared" si="18"/>
        <v/>
      </c>
      <c r="J121" s="20" t="str">
        <f t="shared" si="19"/>
        <v/>
      </c>
      <c r="K121" s="31" t="str">
        <f t="shared" si="20"/>
        <v/>
      </c>
      <c r="L121" s="23" t="str">
        <f t="shared" si="21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2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5"/>
        <v/>
      </c>
      <c r="G122" s="29" t="str">
        <f t="shared" si="16"/>
        <v/>
      </c>
      <c r="H122" s="20" t="str">
        <f t="shared" si="17"/>
        <v/>
      </c>
      <c r="I122" s="20" t="str">
        <f t="shared" si="18"/>
        <v/>
      </c>
      <c r="J122" s="20" t="str">
        <f t="shared" si="19"/>
        <v/>
      </c>
      <c r="K122" s="31" t="str">
        <f t="shared" si="20"/>
        <v/>
      </c>
      <c r="L122" s="23" t="str">
        <f t="shared" si="21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2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5"/>
        <v/>
      </c>
      <c r="G123" s="29" t="str">
        <f t="shared" si="16"/>
        <v/>
      </c>
      <c r="H123" s="20" t="str">
        <f t="shared" si="17"/>
        <v/>
      </c>
      <c r="I123" s="20" t="str">
        <f t="shared" si="18"/>
        <v/>
      </c>
      <c r="J123" s="20" t="str">
        <f t="shared" si="19"/>
        <v/>
      </c>
      <c r="K123" s="31" t="str">
        <f t="shared" si="20"/>
        <v/>
      </c>
      <c r="L123" s="23" t="str">
        <f t="shared" si="21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2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5"/>
        <v/>
      </c>
      <c r="G124" s="29" t="str">
        <f t="shared" si="16"/>
        <v/>
      </c>
      <c r="H124" s="20" t="str">
        <f t="shared" si="17"/>
        <v/>
      </c>
      <c r="I124" s="20" t="str">
        <f t="shared" si="18"/>
        <v/>
      </c>
      <c r="J124" s="20" t="str">
        <f t="shared" si="19"/>
        <v/>
      </c>
      <c r="K124" s="31" t="str">
        <f t="shared" si="20"/>
        <v/>
      </c>
      <c r="L124" s="23" t="str">
        <f t="shared" si="21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2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5"/>
        <v/>
      </c>
      <c r="G125" s="29" t="str">
        <f t="shared" si="16"/>
        <v/>
      </c>
      <c r="H125" s="20" t="str">
        <f t="shared" si="17"/>
        <v/>
      </c>
      <c r="I125" s="20" t="str">
        <f t="shared" si="18"/>
        <v/>
      </c>
      <c r="J125" s="20" t="str">
        <f t="shared" si="19"/>
        <v/>
      </c>
      <c r="K125" s="31" t="str">
        <f t="shared" si="20"/>
        <v/>
      </c>
      <c r="L125" s="23" t="str">
        <f t="shared" si="21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2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5"/>
        <v/>
      </c>
      <c r="G126" s="29" t="str">
        <f t="shared" si="16"/>
        <v/>
      </c>
      <c r="H126" s="20" t="str">
        <f t="shared" si="17"/>
        <v/>
      </c>
      <c r="I126" s="20" t="str">
        <f t="shared" si="18"/>
        <v/>
      </c>
      <c r="J126" s="20" t="str">
        <f t="shared" si="19"/>
        <v/>
      </c>
      <c r="K126" s="31" t="str">
        <f t="shared" si="20"/>
        <v/>
      </c>
      <c r="L126" s="23" t="str">
        <f t="shared" si="21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2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5"/>
        <v/>
      </c>
      <c r="G127" s="29" t="str">
        <f t="shared" si="16"/>
        <v/>
      </c>
      <c r="H127" s="20" t="str">
        <f t="shared" si="17"/>
        <v/>
      </c>
      <c r="I127" s="20" t="str">
        <f t="shared" si="18"/>
        <v/>
      </c>
      <c r="J127" s="20" t="str">
        <f t="shared" si="19"/>
        <v/>
      </c>
      <c r="K127" s="31" t="str">
        <f t="shared" si="20"/>
        <v/>
      </c>
      <c r="L127" s="23" t="str">
        <f t="shared" si="21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2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5"/>
        <v/>
      </c>
      <c r="G128" s="29" t="str">
        <f t="shared" si="16"/>
        <v/>
      </c>
      <c r="H128" s="20" t="str">
        <f t="shared" si="17"/>
        <v/>
      </c>
      <c r="I128" s="20" t="str">
        <f t="shared" si="18"/>
        <v/>
      </c>
      <c r="J128" s="20" t="str">
        <f t="shared" si="19"/>
        <v/>
      </c>
      <c r="K128" s="31" t="str">
        <f t="shared" si="20"/>
        <v/>
      </c>
      <c r="L128" s="23" t="str">
        <f t="shared" si="21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2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5"/>
        <v/>
      </c>
      <c r="G129" s="29" t="str">
        <f t="shared" si="16"/>
        <v/>
      </c>
      <c r="H129" s="20" t="str">
        <f t="shared" si="17"/>
        <v/>
      </c>
      <c r="I129" s="20" t="str">
        <f t="shared" si="18"/>
        <v/>
      </c>
      <c r="J129" s="20" t="str">
        <f t="shared" si="19"/>
        <v/>
      </c>
      <c r="K129" s="31" t="str">
        <f t="shared" si="20"/>
        <v/>
      </c>
      <c r="L129" s="23" t="str">
        <f t="shared" si="21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2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5"/>
        <v/>
      </c>
      <c r="G130" s="29" t="str">
        <f t="shared" si="16"/>
        <v/>
      </c>
      <c r="H130" s="20" t="str">
        <f t="shared" si="17"/>
        <v/>
      </c>
      <c r="I130" s="20" t="str">
        <f t="shared" si="18"/>
        <v/>
      </c>
      <c r="J130" s="20" t="str">
        <f t="shared" si="19"/>
        <v/>
      </c>
      <c r="K130" s="31" t="str">
        <f t="shared" si="20"/>
        <v/>
      </c>
      <c r="L130" s="23" t="str">
        <f t="shared" si="21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2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5"/>
        <v/>
      </c>
      <c r="G131" s="29" t="str">
        <f t="shared" si="16"/>
        <v/>
      </c>
      <c r="H131" s="20" t="str">
        <f t="shared" si="17"/>
        <v/>
      </c>
      <c r="I131" s="20" t="str">
        <f t="shared" si="18"/>
        <v/>
      </c>
      <c r="J131" s="20" t="str">
        <f t="shared" si="19"/>
        <v/>
      </c>
      <c r="K131" s="31" t="str">
        <f t="shared" si="20"/>
        <v/>
      </c>
      <c r="L131" s="23" t="str">
        <f t="shared" si="21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2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5"/>
        <v/>
      </c>
      <c r="G132" s="29" t="str">
        <f t="shared" si="16"/>
        <v/>
      </c>
      <c r="H132" s="20" t="str">
        <f t="shared" si="17"/>
        <v/>
      </c>
      <c r="I132" s="20" t="str">
        <f t="shared" si="18"/>
        <v/>
      </c>
      <c r="J132" s="20" t="str">
        <f t="shared" si="19"/>
        <v/>
      </c>
      <c r="K132" s="31" t="str">
        <f t="shared" si="20"/>
        <v/>
      </c>
      <c r="L132" s="23" t="str">
        <f t="shared" si="21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2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5"/>
        <v/>
      </c>
      <c r="G133" s="29" t="str">
        <f t="shared" si="16"/>
        <v/>
      </c>
      <c r="H133" s="20" t="str">
        <f t="shared" si="17"/>
        <v/>
      </c>
      <c r="I133" s="20" t="str">
        <f t="shared" si="18"/>
        <v/>
      </c>
      <c r="J133" s="20" t="str">
        <f t="shared" si="19"/>
        <v/>
      </c>
      <c r="K133" s="31" t="str">
        <f t="shared" si="20"/>
        <v/>
      </c>
      <c r="L133" s="23" t="str">
        <f t="shared" si="21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2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5"/>
        <v/>
      </c>
      <c r="G134" s="29" t="str">
        <f t="shared" si="16"/>
        <v/>
      </c>
      <c r="H134" s="20" t="str">
        <f t="shared" si="17"/>
        <v/>
      </c>
      <c r="I134" s="20" t="str">
        <f t="shared" si="18"/>
        <v/>
      </c>
      <c r="J134" s="20" t="str">
        <f t="shared" si="19"/>
        <v/>
      </c>
      <c r="K134" s="31" t="str">
        <f t="shared" si="20"/>
        <v/>
      </c>
      <c r="L134" s="23" t="str">
        <f t="shared" si="21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2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5"/>
        <v/>
      </c>
      <c r="G135" s="29" t="str">
        <f t="shared" si="16"/>
        <v/>
      </c>
      <c r="H135" s="20" t="str">
        <f t="shared" si="17"/>
        <v/>
      </c>
      <c r="I135" s="20" t="str">
        <f t="shared" si="18"/>
        <v/>
      </c>
      <c r="J135" s="20" t="str">
        <f t="shared" si="19"/>
        <v/>
      </c>
      <c r="K135" s="31" t="str">
        <f t="shared" si="20"/>
        <v/>
      </c>
      <c r="L135" s="23" t="str">
        <f t="shared" si="21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2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5"/>
        <v/>
      </c>
      <c r="G136" s="29" t="str">
        <f t="shared" si="16"/>
        <v/>
      </c>
      <c r="H136" s="20" t="str">
        <f t="shared" si="17"/>
        <v/>
      </c>
      <c r="I136" s="20" t="str">
        <f t="shared" si="18"/>
        <v/>
      </c>
      <c r="J136" s="20" t="str">
        <f t="shared" si="19"/>
        <v/>
      </c>
      <c r="K136" s="31" t="str">
        <f t="shared" si="20"/>
        <v/>
      </c>
      <c r="L136" s="23" t="str">
        <f t="shared" si="21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2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3">IF(G137&lt;&gt;"",R137&amp;S137,"")</f>
        <v/>
      </c>
      <c r="G137" s="29" t="str">
        <f t="shared" ref="G137:G199" si="24">IF(AND((S137 &lt;&gt; ""),(S137 &gt;= 0)), ABS(IF(OR((R137=""),(R137="　")), S137, T137)), "")</f>
        <v/>
      </c>
      <c r="H137" s="20" t="str">
        <f t="shared" ref="H137:H199" si="25">IF(OR((R137=""),(R137="　")),IF(G137 &lt;&gt; "", T137, ""),IF(G137 &lt;&gt; "", U137, ""))</f>
        <v/>
      </c>
      <c r="I137" s="20" t="str">
        <f t="shared" ref="I137:I199" si="26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7">IF(G137 &lt;&gt; "", IF(OR((R137=""),(R137="　")), V137, W137),"")</f>
        <v/>
      </c>
      <c r="K137" s="31" t="str">
        <f t="shared" ref="K137:K199" si="28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9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0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3"/>
        <v/>
      </c>
      <c r="G138" s="29" t="str">
        <f t="shared" si="24"/>
        <v/>
      </c>
      <c r="H138" s="20" t="str">
        <f t="shared" si="25"/>
        <v/>
      </c>
      <c r="I138" s="20" t="str">
        <f t="shared" si="26"/>
        <v/>
      </c>
      <c r="J138" s="20" t="str">
        <f t="shared" si="27"/>
        <v/>
      </c>
      <c r="K138" s="31" t="str">
        <f t="shared" si="28"/>
        <v/>
      </c>
      <c r="L138" s="23" t="str">
        <f t="shared" si="29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0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3"/>
        <v/>
      </c>
      <c r="G139" s="29" t="str">
        <f t="shared" si="24"/>
        <v/>
      </c>
      <c r="H139" s="20" t="str">
        <f t="shared" si="25"/>
        <v/>
      </c>
      <c r="I139" s="20" t="str">
        <f t="shared" si="26"/>
        <v/>
      </c>
      <c r="J139" s="20" t="str">
        <f t="shared" si="27"/>
        <v/>
      </c>
      <c r="K139" s="31" t="str">
        <f t="shared" si="28"/>
        <v/>
      </c>
      <c r="L139" s="23" t="str">
        <f t="shared" si="29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0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3"/>
        <v/>
      </c>
      <c r="G140" s="29" t="str">
        <f t="shared" si="24"/>
        <v/>
      </c>
      <c r="H140" s="20" t="str">
        <f t="shared" si="25"/>
        <v/>
      </c>
      <c r="I140" s="20" t="str">
        <f t="shared" si="26"/>
        <v/>
      </c>
      <c r="J140" s="20" t="str">
        <f t="shared" si="27"/>
        <v/>
      </c>
      <c r="K140" s="31" t="str">
        <f t="shared" si="28"/>
        <v/>
      </c>
      <c r="L140" s="23" t="str">
        <f t="shared" si="29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0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3"/>
        <v/>
      </c>
      <c r="G141" s="29" t="str">
        <f t="shared" si="24"/>
        <v/>
      </c>
      <c r="H141" s="20" t="str">
        <f t="shared" si="25"/>
        <v/>
      </c>
      <c r="I141" s="20" t="str">
        <f t="shared" si="26"/>
        <v/>
      </c>
      <c r="J141" s="20" t="str">
        <f t="shared" si="27"/>
        <v/>
      </c>
      <c r="K141" s="31" t="str">
        <f t="shared" si="28"/>
        <v/>
      </c>
      <c r="L141" s="23" t="str">
        <f t="shared" si="29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0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3"/>
        <v/>
      </c>
      <c r="G142" s="29" t="str">
        <f t="shared" si="24"/>
        <v/>
      </c>
      <c r="H142" s="20" t="str">
        <f t="shared" si="25"/>
        <v/>
      </c>
      <c r="I142" s="20" t="str">
        <f t="shared" si="26"/>
        <v/>
      </c>
      <c r="J142" s="20" t="str">
        <f t="shared" si="27"/>
        <v/>
      </c>
      <c r="K142" s="31" t="str">
        <f t="shared" si="28"/>
        <v/>
      </c>
      <c r="L142" s="23" t="str">
        <f t="shared" si="29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0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3"/>
        <v/>
      </c>
      <c r="G143" s="29" t="str">
        <f t="shared" si="24"/>
        <v/>
      </c>
      <c r="H143" s="20" t="str">
        <f t="shared" si="25"/>
        <v/>
      </c>
      <c r="I143" s="20" t="str">
        <f t="shared" si="26"/>
        <v/>
      </c>
      <c r="J143" s="20" t="str">
        <f t="shared" si="27"/>
        <v/>
      </c>
      <c r="K143" s="31" t="str">
        <f t="shared" si="28"/>
        <v/>
      </c>
      <c r="L143" s="23" t="str">
        <f t="shared" si="29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0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3"/>
        <v/>
      </c>
      <c r="G144" s="29" t="str">
        <f t="shared" si="24"/>
        <v/>
      </c>
      <c r="H144" s="20" t="str">
        <f t="shared" si="25"/>
        <v/>
      </c>
      <c r="I144" s="20" t="str">
        <f t="shared" si="26"/>
        <v/>
      </c>
      <c r="J144" s="20" t="str">
        <f t="shared" si="27"/>
        <v/>
      </c>
      <c r="K144" s="31" t="str">
        <f t="shared" si="28"/>
        <v/>
      </c>
      <c r="L144" s="23" t="str">
        <f t="shared" si="29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0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3"/>
        <v/>
      </c>
      <c r="G145" s="29" t="str">
        <f t="shared" si="24"/>
        <v/>
      </c>
      <c r="H145" s="20" t="str">
        <f t="shared" si="25"/>
        <v/>
      </c>
      <c r="I145" s="20" t="str">
        <f t="shared" si="26"/>
        <v/>
      </c>
      <c r="J145" s="20" t="str">
        <f t="shared" si="27"/>
        <v/>
      </c>
      <c r="K145" s="31" t="str">
        <f t="shared" si="28"/>
        <v/>
      </c>
      <c r="L145" s="23" t="str">
        <f t="shared" si="29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0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3"/>
        <v/>
      </c>
      <c r="G146" s="29" t="str">
        <f t="shared" si="24"/>
        <v/>
      </c>
      <c r="H146" s="20" t="str">
        <f t="shared" si="25"/>
        <v/>
      </c>
      <c r="I146" s="20" t="str">
        <f t="shared" si="26"/>
        <v/>
      </c>
      <c r="J146" s="20" t="str">
        <f t="shared" si="27"/>
        <v/>
      </c>
      <c r="K146" s="31" t="str">
        <f t="shared" si="28"/>
        <v/>
      </c>
      <c r="L146" s="23" t="str">
        <f t="shared" si="29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0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3"/>
        <v/>
      </c>
      <c r="G147" s="29" t="str">
        <f t="shared" si="24"/>
        <v/>
      </c>
      <c r="H147" s="20" t="str">
        <f t="shared" si="25"/>
        <v/>
      </c>
      <c r="I147" s="20" t="str">
        <f t="shared" si="26"/>
        <v/>
      </c>
      <c r="J147" s="20" t="str">
        <f t="shared" si="27"/>
        <v/>
      </c>
      <c r="K147" s="31" t="str">
        <f t="shared" si="28"/>
        <v/>
      </c>
      <c r="L147" s="23" t="str">
        <f t="shared" si="29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0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3"/>
        <v/>
      </c>
      <c r="G148" s="29" t="str">
        <f t="shared" si="24"/>
        <v/>
      </c>
      <c r="H148" s="20" t="str">
        <f t="shared" si="25"/>
        <v/>
      </c>
      <c r="I148" s="20" t="str">
        <f t="shared" si="26"/>
        <v/>
      </c>
      <c r="J148" s="20" t="str">
        <f t="shared" si="27"/>
        <v/>
      </c>
      <c r="K148" s="31" t="str">
        <f t="shared" si="28"/>
        <v/>
      </c>
      <c r="L148" s="23" t="str">
        <f t="shared" si="29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0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3"/>
        <v/>
      </c>
      <c r="G149" s="29" t="str">
        <f t="shared" si="24"/>
        <v/>
      </c>
      <c r="H149" s="20" t="str">
        <f t="shared" si="25"/>
        <v/>
      </c>
      <c r="I149" s="20" t="str">
        <f t="shared" si="26"/>
        <v/>
      </c>
      <c r="J149" s="20" t="str">
        <f t="shared" si="27"/>
        <v/>
      </c>
      <c r="K149" s="31" t="str">
        <f t="shared" si="28"/>
        <v/>
      </c>
      <c r="L149" s="23" t="str">
        <f t="shared" si="29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0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3"/>
        <v/>
      </c>
      <c r="G150" s="29" t="str">
        <f t="shared" si="24"/>
        <v/>
      </c>
      <c r="H150" s="20" t="str">
        <f t="shared" si="25"/>
        <v/>
      </c>
      <c r="I150" s="20" t="str">
        <f t="shared" si="26"/>
        <v/>
      </c>
      <c r="J150" s="20" t="str">
        <f t="shared" si="27"/>
        <v/>
      </c>
      <c r="K150" s="31" t="str">
        <f t="shared" si="28"/>
        <v/>
      </c>
      <c r="L150" s="23" t="str">
        <f t="shared" si="29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0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3"/>
        <v/>
      </c>
      <c r="G151" s="29" t="str">
        <f t="shared" si="24"/>
        <v/>
      </c>
      <c r="H151" s="20" t="str">
        <f t="shared" si="25"/>
        <v/>
      </c>
      <c r="I151" s="20" t="str">
        <f t="shared" si="26"/>
        <v/>
      </c>
      <c r="J151" s="20" t="str">
        <f t="shared" si="27"/>
        <v/>
      </c>
      <c r="K151" s="31" t="str">
        <f t="shared" si="28"/>
        <v/>
      </c>
      <c r="L151" s="23" t="str">
        <f t="shared" si="29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0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3"/>
        <v/>
      </c>
      <c r="G152" s="29" t="str">
        <f t="shared" si="24"/>
        <v/>
      </c>
      <c r="H152" s="20" t="str">
        <f t="shared" si="25"/>
        <v/>
      </c>
      <c r="I152" s="20" t="str">
        <f t="shared" si="26"/>
        <v/>
      </c>
      <c r="J152" s="20" t="str">
        <f t="shared" si="27"/>
        <v/>
      </c>
      <c r="K152" s="31" t="str">
        <f t="shared" si="28"/>
        <v/>
      </c>
      <c r="L152" s="23" t="str">
        <f t="shared" si="29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0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3"/>
        <v/>
      </c>
      <c r="G153" s="29" t="str">
        <f t="shared" si="24"/>
        <v/>
      </c>
      <c r="H153" s="20" t="str">
        <f t="shared" si="25"/>
        <v/>
      </c>
      <c r="I153" s="20" t="str">
        <f t="shared" si="26"/>
        <v/>
      </c>
      <c r="J153" s="20" t="str">
        <f t="shared" si="27"/>
        <v/>
      </c>
      <c r="K153" s="31" t="str">
        <f t="shared" si="28"/>
        <v/>
      </c>
      <c r="L153" s="23" t="str">
        <f t="shared" si="29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0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3"/>
        <v/>
      </c>
      <c r="G154" s="29" t="str">
        <f t="shared" si="24"/>
        <v/>
      </c>
      <c r="H154" s="20" t="str">
        <f t="shared" si="25"/>
        <v/>
      </c>
      <c r="I154" s="20" t="str">
        <f t="shared" si="26"/>
        <v/>
      </c>
      <c r="J154" s="20" t="str">
        <f t="shared" si="27"/>
        <v/>
      </c>
      <c r="K154" s="31" t="str">
        <f t="shared" si="28"/>
        <v/>
      </c>
      <c r="L154" s="23" t="str">
        <f t="shared" si="29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0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3"/>
        <v/>
      </c>
      <c r="G155" s="29" t="str">
        <f t="shared" si="24"/>
        <v/>
      </c>
      <c r="H155" s="20" t="str">
        <f t="shared" si="25"/>
        <v/>
      </c>
      <c r="I155" s="20" t="str">
        <f t="shared" si="26"/>
        <v/>
      </c>
      <c r="J155" s="20" t="str">
        <f t="shared" si="27"/>
        <v/>
      </c>
      <c r="K155" s="31" t="str">
        <f t="shared" si="28"/>
        <v/>
      </c>
      <c r="L155" s="23" t="str">
        <f t="shared" si="29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0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3"/>
        <v/>
      </c>
      <c r="G156" s="29" t="str">
        <f t="shared" si="24"/>
        <v/>
      </c>
      <c r="H156" s="20" t="str">
        <f t="shared" si="25"/>
        <v/>
      </c>
      <c r="I156" s="20" t="str">
        <f t="shared" si="26"/>
        <v/>
      </c>
      <c r="J156" s="20" t="str">
        <f t="shared" si="27"/>
        <v/>
      </c>
      <c r="K156" s="31" t="str">
        <f t="shared" si="28"/>
        <v/>
      </c>
      <c r="L156" s="23" t="str">
        <f t="shared" si="29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0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3"/>
        <v/>
      </c>
      <c r="G157" s="29" t="str">
        <f t="shared" si="24"/>
        <v/>
      </c>
      <c r="H157" s="20" t="str">
        <f t="shared" si="25"/>
        <v/>
      </c>
      <c r="I157" s="20" t="str">
        <f t="shared" si="26"/>
        <v/>
      </c>
      <c r="J157" s="20" t="str">
        <f t="shared" si="27"/>
        <v/>
      </c>
      <c r="K157" s="31" t="str">
        <f t="shared" si="28"/>
        <v/>
      </c>
      <c r="L157" s="23" t="str">
        <f t="shared" si="29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0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3"/>
        <v/>
      </c>
      <c r="G158" s="29" t="str">
        <f t="shared" si="24"/>
        <v/>
      </c>
      <c r="H158" s="20" t="str">
        <f t="shared" si="25"/>
        <v/>
      </c>
      <c r="I158" s="20" t="str">
        <f t="shared" si="26"/>
        <v/>
      </c>
      <c r="J158" s="20" t="str">
        <f t="shared" si="27"/>
        <v/>
      </c>
      <c r="K158" s="31" t="str">
        <f t="shared" si="28"/>
        <v/>
      </c>
      <c r="L158" s="23" t="str">
        <f t="shared" si="29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0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3"/>
        <v/>
      </c>
      <c r="G159" s="29" t="str">
        <f t="shared" si="24"/>
        <v/>
      </c>
      <c r="H159" s="20" t="str">
        <f t="shared" si="25"/>
        <v/>
      </c>
      <c r="I159" s="20" t="str">
        <f t="shared" si="26"/>
        <v/>
      </c>
      <c r="J159" s="20" t="str">
        <f t="shared" si="27"/>
        <v/>
      </c>
      <c r="K159" s="31" t="str">
        <f t="shared" si="28"/>
        <v/>
      </c>
      <c r="L159" s="23" t="str">
        <f t="shared" si="29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0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3"/>
        <v/>
      </c>
      <c r="G160" s="29" t="str">
        <f t="shared" si="24"/>
        <v/>
      </c>
      <c r="H160" s="20" t="str">
        <f t="shared" si="25"/>
        <v/>
      </c>
      <c r="I160" s="20" t="str">
        <f t="shared" si="26"/>
        <v/>
      </c>
      <c r="J160" s="20" t="str">
        <f t="shared" si="27"/>
        <v/>
      </c>
      <c r="K160" s="31" t="str">
        <f t="shared" si="28"/>
        <v/>
      </c>
      <c r="L160" s="23" t="str">
        <f t="shared" si="29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0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3"/>
        <v/>
      </c>
      <c r="G161" s="29" t="str">
        <f t="shared" si="24"/>
        <v/>
      </c>
      <c r="H161" s="20" t="str">
        <f t="shared" si="25"/>
        <v/>
      </c>
      <c r="I161" s="20" t="str">
        <f t="shared" si="26"/>
        <v/>
      </c>
      <c r="J161" s="20" t="str">
        <f t="shared" si="27"/>
        <v/>
      </c>
      <c r="K161" s="31" t="str">
        <f t="shared" si="28"/>
        <v/>
      </c>
      <c r="L161" s="23" t="str">
        <f t="shared" si="29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0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3"/>
        <v/>
      </c>
      <c r="G162" s="29" t="str">
        <f t="shared" si="24"/>
        <v/>
      </c>
      <c r="H162" s="20" t="str">
        <f t="shared" si="25"/>
        <v/>
      </c>
      <c r="I162" s="20" t="str">
        <f t="shared" si="26"/>
        <v/>
      </c>
      <c r="J162" s="20" t="str">
        <f t="shared" si="27"/>
        <v/>
      </c>
      <c r="K162" s="31" t="str">
        <f t="shared" si="28"/>
        <v/>
      </c>
      <c r="L162" s="23" t="str">
        <f t="shared" si="29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0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3"/>
        <v/>
      </c>
      <c r="G163" s="29" t="str">
        <f t="shared" si="24"/>
        <v/>
      </c>
      <c r="H163" s="20" t="str">
        <f t="shared" si="25"/>
        <v/>
      </c>
      <c r="I163" s="20" t="str">
        <f t="shared" si="26"/>
        <v/>
      </c>
      <c r="J163" s="20" t="str">
        <f t="shared" si="27"/>
        <v/>
      </c>
      <c r="K163" s="31" t="str">
        <f t="shared" si="28"/>
        <v/>
      </c>
      <c r="L163" s="23" t="str">
        <f t="shared" si="29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0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3"/>
        <v/>
      </c>
      <c r="G164" s="29" t="str">
        <f t="shared" si="24"/>
        <v/>
      </c>
      <c r="H164" s="20" t="str">
        <f t="shared" si="25"/>
        <v/>
      </c>
      <c r="I164" s="20" t="str">
        <f t="shared" si="26"/>
        <v/>
      </c>
      <c r="J164" s="20" t="str">
        <f t="shared" si="27"/>
        <v/>
      </c>
      <c r="K164" s="31" t="str">
        <f t="shared" si="28"/>
        <v/>
      </c>
      <c r="L164" s="23" t="str">
        <f t="shared" si="29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0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3"/>
        <v/>
      </c>
      <c r="G165" s="29" t="str">
        <f t="shared" si="24"/>
        <v/>
      </c>
      <c r="H165" s="20" t="str">
        <f t="shared" si="25"/>
        <v/>
      </c>
      <c r="I165" s="20" t="str">
        <f t="shared" si="26"/>
        <v/>
      </c>
      <c r="J165" s="20" t="str">
        <f t="shared" si="27"/>
        <v/>
      </c>
      <c r="K165" s="31" t="str">
        <f t="shared" si="28"/>
        <v/>
      </c>
      <c r="L165" s="23" t="str">
        <f t="shared" si="29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0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3"/>
        <v/>
      </c>
      <c r="G166" s="29" t="str">
        <f t="shared" si="24"/>
        <v/>
      </c>
      <c r="H166" s="20" t="str">
        <f t="shared" si="25"/>
        <v/>
      </c>
      <c r="I166" s="20" t="str">
        <f t="shared" si="26"/>
        <v/>
      </c>
      <c r="J166" s="20" t="str">
        <f t="shared" si="27"/>
        <v/>
      </c>
      <c r="K166" s="31" t="str">
        <f t="shared" si="28"/>
        <v/>
      </c>
      <c r="L166" s="23" t="str">
        <f t="shared" si="29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0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3"/>
        <v/>
      </c>
      <c r="G167" s="29" t="str">
        <f t="shared" si="24"/>
        <v/>
      </c>
      <c r="H167" s="20" t="str">
        <f t="shared" si="25"/>
        <v/>
      </c>
      <c r="I167" s="20" t="str">
        <f t="shared" si="26"/>
        <v/>
      </c>
      <c r="J167" s="20" t="str">
        <f t="shared" si="27"/>
        <v/>
      </c>
      <c r="K167" s="31" t="str">
        <f t="shared" si="28"/>
        <v/>
      </c>
      <c r="L167" s="23" t="str">
        <f t="shared" si="29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0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3"/>
        <v/>
      </c>
      <c r="G168" s="29" t="str">
        <f t="shared" si="24"/>
        <v/>
      </c>
      <c r="H168" s="20" t="str">
        <f t="shared" si="25"/>
        <v/>
      </c>
      <c r="I168" s="20" t="str">
        <f t="shared" si="26"/>
        <v/>
      </c>
      <c r="J168" s="20" t="str">
        <f t="shared" si="27"/>
        <v/>
      </c>
      <c r="K168" s="31" t="str">
        <f t="shared" si="28"/>
        <v/>
      </c>
      <c r="L168" s="23" t="str">
        <f t="shared" si="29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0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3"/>
        <v/>
      </c>
      <c r="G169" s="29" t="str">
        <f t="shared" si="24"/>
        <v/>
      </c>
      <c r="H169" s="20" t="str">
        <f t="shared" si="25"/>
        <v/>
      </c>
      <c r="I169" s="20" t="str">
        <f t="shared" si="26"/>
        <v/>
      </c>
      <c r="J169" s="20" t="str">
        <f t="shared" si="27"/>
        <v/>
      </c>
      <c r="K169" s="31" t="str">
        <f t="shared" si="28"/>
        <v/>
      </c>
      <c r="L169" s="23" t="str">
        <f t="shared" si="29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0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3"/>
        <v/>
      </c>
      <c r="G170" s="29" t="str">
        <f t="shared" si="24"/>
        <v/>
      </c>
      <c r="H170" s="20" t="str">
        <f t="shared" si="25"/>
        <v/>
      </c>
      <c r="I170" s="20" t="str">
        <f t="shared" si="26"/>
        <v/>
      </c>
      <c r="J170" s="20" t="str">
        <f t="shared" si="27"/>
        <v/>
      </c>
      <c r="K170" s="31" t="str">
        <f t="shared" si="28"/>
        <v/>
      </c>
      <c r="L170" s="23" t="str">
        <f t="shared" si="29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0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3"/>
        <v/>
      </c>
      <c r="G171" s="29" t="str">
        <f t="shared" si="24"/>
        <v/>
      </c>
      <c r="H171" s="20" t="str">
        <f t="shared" si="25"/>
        <v/>
      </c>
      <c r="I171" s="20" t="str">
        <f t="shared" si="26"/>
        <v/>
      </c>
      <c r="J171" s="20" t="str">
        <f t="shared" si="27"/>
        <v/>
      </c>
      <c r="K171" s="31" t="str">
        <f t="shared" si="28"/>
        <v/>
      </c>
      <c r="L171" s="23" t="str">
        <f t="shared" si="29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0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3"/>
        <v/>
      </c>
      <c r="G172" s="29" t="str">
        <f t="shared" si="24"/>
        <v/>
      </c>
      <c r="H172" s="20" t="str">
        <f t="shared" si="25"/>
        <v/>
      </c>
      <c r="I172" s="20" t="str">
        <f t="shared" si="26"/>
        <v/>
      </c>
      <c r="J172" s="20" t="str">
        <f t="shared" si="27"/>
        <v/>
      </c>
      <c r="K172" s="31" t="str">
        <f t="shared" si="28"/>
        <v/>
      </c>
      <c r="L172" s="23" t="str">
        <f t="shared" si="29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0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3"/>
        <v/>
      </c>
      <c r="G173" s="29" t="str">
        <f t="shared" si="24"/>
        <v/>
      </c>
      <c r="H173" s="20" t="str">
        <f t="shared" si="25"/>
        <v/>
      </c>
      <c r="I173" s="20" t="str">
        <f t="shared" si="26"/>
        <v/>
      </c>
      <c r="J173" s="20" t="str">
        <f t="shared" si="27"/>
        <v/>
      </c>
      <c r="K173" s="31" t="str">
        <f t="shared" si="28"/>
        <v/>
      </c>
      <c r="L173" s="23" t="str">
        <f t="shared" si="29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0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3"/>
        <v/>
      </c>
      <c r="G174" s="29" t="str">
        <f t="shared" si="24"/>
        <v/>
      </c>
      <c r="H174" s="20" t="str">
        <f t="shared" si="25"/>
        <v/>
      </c>
      <c r="I174" s="20" t="str">
        <f t="shared" si="26"/>
        <v/>
      </c>
      <c r="J174" s="20" t="str">
        <f t="shared" si="27"/>
        <v/>
      </c>
      <c r="K174" s="31" t="str">
        <f t="shared" si="28"/>
        <v/>
      </c>
      <c r="L174" s="23" t="str">
        <f t="shared" si="29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0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3"/>
        <v/>
      </c>
      <c r="G175" s="29" t="str">
        <f t="shared" si="24"/>
        <v/>
      </c>
      <c r="H175" s="20" t="str">
        <f t="shared" si="25"/>
        <v/>
      </c>
      <c r="I175" s="20" t="str">
        <f t="shared" si="26"/>
        <v/>
      </c>
      <c r="J175" s="20" t="str">
        <f t="shared" si="27"/>
        <v/>
      </c>
      <c r="K175" s="31" t="str">
        <f t="shared" si="28"/>
        <v/>
      </c>
      <c r="L175" s="23" t="str">
        <f t="shared" si="29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0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3"/>
        <v/>
      </c>
      <c r="G176" s="29" t="str">
        <f t="shared" si="24"/>
        <v/>
      </c>
      <c r="H176" s="20" t="str">
        <f t="shared" si="25"/>
        <v/>
      </c>
      <c r="I176" s="20" t="str">
        <f t="shared" si="26"/>
        <v/>
      </c>
      <c r="J176" s="20" t="str">
        <f t="shared" si="27"/>
        <v/>
      </c>
      <c r="K176" s="31" t="str">
        <f t="shared" si="28"/>
        <v/>
      </c>
      <c r="L176" s="23" t="str">
        <f t="shared" si="29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0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3"/>
        <v/>
      </c>
      <c r="G177" s="29" t="str">
        <f t="shared" si="24"/>
        <v/>
      </c>
      <c r="H177" s="20" t="str">
        <f t="shared" si="25"/>
        <v/>
      </c>
      <c r="I177" s="20" t="str">
        <f t="shared" si="26"/>
        <v/>
      </c>
      <c r="J177" s="20" t="str">
        <f t="shared" si="27"/>
        <v/>
      </c>
      <c r="K177" s="31" t="str">
        <f t="shared" si="28"/>
        <v/>
      </c>
      <c r="L177" s="23" t="str">
        <f t="shared" si="29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0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3"/>
        <v/>
      </c>
      <c r="G178" s="29" t="str">
        <f t="shared" si="24"/>
        <v/>
      </c>
      <c r="H178" s="20" t="str">
        <f t="shared" si="25"/>
        <v/>
      </c>
      <c r="I178" s="20" t="str">
        <f t="shared" si="26"/>
        <v/>
      </c>
      <c r="J178" s="20" t="str">
        <f t="shared" si="27"/>
        <v/>
      </c>
      <c r="K178" s="31" t="str">
        <f t="shared" si="28"/>
        <v/>
      </c>
      <c r="L178" s="23" t="str">
        <f t="shared" si="29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0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3"/>
        <v/>
      </c>
      <c r="G179" s="29" t="str">
        <f t="shared" si="24"/>
        <v/>
      </c>
      <c r="H179" s="20" t="str">
        <f t="shared" si="25"/>
        <v/>
      </c>
      <c r="I179" s="20" t="str">
        <f t="shared" si="26"/>
        <v/>
      </c>
      <c r="J179" s="20" t="str">
        <f t="shared" si="27"/>
        <v/>
      </c>
      <c r="K179" s="31" t="str">
        <f t="shared" si="28"/>
        <v/>
      </c>
      <c r="L179" s="23" t="str">
        <f t="shared" si="29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0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3"/>
        <v/>
      </c>
      <c r="G180" s="29" t="str">
        <f t="shared" si="24"/>
        <v/>
      </c>
      <c r="H180" s="20" t="str">
        <f t="shared" si="25"/>
        <v/>
      </c>
      <c r="I180" s="20" t="str">
        <f t="shared" si="26"/>
        <v/>
      </c>
      <c r="J180" s="20" t="str">
        <f t="shared" si="27"/>
        <v/>
      </c>
      <c r="K180" s="31" t="str">
        <f t="shared" si="28"/>
        <v/>
      </c>
      <c r="L180" s="23" t="str">
        <f t="shared" si="29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0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3"/>
        <v/>
      </c>
      <c r="G181" s="29" t="str">
        <f t="shared" si="24"/>
        <v/>
      </c>
      <c r="H181" s="20" t="str">
        <f t="shared" si="25"/>
        <v/>
      </c>
      <c r="I181" s="20" t="str">
        <f t="shared" si="26"/>
        <v/>
      </c>
      <c r="J181" s="20" t="str">
        <f t="shared" si="27"/>
        <v/>
      </c>
      <c r="K181" s="31" t="str">
        <f t="shared" si="28"/>
        <v/>
      </c>
      <c r="L181" s="23" t="str">
        <f t="shared" si="29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0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3"/>
        <v/>
      </c>
      <c r="G182" s="29" t="str">
        <f t="shared" si="24"/>
        <v/>
      </c>
      <c r="H182" s="20" t="str">
        <f t="shared" si="25"/>
        <v/>
      </c>
      <c r="I182" s="20" t="str">
        <f t="shared" si="26"/>
        <v/>
      </c>
      <c r="J182" s="20" t="str">
        <f t="shared" si="27"/>
        <v/>
      </c>
      <c r="K182" s="31" t="str">
        <f t="shared" si="28"/>
        <v/>
      </c>
      <c r="L182" s="23" t="str">
        <f t="shared" si="29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0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3"/>
        <v/>
      </c>
      <c r="G183" s="29" t="str">
        <f t="shared" si="24"/>
        <v/>
      </c>
      <c r="H183" s="20" t="str">
        <f t="shared" si="25"/>
        <v/>
      </c>
      <c r="I183" s="20" t="str">
        <f t="shared" si="26"/>
        <v/>
      </c>
      <c r="J183" s="20" t="str">
        <f t="shared" si="27"/>
        <v/>
      </c>
      <c r="K183" s="31" t="str">
        <f t="shared" si="28"/>
        <v/>
      </c>
      <c r="L183" s="23" t="str">
        <f t="shared" si="29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0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3"/>
        <v/>
      </c>
      <c r="G184" s="29" t="str">
        <f t="shared" si="24"/>
        <v/>
      </c>
      <c r="H184" s="20" t="str">
        <f t="shared" si="25"/>
        <v/>
      </c>
      <c r="I184" s="20" t="str">
        <f t="shared" si="26"/>
        <v/>
      </c>
      <c r="J184" s="20" t="str">
        <f t="shared" si="27"/>
        <v/>
      </c>
      <c r="K184" s="31" t="str">
        <f t="shared" si="28"/>
        <v/>
      </c>
      <c r="L184" s="23" t="str">
        <f t="shared" si="29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0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3"/>
        <v/>
      </c>
      <c r="G185" s="29" t="str">
        <f t="shared" si="24"/>
        <v/>
      </c>
      <c r="H185" s="20" t="str">
        <f t="shared" si="25"/>
        <v/>
      </c>
      <c r="I185" s="20" t="str">
        <f t="shared" si="26"/>
        <v/>
      </c>
      <c r="J185" s="20" t="str">
        <f t="shared" si="27"/>
        <v/>
      </c>
      <c r="K185" s="31" t="str">
        <f t="shared" si="28"/>
        <v/>
      </c>
      <c r="L185" s="23" t="str">
        <f t="shared" si="29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0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3"/>
        <v/>
      </c>
      <c r="G186" s="29" t="str">
        <f t="shared" si="24"/>
        <v/>
      </c>
      <c r="H186" s="20" t="str">
        <f t="shared" si="25"/>
        <v/>
      </c>
      <c r="I186" s="20" t="str">
        <f t="shared" si="26"/>
        <v/>
      </c>
      <c r="J186" s="20" t="str">
        <f t="shared" si="27"/>
        <v/>
      </c>
      <c r="K186" s="31" t="str">
        <f t="shared" si="28"/>
        <v/>
      </c>
      <c r="L186" s="23" t="str">
        <f t="shared" si="29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0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3"/>
        <v/>
      </c>
      <c r="G187" s="29" t="str">
        <f t="shared" si="24"/>
        <v/>
      </c>
      <c r="H187" s="20" t="str">
        <f t="shared" si="25"/>
        <v/>
      </c>
      <c r="I187" s="20" t="str">
        <f t="shared" si="26"/>
        <v/>
      </c>
      <c r="J187" s="20" t="str">
        <f t="shared" si="27"/>
        <v/>
      </c>
      <c r="K187" s="31" t="str">
        <f t="shared" si="28"/>
        <v/>
      </c>
      <c r="L187" s="23" t="str">
        <f t="shared" si="29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0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3"/>
        <v/>
      </c>
      <c r="G188" s="29" t="str">
        <f t="shared" si="24"/>
        <v/>
      </c>
      <c r="H188" s="20" t="str">
        <f t="shared" si="25"/>
        <v/>
      </c>
      <c r="I188" s="20" t="str">
        <f t="shared" si="26"/>
        <v/>
      </c>
      <c r="J188" s="20" t="str">
        <f t="shared" si="27"/>
        <v/>
      </c>
      <c r="K188" s="31" t="str">
        <f t="shared" si="28"/>
        <v/>
      </c>
      <c r="L188" s="23" t="str">
        <f t="shared" si="29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0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3"/>
        <v/>
      </c>
      <c r="G189" s="29" t="str">
        <f t="shared" si="24"/>
        <v/>
      </c>
      <c r="H189" s="20" t="str">
        <f t="shared" si="25"/>
        <v/>
      </c>
      <c r="I189" s="20" t="str">
        <f t="shared" si="26"/>
        <v/>
      </c>
      <c r="J189" s="20" t="str">
        <f t="shared" si="27"/>
        <v/>
      </c>
      <c r="K189" s="31" t="str">
        <f t="shared" si="28"/>
        <v/>
      </c>
      <c r="L189" s="23" t="str">
        <f t="shared" si="29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0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3"/>
        <v/>
      </c>
      <c r="G190" s="29" t="str">
        <f t="shared" si="24"/>
        <v/>
      </c>
      <c r="H190" s="20" t="str">
        <f t="shared" si="25"/>
        <v/>
      </c>
      <c r="I190" s="20" t="str">
        <f t="shared" si="26"/>
        <v/>
      </c>
      <c r="J190" s="20" t="str">
        <f t="shared" si="27"/>
        <v/>
      </c>
      <c r="K190" s="31" t="str">
        <f t="shared" si="28"/>
        <v/>
      </c>
      <c r="L190" s="23" t="str">
        <f t="shared" si="29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0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3"/>
        <v/>
      </c>
      <c r="G191" s="29" t="str">
        <f t="shared" si="24"/>
        <v/>
      </c>
      <c r="H191" s="20" t="str">
        <f t="shared" si="25"/>
        <v/>
      </c>
      <c r="I191" s="20" t="str">
        <f t="shared" si="26"/>
        <v/>
      </c>
      <c r="J191" s="20" t="str">
        <f t="shared" si="27"/>
        <v/>
      </c>
      <c r="K191" s="31" t="str">
        <f t="shared" si="28"/>
        <v/>
      </c>
      <c r="L191" s="23" t="str">
        <f t="shared" si="29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0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3"/>
        <v/>
      </c>
      <c r="G192" s="29" t="str">
        <f t="shared" si="24"/>
        <v/>
      </c>
      <c r="H192" s="20" t="str">
        <f t="shared" si="25"/>
        <v/>
      </c>
      <c r="I192" s="20" t="str">
        <f t="shared" si="26"/>
        <v/>
      </c>
      <c r="J192" s="20" t="str">
        <f t="shared" si="27"/>
        <v/>
      </c>
      <c r="K192" s="31" t="str">
        <f t="shared" si="28"/>
        <v/>
      </c>
      <c r="L192" s="23" t="str">
        <f t="shared" si="29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0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3"/>
        <v/>
      </c>
      <c r="G193" s="29" t="str">
        <f t="shared" si="24"/>
        <v/>
      </c>
      <c r="H193" s="20" t="str">
        <f t="shared" si="25"/>
        <v/>
      </c>
      <c r="I193" s="20" t="str">
        <f t="shared" si="26"/>
        <v/>
      </c>
      <c r="J193" s="20" t="str">
        <f t="shared" si="27"/>
        <v/>
      </c>
      <c r="K193" s="31" t="str">
        <f t="shared" si="28"/>
        <v/>
      </c>
      <c r="L193" s="23" t="str">
        <f t="shared" si="29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0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3"/>
        <v/>
      </c>
      <c r="G194" s="29" t="str">
        <f t="shared" si="24"/>
        <v/>
      </c>
      <c r="H194" s="20" t="str">
        <f t="shared" si="25"/>
        <v/>
      </c>
      <c r="I194" s="20" t="str">
        <f t="shared" si="26"/>
        <v/>
      </c>
      <c r="J194" s="20" t="str">
        <f t="shared" si="27"/>
        <v/>
      </c>
      <c r="K194" s="31" t="str">
        <f t="shared" si="28"/>
        <v/>
      </c>
      <c r="L194" s="23" t="str">
        <f t="shared" si="29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0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3"/>
        <v/>
      </c>
      <c r="G195" s="29" t="str">
        <f t="shared" si="24"/>
        <v/>
      </c>
      <c r="H195" s="20" t="str">
        <f t="shared" si="25"/>
        <v/>
      </c>
      <c r="I195" s="20" t="str">
        <f t="shared" si="26"/>
        <v/>
      </c>
      <c r="J195" s="20" t="str">
        <f t="shared" si="27"/>
        <v/>
      </c>
      <c r="K195" s="31" t="str">
        <f t="shared" si="28"/>
        <v/>
      </c>
      <c r="L195" s="23" t="str">
        <f t="shared" si="29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0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3"/>
        <v/>
      </c>
      <c r="G196" s="29" t="str">
        <f t="shared" si="24"/>
        <v/>
      </c>
      <c r="H196" s="20" t="str">
        <f t="shared" si="25"/>
        <v/>
      </c>
      <c r="I196" s="20" t="str">
        <f t="shared" si="26"/>
        <v/>
      </c>
      <c r="J196" s="20" t="str">
        <f t="shared" si="27"/>
        <v/>
      </c>
      <c r="K196" s="31" t="str">
        <f t="shared" si="28"/>
        <v/>
      </c>
      <c r="L196" s="23" t="str">
        <f t="shared" si="29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0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3"/>
        <v/>
      </c>
      <c r="G197" s="29" t="str">
        <f t="shared" si="24"/>
        <v/>
      </c>
      <c r="H197" s="20" t="str">
        <f t="shared" si="25"/>
        <v/>
      </c>
      <c r="I197" s="20" t="str">
        <f t="shared" si="26"/>
        <v/>
      </c>
      <c r="J197" s="20" t="str">
        <f t="shared" si="27"/>
        <v/>
      </c>
      <c r="K197" s="31" t="str">
        <f t="shared" si="28"/>
        <v/>
      </c>
      <c r="L197" s="23" t="str">
        <f t="shared" si="29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0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3"/>
        <v/>
      </c>
      <c r="G198" s="29" t="str">
        <f t="shared" si="24"/>
        <v/>
      </c>
      <c r="H198" s="20" t="str">
        <f t="shared" si="25"/>
        <v/>
      </c>
      <c r="I198" s="20" t="str">
        <f t="shared" si="26"/>
        <v/>
      </c>
      <c r="J198" s="20" t="str">
        <f t="shared" si="27"/>
        <v/>
      </c>
      <c r="K198" s="31" t="str">
        <f t="shared" si="28"/>
        <v/>
      </c>
      <c r="L198" s="23" t="str">
        <f t="shared" si="29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0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3"/>
        <v/>
      </c>
      <c r="G199" s="29" t="str">
        <f t="shared" si="24"/>
        <v/>
      </c>
      <c r="H199" s="20" t="str">
        <f t="shared" si="25"/>
        <v/>
      </c>
      <c r="I199" s="20" t="str">
        <f t="shared" si="26"/>
        <v/>
      </c>
      <c r="J199" s="20" t="str">
        <f t="shared" si="27"/>
        <v/>
      </c>
      <c r="K199" s="31" t="str">
        <f t="shared" si="28"/>
        <v/>
      </c>
      <c r="L199" s="23" t="str">
        <f t="shared" si="29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0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1">IF(G200&lt;&gt;"",R200&amp;S200,"")</f>
        <v/>
      </c>
      <c r="G200" s="29" t="str">
        <f t="shared" ref="G200" si="32">IF(AND((S200 &lt;&gt; ""),(S200 &gt;= 0)), ABS(IF(OR((R200=""),(R200="　")), S200, T200)), "")</f>
        <v/>
      </c>
      <c r="H200" s="20" t="str">
        <f t="shared" ref="H200" si="33">IF(OR((R200=""),(R200="　")),IF(G200 &lt;&gt; "", T200, ""),IF(G200 &lt;&gt; "", U200, ""))</f>
        <v/>
      </c>
      <c r="I200" s="20" t="str">
        <f t="shared" ref="I200" si="34">IF(G200 &lt;&gt; "", IF(COUNTIF(IF(OR((R200=""),(R200="　")), U200, V200),"*男*"),"男性",IF(COUNTIF(IF(OR((R200=""),(R200="　")), U200, V200),"*女*"),"女性","ー")),"")</f>
        <v/>
      </c>
      <c r="J200" s="20" t="str">
        <f t="shared" ref="J200" si="35">IF(G200 &lt;&gt; "", IF(OR((R200=""),(R200="　")), V200, W200),"")</f>
        <v/>
      </c>
      <c r="K200" s="31" t="str">
        <f t="shared" ref="K200" si="36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7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8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2023/1/26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99999939001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寒河江市</v>
      </c>
      <c r="H3" s="10" t="str">
        <f>IF(ROW(G1)&gt;MAX(Main!$C$4:$C$1048576),"",INDEX(Main!K$4:K$1048576,MATCH(ROW(G1),Main!$C$4:$C$1048576,0)))</f>
        <v>99999939001医療機関</v>
      </c>
      <c r="I3" s="1">
        <f>IF(H3&lt;&gt;"",IF(ROW(G1)&gt;MAX(Main!$C$4:$C$1048576),"",INDEX(Main!N$4:N$1048576,MATCH(ROW(G1),Main!$C$4:$C$1048576,0))),"")</f>
        <v>99999939001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クラスターNo.939</v>
      </c>
      <c r="M3" s="4" t="str">
        <f>TEXT(IF(ROW(A1)&gt;MAX(Main!$D$4:$D$1048576),"",INDEX(Main!Q$4:Q$1048576,MATCH(ROW(A1),Main!$D$4:$D$1048576,0))), "yyyy/m/d")</f>
        <v>2023/1/26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99999939001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寒河江市</v>
      </c>
      <c r="S3" s="9" t="str">
        <f>IF(ROW(G1)&gt;MAX(Main!$D$4:$D$1048576),"",INDEX(Main!K$4:K$1048576,MATCH(ROW(G1),Main!$D$4:$D$1048576,0)))</f>
        <v>99999939001医療機関</v>
      </c>
      <c r="T3" s="1">
        <f>IF(S3&lt;&gt;"",IF(ROW(G1)&gt;MAX(Main!$D$4:$D$1048576),"",INDEX(Main!N$4:N$1048576,MATCH(ROW(G1),Main!$D$4:$D$1048576,0))),"")</f>
        <v>99999939001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2023/1/26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99999939002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寒河江市</v>
      </c>
      <c r="H4" s="10" t="str">
        <f>IF(ROW(G2)&gt;MAX(Main!$C$4:$C$1048576),"",INDEX(Main!K$4:K$1048576,MATCH(ROW(G2),Main!$C$4:$C$1048576,0)))</f>
        <v>99999939001関連</v>
      </c>
      <c r="I4" s="1">
        <f>IF(H4&lt;&gt;"",IF(ROW(G2)&gt;MAX(Main!$C$4:$C$1048576),"",INDEX(Main!N$4:N$1048576,MATCH(ROW(G2),Main!$C$4:$C$1048576,0))),"")</f>
        <v>99999939001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クラスターNo.939</v>
      </c>
      <c r="M4" s="4" t="str">
        <f>TEXT(IF(ROW(A2)&gt;MAX(Main!$D$4:$D$1048576),"",INDEX(Main!Q$4:Q$1048576,MATCH(ROW(A2),Main!$D$4:$D$1048576,0))), "yyyy/m/d")</f>
        <v>2023/1/26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99999939002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寒河江市</v>
      </c>
      <c r="S4" s="9" t="str">
        <f>IF(ROW(G2)&gt;MAX(Main!$D$4:$D$1048576),"",INDEX(Main!K$4:K$1048576,MATCH(ROW(G2),Main!$D$4:$D$1048576,0)))</f>
        <v>99999939001関連</v>
      </c>
      <c r="T4" s="1">
        <f>IF(S4&lt;&gt;"",IF(ROW(G2)&gt;MAX(Main!$D$4:$D$1048576),"",INDEX(Main!N$4:N$1048576,MATCH(ROW(G2),Main!$D$4:$D$1048576,0))),"")</f>
        <v>99999939001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2023/1/26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99999939003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寒河江市</v>
      </c>
      <c r="H5" s="10" t="str">
        <f>IF(ROW(G3)&gt;MAX(Main!$C$4:$C$1048576),"",INDEX(Main!K$4:K$1048576,MATCH(ROW(G3),Main!$C$4:$C$1048576,0)))</f>
        <v>99999939001関連</v>
      </c>
      <c r="I5" s="1">
        <f>IF(H5&lt;&gt;"",IF(ROW(G3)&gt;MAX(Main!$C$4:$C$1048576),"",INDEX(Main!N$4:N$1048576,MATCH(ROW(G3),Main!$C$4:$C$1048576,0))),"")</f>
        <v>99999939001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クラスターNo.939</v>
      </c>
      <c r="M5" s="4" t="str">
        <f>TEXT(IF(ROW(A3)&gt;MAX(Main!$D$4:$D$1048576),"",INDEX(Main!Q$4:Q$1048576,MATCH(ROW(A3),Main!$D$4:$D$1048576,0))), "yyyy/m/d")</f>
        <v>2023/1/26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99999939003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寒河江市</v>
      </c>
      <c r="S5" s="9" t="str">
        <f>IF(ROW(G3)&gt;MAX(Main!$D$4:$D$1048576),"",INDEX(Main!K$4:K$1048576,MATCH(ROW(G3),Main!$D$4:$D$1048576,0)))</f>
        <v>99999939001関連</v>
      </c>
      <c r="T5" s="1">
        <f>IF(S5&lt;&gt;"",IF(ROW(G3)&gt;MAX(Main!$D$4:$D$1048576),"",INDEX(Main!N$4:N$1048576,MATCH(ROW(G3),Main!$D$4:$D$1048576,0))),"")</f>
        <v>99999939001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2023/1/26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99999939004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寒河江市</v>
      </c>
      <c r="H6" s="10" t="str">
        <f>IF(ROW(G4)&gt;MAX(Main!$C$4:$C$1048576),"",INDEX(Main!K$4:K$1048576,MATCH(ROW(G4),Main!$C$4:$C$1048576,0)))</f>
        <v>99999939001関連</v>
      </c>
      <c r="I6" s="1">
        <f>IF(H6&lt;&gt;"",IF(ROW(G4)&gt;MAX(Main!$C$4:$C$1048576),"",INDEX(Main!N$4:N$1048576,MATCH(ROW(G4),Main!$C$4:$C$1048576,0))),"")</f>
        <v>99999939001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クラスターNo.939</v>
      </c>
      <c r="M6" s="4" t="str">
        <f>TEXT(IF(ROW(A4)&gt;MAX(Main!$D$4:$D$1048576),"",INDEX(Main!Q$4:Q$1048576,MATCH(ROW(A4),Main!$D$4:$D$1048576,0))), "yyyy/m/d")</f>
        <v>2023/1/26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99999939004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寒河江市</v>
      </c>
      <c r="S6" s="9" t="str">
        <f>IF(ROW(G4)&gt;MAX(Main!$D$4:$D$1048576),"",INDEX(Main!K$4:K$1048576,MATCH(ROW(G4),Main!$D$4:$D$1048576,0)))</f>
        <v>99999939001関連</v>
      </c>
      <c r="T6" s="1">
        <f>IF(S6&lt;&gt;"",IF(ROW(G4)&gt;MAX(Main!$D$4:$D$1048576),"",INDEX(Main!N$4:N$1048576,MATCH(ROW(G4),Main!$D$4:$D$1048576,0))),"")</f>
        <v>99999939001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2023/1/26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99999939005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寒河江市</v>
      </c>
      <c r="H7" s="10" t="str">
        <f>IF(ROW(G5)&gt;MAX(Main!$C$4:$C$1048576),"",INDEX(Main!K$4:K$1048576,MATCH(ROW(G5),Main!$C$4:$C$1048576,0)))</f>
        <v>99999939001関連</v>
      </c>
      <c r="I7" s="1">
        <f>IF(H7&lt;&gt;"",IF(ROW(G5)&gt;MAX(Main!$C$4:$C$1048576),"",INDEX(Main!N$4:N$1048576,MATCH(ROW(G5),Main!$C$4:$C$1048576,0))),"")</f>
        <v>99999939001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クラスターNo.939</v>
      </c>
      <c r="M7" s="4" t="str">
        <f>TEXT(IF(ROW(A5)&gt;MAX(Main!$D$4:$D$1048576),"",INDEX(Main!Q$4:Q$1048576,MATCH(ROW(A5),Main!$D$4:$D$1048576,0))), "yyyy/m/d")</f>
        <v>2023/1/26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99999939005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寒河江市</v>
      </c>
      <c r="S7" s="9" t="str">
        <f>IF(ROW(G5)&gt;MAX(Main!$D$4:$D$1048576),"",INDEX(Main!K$4:K$1048576,MATCH(ROW(G5),Main!$D$4:$D$1048576,0)))</f>
        <v>99999939001関連</v>
      </c>
      <c r="T7" s="1">
        <f>IF(S7&lt;&gt;"",IF(ROW(G5)&gt;MAX(Main!$D$4:$D$1048576),"",INDEX(Main!N$4:N$1048576,MATCH(ROW(G5),Main!$D$4:$D$1048576,0))),"")</f>
        <v>99999939001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2023/1/26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99999939006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寒河江市</v>
      </c>
      <c r="H8" s="10" t="str">
        <f>IF(ROW(G6)&gt;MAX(Main!$C$4:$C$1048576),"",INDEX(Main!K$4:K$1048576,MATCH(ROW(G6),Main!$C$4:$C$1048576,0)))</f>
        <v>99999939001関連</v>
      </c>
      <c r="I8" s="1">
        <f>IF(H8&lt;&gt;"",IF(ROW(G6)&gt;MAX(Main!$C$4:$C$1048576),"",INDEX(Main!N$4:N$1048576,MATCH(ROW(G6),Main!$C$4:$C$1048576,0))),"")</f>
        <v>99999939001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クラスターNo.939</v>
      </c>
      <c r="M8" s="4" t="str">
        <f>TEXT(IF(ROW(A6)&gt;MAX(Main!$D$4:$D$1048576),"",INDEX(Main!Q$4:Q$1048576,MATCH(ROW(A6),Main!$D$4:$D$1048576,0))), "yyyy/m/d")</f>
        <v>2023/1/26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99999939006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寒河江市</v>
      </c>
      <c r="S8" s="9" t="str">
        <f>IF(ROW(G6)&gt;MAX(Main!$D$4:$D$1048576),"",INDEX(Main!K$4:K$1048576,MATCH(ROW(G6),Main!$D$4:$D$1048576,0)))</f>
        <v>99999939001関連</v>
      </c>
      <c r="T8" s="1">
        <f>IF(S8&lt;&gt;"",IF(ROW(G6)&gt;MAX(Main!$D$4:$D$1048576),"",INDEX(Main!N$4:N$1048576,MATCH(ROW(G6),Main!$D$4:$D$1048576,0))),"")</f>
        <v>99999939001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2023/1/26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99999940001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99999940001介護施設</v>
      </c>
      <c r="I9" s="1">
        <f>IF(H9&lt;&gt;"",IF(ROW(G7)&gt;MAX(Main!$C$4:$C$1048576),"",INDEX(Main!N$4:N$1048576,MATCH(ROW(G7),Main!$C$4:$C$1048576,0))),"")</f>
        <v>99999940001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介護施設</v>
      </c>
      <c r="K9" s="27" t="str">
        <f t="shared" si="1"/>
        <v>クラスターNo.940</v>
      </c>
      <c r="M9" s="4" t="str">
        <f>TEXT(IF(ROW(A7)&gt;MAX(Main!$D$4:$D$1048576),"",INDEX(Main!Q$4:Q$1048576,MATCH(ROW(A7),Main!$D$4:$D$1048576,0))), "yyyy/m/d")</f>
        <v>2023/1/26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99999940001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99999940001介護施設</v>
      </c>
      <c r="T9" s="1">
        <f>IF(S9&lt;&gt;"",IF(ROW(G7)&gt;MAX(Main!$D$4:$D$1048576),"",INDEX(Main!N$4:N$1048576,MATCH(ROW(G7),Main!$D$4:$D$1048576,0))),"")</f>
        <v>99999940001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介護施設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2023/1/26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99999940002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米沢市</v>
      </c>
      <c r="H10" s="10" t="str">
        <f>IF(ROW(G8)&gt;MAX(Main!$C$4:$C$1048576),"",INDEX(Main!K$4:K$1048576,MATCH(ROW(G8),Main!$C$4:$C$1048576,0)))</f>
        <v>99999940001関連</v>
      </c>
      <c r="I10" s="1">
        <f>IF(H10&lt;&gt;"",IF(ROW(G8)&gt;MAX(Main!$C$4:$C$1048576),"",INDEX(Main!N$4:N$1048576,MATCH(ROW(G8),Main!$C$4:$C$1048576,0))),"")</f>
        <v>99999940001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クラスターNo.940</v>
      </c>
      <c r="M10" s="4" t="str">
        <f>TEXT(IF(ROW(A8)&gt;MAX(Main!$D$4:$D$1048576),"",INDEX(Main!Q$4:Q$1048576,MATCH(ROW(A8),Main!$D$4:$D$1048576,0))), "yyyy/m/d")</f>
        <v>2023/1/26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99999940002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米沢市</v>
      </c>
      <c r="S10" s="9" t="str">
        <f>IF(ROW(G8)&gt;MAX(Main!$D$4:$D$1048576),"",INDEX(Main!K$4:K$1048576,MATCH(ROW(G8),Main!$D$4:$D$1048576,0)))</f>
        <v>99999940001関連</v>
      </c>
      <c r="T10" s="1">
        <f>IF(S10&lt;&gt;"",IF(ROW(G8)&gt;MAX(Main!$D$4:$D$1048576),"",INDEX(Main!N$4:N$1048576,MATCH(ROW(G8),Main!$D$4:$D$1048576,0))),"")</f>
        <v>99999940001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2023/1/26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99999940003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米沢市</v>
      </c>
      <c r="H11" s="10" t="str">
        <f>IF(ROW(G9)&gt;MAX(Main!$C$4:$C$1048576),"",INDEX(Main!K$4:K$1048576,MATCH(ROW(G9),Main!$C$4:$C$1048576,0)))</f>
        <v>99999940001関連</v>
      </c>
      <c r="I11" s="1">
        <f>IF(H11&lt;&gt;"",IF(ROW(G9)&gt;MAX(Main!$C$4:$C$1048576),"",INDEX(Main!N$4:N$1048576,MATCH(ROW(G9),Main!$C$4:$C$1048576,0))),"")</f>
        <v>99999940001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クラスターNo.940</v>
      </c>
      <c r="M11" s="4" t="str">
        <f>TEXT(IF(ROW(A9)&gt;MAX(Main!$D$4:$D$1048576),"",INDEX(Main!Q$4:Q$1048576,MATCH(ROW(A9),Main!$D$4:$D$1048576,0))), "yyyy/m/d")</f>
        <v>2023/1/26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99999940003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米沢市</v>
      </c>
      <c r="S11" s="9" t="str">
        <f>IF(ROW(G9)&gt;MAX(Main!$D$4:$D$1048576),"",INDEX(Main!K$4:K$1048576,MATCH(ROW(G9),Main!$D$4:$D$1048576,0)))</f>
        <v>99999940001関連</v>
      </c>
      <c r="T11" s="1">
        <f>IF(S11&lt;&gt;"",IF(ROW(G9)&gt;MAX(Main!$D$4:$D$1048576),"",INDEX(Main!N$4:N$1048576,MATCH(ROW(G9),Main!$D$4:$D$1048576,0))),"")</f>
        <v>99999940001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2023/1/26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99999940004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米沢市</v>
      </c>
      <c r="H12" s="10" t="str">
        <f>IF(ROW(G10)&gt;MAX(Main!$C$4:$C$1048576),"",INDEX(Main!K$4:K$1048576,MATCH(ROW(G10),Main!$C$4:$C$1048576,0)))</f>
        <v>99999940001関連</v>
      </c>
      <c r="I12" s="1">
        <f>IF(H12&lt;&gt;"",IF(ROW(G10)&gt;MAX(Main!$C$4:$C$1048576),"",INDEX(Main!N$4:N$1048576,MATCH(ROW(G10),Main!$C$4:$C$1048576,0))),"")</f>
        <v>99999940001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クラスターNo.940</v>
      </c>
      <c r="M12" s="4" t="str">
        <f>TEXT(IF(ROW(A10)&gt;MAX(Main!$D$4:$D$1048576),"",INDEX(Main!Q$4:Q$1048576,MATCH(ROW(A10),Main!$D$4:$D$1048576,0))), "yyyy/m/d")</f>
        <v>2023/1/26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99999940004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米沢市</v>
      </c>
      <c r="S12" s="9" t="str">
        <f>IF(ROW(G10)&gt;MAX(Main!$D$4:$D$1048576),"",INDEX(Main!K$4:K$1048576,MATCH(ROW(G10),Main!$D$4:$D$1048576,0)))</f>
        <v>99999940001関連</v>
      </c>
      <c r="T12" s="1">
        <f>IF(S12&lt;&gt;"",IF(ROW(G10)&gt;MAX(Main!$D$4:$D$1048576),"",INDEX(Main!N$4:N$1048576,MATCH(ROW(G10),Main!$D$4:$D$1048576,0))),"")</f>
        <v>99999940001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2023/1/26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99999940005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米沢市</v>
      </c>
      <c r="H13" s="10" t="str">
        <f>IF(ROW(G11)&gt;MAX(Main!$C$4:$C$1048576),"",INDEX(Main!K$4:K$1048576,MATCH(ROW(G11),Main!$C$4:$C$1048576,0)))</f>
        <v>99999940001関連</v>
      </c>
      <c r="I13" s="1">
        <f>IF(H13&lt;&gt;"",IF(ROW(G11)&gt;MAX(Main!$C$4:$C$1048576),"",INDEX(Main!N$4:N$1048576,MATCH(ROW(G11),Main!$C$4:$C$1048576,0))),"")</f>
        <v>99999940001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クラスターNo.940</v>
      </c>
      <c r="M13" s="4" t="str">
        <f>TEXT(IF(ROW(A11)&gt;MAX(Main!$D$4:$D$1048576),"",INDEX(Main!Q$4:Q$1048576,MATCH(ROW(A11),Main!$D$4:$D$1048576,0))), "yyyy/m/d")</f>
        <v>2023/1/26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99999940005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米沢市</v>
      </c>
      <c r="S13" s="9" t="str">
        <f>IF(ROW(G11)&gt;MAX(Main!$D$4:$D$1048576),"",INDEX(Main!K$4:K$1048576,MATCH(ROW(G11),Main!$D$4:$D$1048576,0)))</f>
        <v>99999940001関連</v>
      </c>
      <c r="T13" s="1">
        <f>IF(S13&lt;&gt;"",IF(ROW(G11)&gt;MAX(Main!$D$4:$D$1048576),"",INDEX(Main!N$4:N$1048576,MATCH(ROW(G11),Main!$D$4:$D$1048576,0))),"")</f>
        <v>99999940001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2023/1/26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99999940006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米沢市</v>
      </c>
      <c r="H14" s="10" t="str">
        <f>IF(ROW(G12)&gt;MAX(Main!$C$4:$C$1048576),"",INDEX(Main!K$4:K$1048576,MATCH(ROW(G12),Main!$C$4:$C$1048576,0)))</f>
        <v>99999940001関連</v>
      </c>
      <c r="I14" s="1">
        <f>IF(H14&lt;&gt;"",IF(ROW(G12)&gt;MAX(Main!$C$4:$C$1048576),"",INDEX(Main!N$4:N$1048576,MATCH(ROW(G12),Main!$C$4:$C$1048576,0))),"")</f>
        <v>99999940001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クラスターNo.940</v>
      </c>
      <c r="M14" s="4" t="str">
        <f>TEXT(IF(ROW(A12)&gt;MAX(Main!$D$4:$D$1048576),"",INDEX(Main!Q$4:Q$1048576,MATCH(ROW(A12),Main!$D$4:$D$1048576,0))), "yyyy/m/d")</f>
        <v>2023/1/26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99999940006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米沢市</v>
      </c>
      <c r="S14" s="9" t="str">
        <f>IF(ROW(G12)&gt;MAX(Main!$D$4:$D$1048576),"",INDEX(Main!K$4:K$1048576,MATCH(ROW(G12),Main!$D$4:$D$1048576,0)))</f>
        <v>99999940001関連</v>
      </c>
      <c r="T14" s="1">
        <f>IF(S14&lt;&gt;"",IF(ROW(G12)&gt;MAX(Main!$D$4:$D$1048576),"",INDEX(Main!N$4:N$1048576,MATCH(ROW(G12),Main!$D$4:$D$1048576,0))),"")</f>
        <v>99999940001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2023/1/26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99999940007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米沢市</v>
      </c>
      <c r="H15" s="10" t="str">
        <f>IF(ROW(G13)&gt;MAX(Main!$C$4:$C$1048576),"",INDEX(Main!K$4:K$1048576,MATCH(ROW(G13),Main!$C$4:$C$1048576,0)))</f>
        <v>99999940001関連</v>
      </c>
      <c r="I15" s="1">
        <f>IF(H15&lt;&gt;"",IF(ROW(G13)&gt;MAX(Main!$C$4:$C$1048576),"",INDEX(Main!N$4:N$1048576,MATCH(ROW(G13),Main!$C$4:$C$1048576,0))),"")</f>
        <v>99999940001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クラスターNo.940</v>
      </c>
      <c r="M15" s="4" t="str">
        <f>TEXT(IF(ROW(A13)&gt;MAX(Main!$D$4:$D$1048576),"",INDEX(Main!Q$4:Q$1048576,MATCH(ROW(A13),Main!$D$4:$D$1048576,0))), "yyyy/m/d")</f>
        <v>2023/1/26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99999940007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米沢市</v>
      </c>
      <c r="S15" s="9" t="str">
        <f>IF(ROW(G13)&gt;MAX(Main!$D$4:$D$1048576),"",INDEX(Main!K$4:K$1048576,MATCH(ROW(G13),Main!$D$4:$D$1048576,0)))</f>
        <v>99999940001関連</v>
      </c>
      <c r="T15" s="1">
        <f>IF(S15&lt;&gt;"",IF(ROW(G13)&gt;MAX(Main!$D$4:$D$1048576),"",INDEX(Main!N$4:N$1048576,MATCH(ROW(G13),Main!$D$4:$D$1048576,0))),"")</f>
        <v>99999940001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2023/1/26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99999940008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米沢市</v>
      </c>
      <c r="H16" s="10" t="str">
        <f>IF(ROW(G14)&gt;MAX(Main!$C$4:$C$1048576),"",INDEX(Main!K$4:K$1048576,MATCH(ROW(G14),Main!$C$4:$C$1048576,0)))</f>
        <v>99999940001関連</v>
      </c>
      <c r="I16" s="1">
        <f>IF(H16&lt;&gt;"",IF(ROW(G14)&gt;MAX(Main!$C$4:$C$1048576),"",INDEX(Main!N$4:N$1048576,MATCH(ROW(G14),Main!$C$4:$C$1048576,0))),"")</f>
        <v>99999940001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クラスターNo.940</v>
      </c>
      <c r="M16" s="4" t="str">
        <f>TEXT(IF(ROW(A14)&gt;MAX(Main!$D$4:$D$1048576),"",INDEX(Main!Q$4:Q$1048576,MATCH(ROW(A14),Main!$D$4:$D$1048576,0))), "yyyy/m/d")</f>
        <v>2023/1/26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99999940008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米沢市</v>
      </c>
      <c r="S16" s="9" t="str">
        <f>IF(ROW(G14)&gt;MAX(Main!$D$4:$D$1048576),"",INDEX(Main!K$4:K$1048576,MATCH(ROW(G14),Main!$D$4:$D$1048576,0)))</f>
        <v>99999940001関連</v>
      </c>
      <c r="T16" s="1">
        <f>IF(S16&lt;&gt;"",IF(ROW(G14)&gt;MAX(Main!$D$4:$D$1048576),"",INDEX(Main!N$4:N$1048576,MATCH(ROW(G14),Main!$D$4:$D$1048576,0))),"")</f>
        <v>99999940001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2023/1/26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99999941001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米沢市</v>
      </c>
      <c r="H17" s="10" t="str">
        <f>IF(ROW(G15)&gt;MAX(Main!$C$4:$C$1048576),"",INDEX(Main!K$4:K$1048576,MATCH(ROW(G15),Main!$C$4:$C$1048576,0)))</f>
        <v>99999941001介護施設</v>
      </c>
      <c r="I17" s="1">
        <f>IF(H17&lt;&gt;"",IF(ROW(G15)&gt;MAX(Main!$C$4:$C$1048576),"",INDEX(Main!N$4:N$1048576,MATCH(ROW(G15),Main!$C$4:$C$1048576,0))),"")</f>
        <v>99999941001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介護施設</v>
      </c>
      <c r="K17" s="27" t="str">
        <f t="shared" si="1"/>
        <v>クラスターNo.941</v>
      </c>
      <c r="M17" s="4" t="str">
        <f>TEXT(IF(ROW(A15)&gt;MAX(Main!$D$4:$D$1048576),"",INDEX(Main!Q$4:Q$1048576,MATCH(ROW(A15),Main!$D$4:$D$1048576,0))), "yyyy/m/d")</f>
        <v>2023/1/26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99999941001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米沢市</v>
      </c>
      <c r="S17" s="9" t="str">
        <f>IF(ROW(G15)&gt;MAX(Main!$D$4:$D$1048576),"",INDEX(Main!K$4:K$1048576,MATCH(ROW(G15),Main!$D$4:$D$1048576,0)))</f>
        <v>99999941001介護施設</v>
      </c>
      <c r="T17" s="1">
        <f>IF(S17&lt;&gt;"",IF(ROW(G15)&gt;MAX(Main!$D$4:$D$1048576),"",INDEX(Main!N$4:N$1048576,MATCH(ROW(G15),Main!$D$4:$D$1048576,0))),"")</f>
        <v>99999941001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介護施設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2023/1/26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99999941002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米沢市</v>
      </c>
      <c r="H18" s="10" t="str">
        <f>IF(ROW(G16)&gt;MAX(Main!$C$4:$C$1048576),"",INDEX(Main!K$4:K$1048576,MATCH(ROW(G16),Main!$C$4:$C$1048576,0)))</f>
        <v>99999941001関連</v>
      </c>
      <c r="I18" s="1">
        <f>IF(H18&lt;&gt;"",IF(ROW(G16)&gt;MAX(Main!$C$4:$C$1048576),"",INDEX(Main!N$4:N$1048576,MATCH(ROW(G16),Main!$C$4:$C$1048576,0))),"")</f>
        <v>99999941001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クラスターNo.941</v>
      </c>
      <c r="M18" s="4" t="str">
        <f>TEXT(IF(ROW(A16)&gt;MAX(Main!$D$4:$D$1048576),"",INDEX(Main!Q$4:Q$1048576,MATCH(ROW(A16),Main!$D$4:$D$1048576,0))), "yyyy/m/d")</f>
        <v>2023/1/26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99999941002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米沢市</v>
      </c>
      <c r="S18" s="9" t="str">
        <f>IF(ROW(G16)&gt;MAX(Main!$D$4:$D$1048576),"",INDEX(Main!K$4:K$1048576,MATCH(ROW(G16),Main!$D$4:$D$1048576,0)))</f>
        <v>99999941001関連</v>
      </c>
      <c r="T18" s="1">
        <f>IF(S18&lt;&gt;"",IF(ROW(G16)&gt;MAX(Main!$D$4:$D$1048576),"",INDEX(Main!N$4:N$1048576,MATCH(ROW(G16),Main!$D$4:$D$1048576,0))),"")</f>
        <v>99999941001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2023/1/26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99999941003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米沢市</v>
      </c>
      <c r="H19" s="10" t="str">
        <f>IF(ROW(G17)&gt;MAX(Main!$C$4:$C$1048576),"",INDEX(Main!K$4:K$1048576,MATCH(ROW(G17),Main!$C$4:$C$1048576,0)))</f>
        <v>99999941001関連</v>
      </c>
      <c r="I19" s="1">
        <f>IF(H19&lt;&gt;"",IF(ROW(G17)&gt;MAX(Main!$C$4:$C$1048576),"",INDEX(Main!N$4:N$1048576,MATCH(ROW(G17),Main!$C$4:$C$1048576,0))),"")</f>
        <v>99999941001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クラスターNo.941</v>
      </c>
      <c r="M19" s="4" t="str">
        <f>TEXT(IF(ROW(A17)&gt;MAX(Main!$D$4:$D$1048576),"",INDEX(Main!Q$4:Q$1048576,MATCH(ROW(A17),Main!$D$4:$D$1048576,0))), "yyyy/m/d")</f>
        <v>2023/1/26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99999941003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米沢市</v>
      </c>
      <c r="S19" s="9" t="str">
        <f>IF(ROW(G17)&gt;MAX(Main!$D$4:$D$1048576),"",INDEX(Main!K$4:K$1048576,MATCH(ROW(G17),Main!$D$4:$D$1048576,0)))</f>
        <v>99999941001関連</v>
      </c>
      <c r="T19" s="1">
        <f>IF(S19&lt;&gt;"",IF(ROW(G17)&gt;MAX(Main!$D$4:$D$1048576),"",INDEX(Main!N$4:N$1048576,MATCH(ROW(G17),Main!$D$4:$D$1048576,0))),"")</f>
        <v>99999941001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2023/1/26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99999941004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米沢市</v>
      </c>
      <c r="H20" s="10" t="str">
        <f>IF(ROW(G18)&gt;MAX(Main!$C$4:$C$1048576),"",INDEX(Main!K$4:K$1048576,MATCH(ROW(G18),Main!$C$4:$C$1048576,0)))</f>
        <v>99999941001関連</v>
      </c>
      <c r="I20" s="1">
        <f>IF(H20&lt;&gt;"",IF(ROW(G18)&gt;MAX(Main!$C$4:$C$1048576),"",INDEX(Main!N$4:N$1048576,MATCH(ROW(G18),Main!$C$4:$C$1048576,0))),"")</f>
        <v>99999941001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クラスターNo.941</v>
      </c>
      <c r="M20" s="4" t="str">
        <f>TEXT(IF(ROW(A18)&gt;MAX(Main!$D$4:$D$1048576),"",INDEX(Main!Q$4:Q$1048576,MATCH(ROW(A18),Main!$D$4:$D$1048576,0))), "yyyy/m/d")</f>
        <v>2023/1/26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99999941004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米沢市</v>
      </c>
      <c r="S20" s="9" t="str">
        <f>IF(ROW(G18)&gt;MAX(Main!$D$4:$D$1048576),"",INDEX(Main!K$4:K$1048576,MATCH(ROW(G18),Main!$D$4:$D$1048576,0)))</f>
        <v>99999941001関連</v>
      </c>
      <c r="T20" s="1">
        <f>IF(S20&lt;&gt;"",IF(ROW(G18)&gt;MAX(Main!$D$4:$D$1048576),"",INDEX(Main!N$4:N$1048576,MATCH(ROW(G18),Main!$D$4:$D$1048576,0))),"")</f>
        <v>99999941001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2023/1/26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99999941005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米沢市</v>
      </c>
      <c r="H21" s="10" t="str">
        <f>IF(ROW(G19)&gt;MAX(Main!$C$4:$C$1048576),"",INDEX(Main!K$4:K$1048576,MATCH(ROW(G19),Main!$C$4:$C$1048576,0)))</f>
        <v>99999941001関連</v>
      </c>
      <c r="I21" s="1">
        <f>IF(H21&lt;&gt;"",IF(ROW(G19)&gt;MAX(Main!$C$4:$C$1048576),"",INDEX(Main!N$4:N$1048576,MATCH(ROW(G19),Main!$C$4:$C$1048576,0))),"")</f>
        <v>99999941001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クラスターNo.941</v>
      </c>
      <c r="M21" s="4" t="str">
        <f>TEXT(IF(ROW(A19)&gt;MAX(Main!$D$4:$D$1048576),"",INDEX(Main!Q$4:Q$1048576,MATCH(ROW(A19),Main!$D$4:$D$1048576,0))), "yyyy/m/d")</f>
        <v>2023/1/26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99999941005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米沢市</v>
      </c>
      <c r="S21" s="9" t="str">
        <f>IF(ROW(G19)&gt;MAX(Main!$D$4:$D$1048576),"",INDEX(Main!K$4:K$1048576,MATCH(ROW(G19),Main!$D$4:$D$1048576,0)))</f>
        <v>99999941001関連</v>
      </c>
      <c r="T21" s="1">
        <f>IF(S21&lt;&gt;"",IF(ROW(G19)&gt;MAX(Main!$D$4:$D$1048576),"",INDEX(Main!N$4:N$1048576,MATCH(ROW(G19),Main!$D$4:$D$1048576,0))),"")</f>
        <v>99999941001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2023/1/26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99999941006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米沢市</v>
      </c>
      <c r="H22" s="10" t="str">
        <f>IF(ROW(G20)&gt;MAX(Main!$C$4:$C$1048576),"",INDEX(Main!K$4:K$1048576,MATCH(ROW(G20),Main!$C$4:$C$1048576,0)))</f>
        <v>99999941001関連</v>
      </c>
      <c r="I22" s="1">
        <f>IF(H22&lt;&gt;"",IF(ROW(G20)&gt;MAX(Main!$C$4:$C$1048576),"",INDEX(Main!N$4:N$1048576,MATCH(ROW(G20),Main!$C$4:$C$1048576,0))),"")</f>
        <v>99999941001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クラスターNo.941</v>
      </c>
      <c r="M22" s="4" t="str">
        <f>TEXT(IF(ROW(A20)&gt;MAX(Main!$D$4:$D$1048576),"",INDEX(Main!Q$4:Q$1048576,MATCH(ROW(A20),Main!$D$4:$D$1048576,0))), "yyyy/m/d")</f>
        <v>2023/1/26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99999941006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米沢市</v>
      </c>
      <c r="S22" s="9" t="str">
        <f>IF(ROW(G20)&gt;MAX(Main!$D$4:$D$1048576),"",INDEX(Main!K$4:K$1048576,MATCH(ROW(G20),Main!$D$4:$D$1048576,0)))</f>
        <v>99999941001関連</v>
      </c>
      <c r="T22" s="1">
        <f>IF(S22&lt;&gt;"",IF(ROW(G20)&gt;MAX(Main!$D$4:$D$1048576),"",INDEX(Main!N$4:N$1048576,MATCH(ROW(G20),Main!$D$4:$D$1048576,0))),"")</f>
        <v>99999941001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2023/1/26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99999941007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米沢市</v>
      </c>
      <c r="H23" s="10" t="str">
        <f>IF(ROW(G21)&gt;MAX(Main!$C$4:$C$1048576),"",INDEX(Main!K$4:K$1048576,MATCH(ROW(G21),Main!$C$4:$C$1048576,0)))</f>
        <v>99999941001関連</v>
      </c>
      <c r="I23" s="1">
        <f>IF(H23&lt;&gt;"",IF(ROW(G21)&gt;MAX(Main!$C$4:$C$1048576),"",INDEX(Main!N$4:N$1048576,MATCH(ROW(G21),Main!$C$4:$C$1048576,0))),"")</f>
        <v>99999941001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クラスターNo.941</v>
      </c>
      <c r="M23" s="4" t="str">
        <f>TEXT(IF(ROW(A21)&gt;MAX(Main!$D$4:$D$1048576),"",INDEX(Main!Q$4:Q$1048576,MATCH(ROW(A21),Main!$D$4:$D$1048576,0))), "yyyy/m/d")</f>
        <v>2023/1/26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99999941007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米沢市</v>
      </c>
      <c r="S23" s="9" t="str">
        <f>IF(ROW(G21)&gt;MAX(Main!$D$4:$D$1048576),"",INDEX(Main!K$4:K$1048576,MATCH(ROW(G21),Main!$D$4:$D$1048576,0)))</f>
        <v>99999941001関連</v>
      </c>
      <c r="T23" s="1">
        <f>IF(S23&lt;&gt;"",IF(ROW(G21)&gt;MAX(Main!$D$4:$D$1048576),"",INDEX(Main!N$4:N$1048576,MATCH(ROW(G21),Main!$D$4:$D$1048576,0))),"")</f>
        <v>99999941001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21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99999939001,
            "date": "2023/1/26",
            "label": "クラスターNo.939\n2023/1/26\n寒河江市\n-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99999939002,
            "date": "2023/1/26",
            "label": "クラスターNo.939\n2023/1/26\n寒河江市\n-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99999939003,
            "date": "2023/1/26",
            "label": "クラスターNo.939\n2023/1/26\n寒河江市\n-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99999939004,
            "date": "2023/1/26",
            "label": "クラスターNo.939\n2023/1/26\n寒河江市\n-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99999939005,
            "date": "2023/1/26",
            "label": "クラスターNo.939\n2023/1/26\n寒河江市\n-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99999939006,
            "date": "2023/1/26",
            "label": "クラスターNo.939\n2023/1/26\n寒河江市\n-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99999940001,
            "date": "2023/1/26",
            "label": "クラスターNo.940\n2023/1/26\n米沢市\n-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99999940002,
            "date": "2023/1/26",
            "label": "クラスターNo.940\n2023/1/26\n米沢市\n-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99999940003,
            "date": "2023/1/26",
            "label": "クラスターNo.940\n2023/1/26\n米沢市\n-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99999940004,
            "date": "2023/1/26",
            "label": "クラスターNo.940\n2023/1/26\n米沢市\n-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99999940005,
            "date": "2023/1/26",
            "label": "クラスターNo.940\n2023/1/26\n米沢市\n-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99999940006,
            "date": "2023/1/26",
            "label": "クラスターNo.940\n2023/1/26\n米沢市\n-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99999940007,
            "date": "2023/1/26",
            "label": "クラスターNo.940\n2023/1/26\n米沢市\n- ー"
        },
        "classes": ["multiline-manual", "else"]
    },
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99999940008,
            "date": "2023/1/26",
            "label": "クラスターNo.940\n2023/1/26\n米沢市\n- ー"
        },
        "classes": ["multiline-manual", "else"]
    },
</v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99999941001,
            "date": "2023/1/26",
            "label": "クラスターNo.941\n2023/1/26\n米沢市\n- ー"
        },
        "classes": ["multiline-manual", "else"]
    },
</v>
      </c>
    </row>
    <row r="28" spans="2:3" ht="150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99999941002,
            "date": "2023/1/26",
            "label": "クラスターNo.941\n2023/1/26\n米沢市\n-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99999941003,
            "date": "2023/1/26",
            "label": "クラスターNo.941\n2023/1/26\n米沢市\n-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99999941004,
            "date": "2023/1/26",
            "label": "クラスターNo.941\n2023/1/26\n米沢市\n-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99999941005,
            "date": "2023/1/26",
            "label": "クラスターNo.941\n2023/1/26\n米沢市\n-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99999941006,
            "date": "2023/1/26",
            "label": "クラスターNo.941\n2023/1/26\n米沢市\n-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99999941007,
            "date": "2023/1/26",
            "label": "クラスターNo.941\n2023/1/26\n米沢市\n- ー"
        },
        "classes": ["multiline-manual", "else"]
    }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21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"99999939001",
            "target": "99999939001",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"99999939002",
            "target": "99999939001",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"99999939003",
            "target": "99999939001",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"99999939004",
            "target": "99999939001",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"99999939005",
            "target": "99999939001",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"99999939006",
            "target": "99999939001",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"99999940001",
            "target": "99999940001",
            "label": "介護施設"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"99999940002",
            "target": "99999940001",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"99999940003",
            "target": "99999940001",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"99999940004",
            "target": "99999940001",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"99999940005",
            "target": "99999940001",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"99999940006",
            "target": "99999940001",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"99999940007",
            "target": "99999940001",
            "label": "関連"
        }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"99999940008",
            "target": "99999940001",
            "label": "関連"
        }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"99999941001",
            "target": "99999941001",
            "label": "介護施設"
        }
    },
</v>
      </c>
    </row>
    <row r="27" spans="2:3" ht="131.25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"99999941002",
            "target": "99999941001",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"99999941003",
            "target": "99999941001",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"99999941004",
            "target": "99999941001",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"99999941005",
            "target": "99999941001",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"99999941006",
            "target": "99999941001",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"99999941007",
            "target": "99999941001",
            "label": "関連"
        }
    }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B12" sqref="B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"lastUpdate":"2023/1/26 23:55"}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2023-01-26T14:58:10Z</dcterms:modified>
</cp:coreProperties>
</file>