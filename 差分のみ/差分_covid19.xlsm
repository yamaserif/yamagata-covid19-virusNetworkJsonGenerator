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defaultThemeVersion="166925"/>
  <xr:revisionPtr revIDLastSave="0" documentId="13_ncr:1_{6F1D2A3C-524A-478D-B475-2DEC3BCF174C}" xr6:coauthVersionLast="47" xr6:coauthVersionMax="47" xr10:uidLastSave="{00000000-0000-0000-0000-000000000000}"/>
  <bookViews>
    <workbookView xWindow="1995" yWindow="1980" windowWidth="25095" windowHeight="1305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0" i="1" l="1"/>
  <c r="S10" i="1"/>
  <c r="G51" i="1"/>
  <c r="I51" i="1" s="1"/>
  <c r="G50" i="1"/>
  <c r="F50" i="1" s="1"/>
  <c r="G37" i="1"/>
  <c r="G25" i="1"/>
  <c r="I25" i="1" s="1"/>
  <c r="G23" i="1"/>
  <c r="G22" i="1"/>
  <c r="I22" i="1" s="1"/>
  <c r="G21" i="1"/>
  <c r="G11" i="1"/>
  <c r="I11" i="1" s="1"/>
  <c r="G41" i="1"/>
  <c r="G39" i="1"/>
  <c r="F39" i="1" s="1"/>
  <c r="G32" i="1"/>
  <c r="J32" i="1" s="1"/>
  <c r="G31" i="1"/>
  <c r="H31" i="1" s="1"/>
  <c r="G13" i="1"/>
  <c r="G24" i="1"/>
  <c r="H24" i="1" s="1"/>
  <c r="G16" i="1"/>
  <c r="I16" i="1" s="1"/>
  <c r="G15" i="1"/>
  <c r="J15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9" i="1"/>
  <c r="F29" i="1" s="1"/>
  <c r="G28" i="1"/>
  <c r="G26" i="1"/>
  <c r="F26" i="1" s="1"/>
  <c r="G9" i="1"/>
  <c r="C9" i="1" s="1"/>
  <c r="G200" i="1"/>
  <c r="I200" i="1" s="1"/>
  <c r="K48" i="1" l="1"/>
  <c r="K23" i="1"/>
  <c r="K49" i="1"/>
  <c r="K24" i="1"/>
  <c r="M24" i="1" s="1" a="1"/>
  <c r="M24" i="1" s="1"/>
  <c r="O24" i="1" s="1"/>
  <c r="K50" i="1"/>
  <c r="K51" i="1"/>
  <c r="M51" i="1" s="1" a="1"/>
  <c r="M51" i="1" s="1"/>
  <c r="O51" i="1" s="1"/>
  <c r="K13" i="1"/>
  <c r="K16" i="1"/>
  <c r="L16" i="1" s="1"/>
  <c r="K21" i="1"/>
  <c r="M21" i="1" s="1" a="1"/>
  <c r="M21" i="1" s="1"/>
  <c r="O21" i="1" s="1"/>
  <c r="K22" i="1"/>
  <c r="L22" i="1" s="1"/>
  <c r="K11" i="1"/>
  <c r="L11" i="1" s="1"/>
  <c r="K30" i="1"/>
  <c r="K15" i="1"/>
  <c r="M15" i="1" s="1" a="1"/>
  <c r="M15" i="1" s="1"/>
  <c r="O15" i="1" s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19" i="1" l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20" i="5" a="1"/>
  <c r="C15" i="4" a="1"/>
  <c r="C20" i="5" l="1"/>
  <c r="C15" i="4"/>
  <c r="C21" i="5" a="1"/>
  <c r="C16" i="4" a="1"/>
  <c r="C16" i="4" l="1"/>
  <c r="C21" i="5"/>
  <c r="C17" i="4" a="1"/>
  <c r="C22" i="5" a="1"/>
  <c r="C22" i="5" l="1"/>
  <c r="C17" i="4"/>
  <c r="C23" i="5" a="1"/>
  <c r="C18" i="4" a="1"/>
  <c r="C18" i="4" l="1"/>
  <c r="C23" i="5"/>
  <c r="C19" i="4" a="1"/>
  <c r="C24" i="5" a="1"/>
  <c r="C24" i="5" l="1"/>
  <c r="C19" i="4"/>
  <c r="C25" i="5" a="1"/>
  <c r="C20" i="4" a="1"/>
  <c r="C20" i="4" l="1"/>
  <c r="C25" i="5"/>
  <c r="C26" i="5" a="1"/>
  <c r="C21" i="4" a="1"/>
  <c r="C26" i="5" l="1"/>
  <c r="C21" i="4"/>
  <c r="C22" i="4" a="1"/>
  <c r="C27" i="5" a="1"/>
  <c r="C22" i="4" l="1"/>
  <c r="C27" i="5"/>
  <c r="C23" i="4" a="1"/>
  <c r="C28" i="5" a="1"/>
  <c r="C28" i="5" l="1"/>
  <c r="C23" i="4"/>
  <c r="C24" i="4" a="1"/>
  <c r="C29" i="5" a="1"/>
  <c r="C24" i="4" l="1"/>
  <c r="C29" i="5"/>
  <c r="C25" i="4" a="1"/>
  <c r="C30" i="5" a="1"/>
  <c r="C30" i="5" l="1"/>
  <c r="C25" i="4"/>
  <c r="C31" i="5" a="1"/>
  <c r="C26" i="4" a="1"/>
  <c r="C26" i="4" l="1"/>
  <c r="C31" i="5"/>
  <c r="C32" i="5" a="1"/>
  <c r="C27" i="4" a="1"/>
  <c r="C32" i="5" l="1"/>
  <c r="C27" i="4"/>
  <c r="C33" i="5" a="1"/>
  <c r="C28" i="4" a="1"/>
  <c r="C28" i="4" l="1"/>
  <c r="C33" i="5"/>
  <c r="C29" i="4" a="1"/>
  <c r="C34" i="5" a="1"/>
  <c r="C34" i="5" l="1"/>
  <c r="C29" i="4"/>
  <c r="C35" i="5" a="1"/>
  <c r="C30" i="4" a="1"/>
  <c r="C30" i="4" l="1"/>
  <c r="C35" i="5"/>
  <c r="C36" i="5" a="1"/>
  <c r="C31" i="4" a="1"/>
  <c r="C36" i="5" l="1"/>
  <c r="C31" i="4"/>
  <c r="C32" i="4" a="1"/>
  <c r="C37" i="5" a="1"/>
  <c r="C32" i="4" l="1"/>
  <c r="C37" i="5"/>
  <c r="C38" i="5" a="1"/>
  <c r="C33" i="4" a="1"/>
  <c r="C38" i="5" l="1"/>
  <c r="C33" i="4"/>
  <c r="C34" i="4" a="1"/>
  <c r="C39" i="5" a="1"/>
  <c r="C34" i="4" l="1"/>
  <c r="C39" i="5"/>
  <c r="C40" i="5" a="1"/>
  <c r="C35" i="4" a="1"/>
  <c r="C40" i="5" l="1"/>
  <c r="C35" i="4"/>
  <c r="C41" i="5" a="1"/>
  <c r="C36" i="4" a="1"/>
  <c r="C36" i="4" l="1"/>
  <c r="C41" i="5"/>
  <c r="C42" i="5" a="1"/>
  <c r="C37" i="4" a="1"/>
  <c r="C42" i="5" l="1"/>
  <c r="C37" i="4"/>
  <c r="C43" i="5" a="1"/>
  <c r="C38" i="4" a="1"/>
  <c r="C38" i="4" l="1"/>
  <c r="C43" i="5"/>
  <c r="C39" i="4" a="1"/>
  <c r="C44" i="5" a="1"/>
  <c r="C44" i="5" l="1"/>
  <c r="C39" i="4"/>
  <c r="C40" i="4" a="1"/>
  <c r="C45" i="5" a="1"/>
  <c r="C40" i="4" l="1"/>
  <c r="C45" i="5"/>
  <c r="C41" i="4" a="1"/>
  <c r="C46" i="5" a="1"/>
  <c r="C46" i="5" l="1"/>
  <c r="C41" i="4"/>
  <c r="C42" i="4" a="1"/>
  <c r="C47" i="5" a="1"/>
  <c r="C42" i="4" l="1"/>
  <c r="C47" i="5"/>
  <c r="C43" i="4" a="1"/>
  <c r="C48" i="5" a="1"/>
  <c r="C48" i="5" l="1"/>
  <c r="C43" i="4"/>
  <c r="C44" i="4" a="1"/>
  <c r="C49" i="5" a="1"/>
  <c r="C44" i="4" l="1"/>
  <c r="C49" i="5"/>
  <c r="C50" i="5" a="1"/>
  <c r="C45" i="4" a="1"/>
  <c r="C50" i="5" l="1"/>
  <c r="C45" i="4"/>
  <c r="C51" i="5" a="1"/>
  <c r="C46" i="4" a="1"/>
  <c r="C46" i="4" l="1"/>
  <c r="C51" i="5"/>
  <c r="C47" i="4" a="1"/>
  <c r="C52" i="5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8" i="5" a="1"/>
  <c r="C53" i="4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57" i="4" a="1"/>
  <c r="C62" i="5" a="1"/>
  <c r="C62" i="5" l="1"/>
  <c r="C57" i="4"/>
  <c r="C63" i="5" a="1"/>
  <c r="C58" i="4" a="1"/>
  <c r="C58" i="4" l="1"/>
  <c r="C63" i="5"/>
  <c r="C64" i="5" a="1"/>
  <c r="C59" i="4" a="1"/>
  <c r="C64" i="5" l="1"/>
  <c r="C59" i="4"/>
  <c r="C60" i="4" a="1"/>
  <c r="C65" i="5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9" i="5" a="1"/>
  <c r="C64" i="4" a="1"/>
  <c r="C69" i="5" l="1"/>
  <c r="C64" i="4"/>
  <c r="C70" i="5" a="1"/>
  <c r="C65" i="4" a="1"/>
  <c r="C65" i="4" l="1"/>
  <c r="C70" i="5"/>
  <c r="C66" i="4" a="1"/>
  <c r="C71" i="5" a="1"/>
  <c r="C71" i="5" l="1"/>
  <c r="C66" i="4"/>
  <c r="C67" i="4" a="1"/>
  <c r="C72" i="5" a="1"/>
  <c r="C67" i="4" l="1"/>
  <c r="C72" i="5"/>
  <c r="C68" i="4" a="1"/>
  <c r="C73" i="5" a="1"/>
  <c r="C73" i="5" l="1"/>
  <c r="C68" i="4"/>
  <c r="C69" i="4" a="1"/>
  <c r="C74" i="5" a="1"/>
  <c r="C69" i="4" l="1"/>
  <c r="C74" i="5"/>
  <c r="C75" i="5" a="1"/>
  <c r="C70" i="4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75" i="4" l="1"/>
  <c r="C80" i="5"/>
  <c r="C81" i="5" a="1"/>
  <c r="C76" i="4" a="1"/>
  <c r="C81" i="5" l="1"/>
  <c r="C76" i="4"/>
  <c r="C82" i="5" a="1"/>
  <c r="C77" i="4" a="1"/>
  <c r="C77" i="4" l="1"/>
  <c r="C82" i="5"/>
  <c r="C78" i="4" a="1"/>
  <c r="C83" i="5" a="1"/>
  <c r="C83" i="5" l="1"/>
  <c r="C78" i="4"/>
  <c r="C79" i="4" a="1"/>
  <c r="C84" i="5" a="1"/>
  <c r="C79" i="4" l="1"/>
  <c r="C84" i="5"/>
  <c r="C85" i="5" a="1"/>
  <c r="C80" i="4" a="1"/>
  <c r="C85" i="5" l="1"/>
  <c r="C80" i="4"/>
  <c r="C81" i="4" a="1"/>
  <c r="C86" i="5" a="1"/>
  <c r="C86" i="5" l="1"/>
  <c r="C81" i="4"/>
  <c r="C82" i="4" a="1"/>
  <c r="C87" i="5" a="1"/>
  <c r="C82" i="4" l="1"/>
  <c r="C87" i="5"/>
  <c r="C88" i="5" a="1"/>
  <c r="C83" i="4" a="1"/>
  <c r="C88" i="5" l="1"/>
  <c r="C83" i="4"/>
  <c r="C84" i="4" a="1"/>
  <c r="C89" i="5" a="1"/>
  <c r="C84" i="4" l="1"/>
  <c r="C89" i="5"/>
  <c r="C85" i="4" a="1"/>
  <c r="C90" i="5" a="1"/>
  <c r="C90" i="5" l="1"/>
  <c r="C85" i="4"/>
  <c r="C86" i="4" a="1"/>
  <c r="C91" i="5" a="1"/>
  <c r="C91" i="5" l="1"/>
  <c r="C86" i="4"/>
  <c r="C92" i="5" a="1"/>
  <c r="C87" i="4" a="1"/>
  <c r="C87" i="4" l="1"/>
  <c r="C92" i="5"/>
  <c r="C93" i="5" a="1"/>
  <c r="C88" i="4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7" i="5" a="1"/>
  <c r="C92" i="4" a="1"/>
  <c r="C97" i="5" l="1"/>
  <c r="C92" i="4"/>
  <c r="C93" i="4" a="1"/>
  <c r="C98" i="5" a="1"/>
  <c r="C93" i="4" l="1"/>
  <c r="C98" i="5"/>
  <c r="C94" i="4" a="1"/>
  <c r="C99" i="5" a="1"/>
  <c r="C99" i="5" l="1"/>
  <c r="C94" i="4"/>
  <c r="C95" i="4" a="1"/>
  <c r="C100" i="5" a="1"/>
  <c r="C95" i="4" l="1"/>
  <c r="C100" i="5"/>
  <c r="C101" i="5" a="1"/>
  <c r="C96" i="4" a="1"/>
  <c r="C101" i="5" l="1"/>
  <c r="C96" i="4"/>
  <c r="C97" i="4" a="1"/>
  <c r="C102" i="5" a="1"/>
  <c r="C97" i="4" l="1"/>
  <c r="C102" i="5"/>
  <c r="C98" i="4" a="1"/>
  <c r="C103" i="5" a="1"/>
  <c r="C103" i="5" l="1"/>
  <c r="C98" i="4"/>
  <c r="C104" i="5" a="1"/>
  <c r="C99" i="4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14" i="5" a="1"/>
  <c r="C109" i="4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6" i="5" a="1"/>
  <c r="C131" i="4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8" i="5" a="1"/>
  <c r="C143" i="4" a="1"/>
  <c r="C148" i="5" l="1"/>
  <c r="C143" i="4"/>
  <c r="C149" i="5" a="1"/>
  <c r="C144" i="4" a="1"/>
  <c r="C144" i="4" l="1"/>
  <c r="C149" i="5"/>
  <c r="C150" i="5" a="1"/>
  <c r="C145" i="4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6" i="5" a="1"/>
  <c r="C171" i="4" a="1"/>
  <c r="C176" i="5" l="1"/>
  <c r="C171" i="4"/>
  <c r="C177" i="5" a="1"/>
  <c r="C172" i="4" a="1"/>
  <c r="C172" i="4" l="1"/>
  <c r="C177" i="5"/>
  <c r="C178" i="5" a="1"/>
  <c r="C173" i="4" a="1"/>
  <c r="C178" i="5" l="1"/>
  <c r="C173" i="4"/>
  <c r="C179" i="5" a="1"/>
  <c r="C174" i="4" a="1"/>
  <c r="C174" i="4" l="1"/>
  <c r="C179" i="5"/>
  <c r="C175" i="4" a="1"/>
  <c r="C180" i="5" a="1"/>
  <c r="C180" i="5" l="1"/>
  <c r="C175" i="4"/>
  <c r="C181" i="5" a="1"/>
  <c r="C176" i="4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84" i="5" a="1"/>
  <c r="C179" i="4" a="1"/>
  <c r="C184" i="5" l="1"/>
  <c r="C179" i="4"/>
  <c r="C185" i="5" a="1"/>
  <c r="C180" i="4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9" i="5" a="1"/>
  <c r="C184" i="4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1" i="4" a="1"/>
  <c r="C196" i="5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<sst xmlns="http://schemas.openxmlformats.org/spreadsheetml/2006/main" count="1249" uniqueCount="447">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</sst>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4" activePane="bottomLeft" state="frozen"/>
      <selection activeCell="E20" sqref="E20"/>
      <selection pane="bottomLeft" activeCell="S12" sqref="S12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99999973001</v>
      </c>
      <c r="G10" s="29">
        <f t="shared" si="2"/>
        <v>99999973001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山形市</v>
      </c>
      <c r="K10" s="31" t="str">
        <f t="shared" si="6"/>
        <v>99999973001介護施設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99999973001</v>
      </c>
      <c r="N10">
        <f>IF(L10&lt;&gt;"○",M10,INDEX(G$4:G9,MATCH(L10&amp;M10,F$4:F9,0)))</f>
        <v>99999973001</v>
      </c>
      <c r="O10" t="str">
        <f t="shared" si="8"/>
        <v>介護施設</v>
      </c>
      <c r="Q10" s="4">
        <v>45001</v>
      </c>
      <c r="S10" t="str">
        <f>$O$1&amp;
973&amp;
REPT("0",3-LEN(ROW($S1)))&amp;ROW($S1)</f>
        <v>99999973001</v>
      </c>
      <c r="T10" t="s">
        <v>50</v>
      </c>
      <c r="U10" t="s">
        <v>50</v>
      </c>
      <c r="V10" t="s">
        <v>446</v>
      </c>
      <c r="AB10" t="str">
        <f>$S$10&amp;"介護施設"</f>
        <v>99999973001介護施設</v>
      </c>
    </row>
    <row r="11" spans="2:38" x14ac:dyDescent="0.4">
      <c r="B11" t="s">
        <v>21</v>
      </c>
      <c r="C11" t="str">
        <f>IF(G11="","",MAX(C$4:C10)+1)</f>
        <v/>
      </c>
      <c r="D11" t="str">
        <f>IF(AND(N11=""),"",MAX(D$4:D10)+1)</f>
        <v/>
      </c>
      <c r="F11" s="26" t="str">
        <f t="shared" si="1"/>
        <v/>
      </c>
      <c r="G11" s="29" t="str">
        <f t="shared" si="2"/>
        <v/>
      </c>
      <c r="H11" s="20" t="str">
        <f t="shared" si="3"/>
        <v/>
      </c>
      <c r="I11" s="20" t="str">
        <f t="shared" si="4"/>
        <v/>
      </c>
      <c r="J11" s="20" t="str">
        <f t="shared" si="5"/>
        <v/>
      </c>
      <c r="K11" s="31" t="str">
        <f t="shared" si="6"/>
        <v/>
      </c>
      <c r="L11" s="23" t="str">
        <f t="shared" si="7"/>
        <v/>
      </c>
      <c r="M11" t="str" cm="1">
        <f t="array" ref="M11">IF(COUNT(INDEX(FIND(ROW($1:$10)-1,K11),)),VALUE(MID(K11,MIN(SEARCH({1,2,3,4,5,6,7,8,9,0},K11&amp;1234567890)),LEN(K11)-(LENB(K11)-LEN(K11)))),"")</f>
        <v/>
      </c>
      <c r="N11" t="str">
        <f>IF(L11&lt;&gt;"○",M11,INDEX(G$4:G10,MATCH(L11&amp;M11,F$4:F10,0)))</f>
        <v/>
      </c>
      <c r="O11" t="str">
        <f t="shared" si="8"/>
        <v/>
      </c>
      <c r="Q11" s="4"/>
    </row>
    <row r="12" spans="2:38" x14ac:dyDescent="0.4">
      <c r="B12" t="s">
        <v>21</v>
      </c>
      <c r="C12" t="str">
        <f>IF(G12="","",MAX(C$4:C11)+1)</f>
        <v/>
      </c>
      <c r="D12" t="str">
        <f>IF(AND(N12=""),"",MAX(D$4:D11)+1)</f>
        <v/>
      </c>
      <c r="F12" s="26" t="str">
        <f t="shared" si="1"/>
        <v/>
      </c>
      <c r="G12" s="29" t="str">
        <f t="shared" si="2"/>
        <v/>
      </c>
      <c r="H12" s="20" t="str">
        <f t="shared" si="3"/>
        <v/>
      </c>
      <c r="I12" s="20" t="str">
        <f t="shared" si="4"/>
        <v/>
      </c>
      <c r="J12" s="20" t="str">
        <f t="shared" si="5"/>
        <v/>
      </c>
      <c r="K12" s="31" t="str">
        <f t="shared" si="6"/>
        <v/>
      </c>
      <c r="L12" s="23" t="str">
        <f t="shared" si="7"/>
        <v/>
      </c>
      <c r="M12" t="str" cm="1">
        <f t="array" ref="M12">IF(COUNT(INDEX(FIND(ROW($1:$10)-1,K12),)),VALUE(MID(K12,MIN(SEARCH({1,2,3,4,5,6,7,8,9,0},K12&amp;1234567890)),LEN(K12)-(LENB(K12)-LEN(K12)))),"")</f>
        <v/>
      </c>
      <c r="N12" t="str">
        <f>IF(L12&lt;&gt;"○",M12,INDEX(G$4:G11,MATCH(L12&amp;M12,F$4:F11,0)))</f>
        <v/>
      </c>
      <c r="O12" t="str">
        <f t="shared" si="8"/>
        <v/>
      </c>
      <c r="Q12" s="4"/>
    </row>
    <row r="13" spans="2:38" x14ac:dyDescent="0.4">
      <c r="B13" t="s">
        <v>21</v>
      </c>
      <c r="C13" t="str">
        <f>IF(G13="","",MAX(C$4:C12)+1)</f>
        <v/>
      </c>
      <c r="D13" t="str">
        <f>IF(AND(N13=""),"",MAX(D$4:D12)+1)</f>
        <v/>
      </c>
      <c r="F13" s="26" t="str">
        <f t="shared" si="1"/>
        <v/>
      </c>
      <c r="G13" s="29" t="str">
        <f t="shared" si="2"/>
        <v/>
      </c>
      <c r="H13" s="20" t="str">
        <f t="shared" si="3"/>
        <v/>
      </c>
      <c r="I13" s="20" t="str">
        <f t="shared" si="4"/>
        <v/>
      </c>
      <c r="J13" s="20" t="str">
        <f t="shared" si="5"/>
        <v/>
      </c>
      <c r="K13" s="31" t="str">
        <f t="shared" si="6"/>
        <v/>
      </c>
      <c r="L13" s="23" t="str">
        <f t="shared" si="7"/>
        <v/>
      </c>
      <c r="M13" t="str" cm="1">
        <f t="array" ref="M13">IF(COUNT(INDEX(FIND(ROW($1:$10)-1,K13),)),VALUE(MID(K13,MIN(SEARCH({1,2,3,4,5,6,7,8,9,0},K13&amp;1234567890)),LEN(K13)-(LENB(K13)-LEN(K13)))),"")</f>
        <v/>
      </c>
      <c r="N13" t="str">
        <f>IF(L13&lt;&gt;"○",M13,INDEX(G$4:G12,MATCH(L13&amp;M13,F$4:F12,0)))</f>
        <v/>
      </c>
      <c r="O13" t="str">
        <f t="shared" si="8"/>
        <v/>
      </c>
      <c r="Q13" s="4"/>
    </row>
    <row r="14" spans="2:38" x14ac:dyDescent="0.4">
      <c r="B14" t="s">
        <v>21</v>
      </c>
      <c r="C14" t="str">
        <f>IF(G14="","",MAX(C$4:C13)+1)</f>
        <v/>
      </c>
      <c r="D14" t="str">
        <f>IF(AND(N14=""),"",MAX(D$4:D13)+1)</f>
        <v/>
      </c>
      <c r="F14" s="26" t="str">
        <f t="shared" si="1"/>
        <v/>
      </c>
      <c r="G14" s="29" t="str">
        <f t="shared" si="2"/>
        <v/>
      </c>
      <c r="H14" s="20" t="str">
        <f t="shared" si="3"/>
        <v/>
      </c>
      <c r="I14" s="20" t="str">
        <f t="shared" si="4"/>
        <v/>
      </c>
      <c r="J14" s="20" t="str">
        <f t="shared" si="5"/>
        <v/>
      </c>
      <c r="K14" s="31" t="str">
        <f t="shared" si="6"/>
        <v/>
      </c>
      <c r="L14" s="23" t="str">
        <f t="shared" si="7"/>
        <v/>
      </c>
      <c r="M14" t="str" cm="1">
        <f t="array" ref="M14">IF(COUNT(INDEX(FIND(ROW($1:$10)-1,K14),)),VALUE(MID(K14,MIN(SEARCH({1,2,3,4,5,6,7,8,9,0},K14&amp;1234567890)),LEN(K14)-(LENB(K14)-LEN(K14)))),"")</f>
        <v/>
      </c>
      <c r="N14" t="str">
        <f>IF(L14&lt;&gt;"○",M14,INDEX(G$4:G13,MATCH(L14&amp;M14,F$4:F13,0)))</f>
        <v/>
      </c>
      <c r="O14" t="str">
        <f t="shared" si="8"/>
        <v/>
      </c>
      <c r="Q14" s="4"/>
    </row>
    <row r="15" spans="2:38" x14ac:dyDescent="0.4">
      <c r="B15" t="s">
        <v>21</v>
      </c>
      <c r="C15" t="str">
        <f>IF(G15="","",MAX(C$4:C14)+1)</f>
        <v/>
      </c>
      <c r="D15" t="str">
        <f>IF(AND(N15=""),"",MAX(D$4:D14)+1)</f>
        <v/>
      </c>
      <c r="F15" s="26" t="str">
        <f t="shared" si="1"/>
        <v/>
      </c>
      <c r="G15" s="29" t="str">
        <f t="shared" si="2"/>
        <v/>
      </c>
      <c r="H15" s="20" t="str">
        <f t="shared" si="3"/>
        <v/>
      </c>
      <c r="I15" s="20" t="str">
        <f t="shared" si="4"/>
        <v/>
      </c>
      <c r="J15" s="20" t="str">
        <f t="shared" si="5"/>
        <v/>
      </c>
      <c r="K15" s="31" t="str">
        <f t="shared" si="6"/>
        <v/>
      </c>
      <c r="L15" s="23" t="str">
        <f t="shared" si="7"/>
        <v/>
      </c>
      <c r="M15" t="str" cm="1">
        <f t="array" ref="M15">IF(COUNT(INDEX(FIND(ROW($1:$10)-1,K15),)),VALUE(MID(K15,MIN(SEARCH({1,2,3,4,5,6,7,8,9,0},K15&amp;1234567890)),LEN(K15)-(LENB(K15)-LEN(K15)))),"")</f>
        <v/>
      </c>
      <c r="N15" t="str">
        <f>IF(L15&lt;&gt;"○",M15,INDEX(G$4:G14,MATCH(L15&amp;M15,F$4:F14,0)))</f>
        <v/>
      </c>
      <c r="O15" t="str">
        <f t="shared" si="8"/>
        <v/>
      </c>
      <c r="Q15" s="4"/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9">IF(G73&lt;&gt;"",R73&amp;S73,"")</f>
        <v/>
      </c>
      <c r="G73" s="29" t="str">
        <f t="shared" ref="G73:G136" si="10">IF(AND((S73 &lt;&gt; ""),(S73 &gt;= 0)), ABS(IF(OR((R73=""),(R73="　")), S73, T73)), "")</f>
        <v/>
      </c>
      <c r="H73" s="20" t="str">
        <f t="shared" ref="H73:H136" si="11">IF(OR((R73=""),(R73="　")),IF(G73 &lt;&gt; "", T73, ""),IF(G73 &lt;&gt; "", U73, ""))</f>
        <v/>
      </c>
      <c r="I73" s="20" t="str">
        <f t="shared" ref="I73:I136" si="12">IF(G73 &lt;&gt; "", IF(COUNTIF(IF(OR((R73=""),(R73="　")), U73, V73),"*男*"),"男性",IF(COUNTIF(IF(OR((R73=""),(R73="　")), U73, V73),"*女*"),"女性","ー")),"")</f>
        <v/>
      </c>
      <c r="J73" s="20" t="str">
        <f t="shared" ref="J73:J136" si="13">IF(G73 &lt;&gt; "", IF(OR((R73=""),(R73="　")), V73, W73),"")</f>
        <v/>
      </c>
      <c r="K73" s="31" t="str">
        <f t="shared" ref="K73:K136" si="14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5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6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9"/>
        <v/>
      </c>
      <c r="G74" s="29" t="str">
        <f t="shared" si="10"/>
        <v/>
      </c>
      <c r="H74" s="20" t="str">
        <f t="shared" si="11"/>
        <v/>
      </c>
      <c r="I74" s="20" t="str">
        <f t="shared" si="12"/>
        <v/>
      </c>
      <c r="J74" s="20" t="str">
        <f t="shared" si="13"/>
        <v/>
      </c>
      <c r="K74" s="31" t="str">
        <f t="shared" si="14"/>
        <v/>
      </c>
      <c r="L74" s="23" t="str">
        <f t="shared" si="15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6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9"/>
        <v/>
      </c>
      <c r="G75" s="29" t="str">
        <f t="shared" si="10"/>
        <v/>
      </c>
      <c r="H75" s="20" t="str">
        <f t="shared" si="11"/>
        <v/>
      </c>
      <c r="I75" s="20" t="str">
        <f t="shared" si="12"/>
        <v/>
      </c>
      <c r="J75" s="20" t="str">
        <f t="shared" si="13"/>
        <v/>
      </c>
      <c r="K75" s="31" t="str">
        <f t="shared" si="14"/>
        <v/>
      </c>
      <c r="L75" s="23" t="str">
        <f t="shared" si="15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6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9"/>
        <v/>
      </c>
      <c r="G76" s="29" t="str">
        <f t="shared" si="10"/>
        <v/>
      </c>
      <c r="H76" s="20" t="str">
        <f t="shared" si="11"/>
        <v/>
      </c>
      <c r="I76" s="20" t="str">
        <f t="shared" si="12"/>
        <v/>
      </c>
      <c r="J76" s="20" t="str">
        <f t="shared" si="13"/>
        <v/>
      </c>
      <c r="K76" s="31" t="str">
        <f t="shared" si="14"/>
        <v/>
      </c>
      <c r="L76" s="23" t="str">
        <f t="shared" si="15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6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9"/>
        <v/>
      </c>
      <c r="G77" s="29" t="str">
        <f t="shared" si="10"/>
        <v/>
      </c>
      <c r="H77" s="20" t="str">
        <f t="shared" si="11"/>
        <v/>
      </c>
      <c r="I77" s="20" t="str">
        <f t="shared" si="12"/>
        <v/>
      </c>
      <c r="J77" s="20" t="str">
        <f t="shared" si="13"/>
        <v/>
      </c>
      <c r="K77" s="31" t="str">
        <f t="shared" si="14"/>
        <v/>
      </c>
      <c r="L77" s="23" t="str">
        <f t="shared" si="15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6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9"/>
        <v/>
      </c>
      <c r="G78" s="29" t="str">
        <f t="shared" si="10"/>
        <v/>
      </c>
      <c r="H78" s="20" t="str">
        <f t="shared" si="11"/>
        <v/>
      </c>
      <c r="I78" s="20" t="str">
        <f t="shared" si="12"/>
        <v/>
      </c>
      <c r="J78" s="20" t="str">
        <f t="shared" si="13"/>
        <v/>
      </c>
      <c r="K78" s="31" t="str">
        <f t="shared" si="14"/>
        <v/>
      </c>
      <c r="L78" s="23" t="str">
        <f t="shared" si="15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6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9"/>
        <v/>
      </c>
      <c r="G79" s="29" t="str">
        <f t="shared" si="10"/>
        <v/>
      </c>
      <c r="H79" s="20" t="str">
        <f t="shared" si="11"/>
        <v/>
      </c>
      <c r="I79" s="20" t="str">
        <f t="shared" si="12"/>
        <v/>
      </c>
      <c r="J79" s="20" t="str">
        <f t="shared" si="13"/>
        <v/>
      </c>
      <c r="K79" s="31" t="str">
        <f t="shared" si="14"/>
        <v/>
      </c>
      <c r="L79" s="23" t="str">
        <f t="shared" si="15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6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9"/>
        <v/>
      </c>
      <c r="G80" s="29" t="str">
        <f t="shared" si="10"/>
        <v/>
      </c>
      <c r="H80" s="20" t="str">
        <f t="shared" si="11"/>
        <v/>
      </c>
      <c r="I80" s="20" t="str">
        <f t="shared" si="12"/>
        <v/>
      </c>
      <c r="J80" s="20" t="str">
        <f t="shared" si="13"/>
        <v/>
      </c>
      <c r="K80" s="31" t="str">
        <f t="shared" si="14"/>
        <v/>
      </c>
      <c r="L80" s="23" t="str">
        <f t="shared" si="15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6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9"/>
        <v/>
      </c>
      <c r="G81" s="29" t="str">
        <f t="shared" si="10"/>
        <v/>
      </c>
      <c r="H81" s="20" t="str">
        <f t="shared" si="11"/>
        <v/>
      </c>
      <c r="I81" s="20" t="str">
        <f t="shared" si="12"/>
        <v/>
      </c>
      <c r="J81" s="20" t="str">
        <f t="shared" si="13"/>
        <v/>
      </c>
      <c r="K81" s="31" t="str">
        <f t="shared" si="14"/>
        <v/>
      </c>
      <c r="L81" s="23" t="str">
        <f t="shared" si="15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6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9"/>
        <v/>
      </c>
      <c r="G82" s="29" t="str">
        <f t="shared" si="10"/>
        <v/>
      </c>
      <c r="H82" s="20" t="str">
        <f t="shared" si="11"/>
        <v/>
      </c>
      <c r="I82" s="20" t="str">
        <f t="shared" si="12"/>
        <v/>
      </c>
      <c r="J82" s="20" t="str">
        <f t="shared" si="13"/>
        <v/>
      </c>
      <c r="K82" s="31" t="str">
        <f t="shared" si="14"/>
        <v/>
      </c>
      <c r="L82" s="23" t="str">
        <f t="shared" si="15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6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9"/>
        <v/>
      </c>
      <c r="G83" s="29" t="str">
        <f t="shared" si="10"/>
        <v/>
      </c>
      <c r="H83" s="20" t="str">
        <f t="shared" si="11"/>
        <v/>
      </c>
      <c r="I83" s="20" t="str">
        <f t="shared" si="12"/>
        <v/>
      </c>
      <c r="J83" s="20" t="str">
        <f t="shared" si="13"/>
        <v/>
      </c>
      <c r="K83" s="31" t="str">
        <f t="shared" si="14"/>
        <v/>
      </c>
      <c r="L83" s="23" t="str">
        <f t="shared" si="15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6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9"/>
        <v/>
      </c>
      <c r="G84" s="29" t="str">
        <f t="shared" si="10"/>
        <v/>
      </c>
      <c r="H84" s="20" t="str">
        <f t="shared" si="11"/>
        <v/>
      </c>
      <c r="I84" s="20" t="str">
        <f t="shared" si="12"/>
        <v/>
      </c>
      <c r="J84" s="20" t="str">
        <f t="shared" si="13"/>
        <v/>
      </c>
      <c r="K84" s="31" t="str">
        <f t="shared" si="14"/>
        <v/>
      </c>
      <c r="L84" s="23" t="str">
        <f t="shared" si="15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6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9"/>
        <v/>
      </c>
      <c r="G85" s="29" t="str">
        <f t="shared" si="10"/>
        <v/>
      </c>
      <c r="H85" s="20" t="str">
        <f t="shared" si="11"/>
        <v/>
      </c>
      <c r="I85" s="20" t="str">
        <f t="shared" si="12"/>
        <v/>
      </c>
      <c r="J85" s="20" t="str">
        <f t="shared" si="13"/>
        <v/>
      </c>
      <c r="K85" s="31" t="str">
        <f t="shared" si="14"/>
        <v/>
      </c>
      <c r="L85" s="23" t="str">
        <f t="shared" si="15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6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9"/>
        <v/>
      </c>
      <c r="G86" s="29" t="str">
        <f t="shared" si="10"/>
        <v/>
      </c>
      <c r="H86" s="20" t="str">
        <f t="shared" si="11"/>
        <v/>
      </c>
      <c r="I86" s="20" t="str">
        <f t="shared" si="12"/>
        <v/>
      </c>
      <c r="J86" s="20" t="str">
        <f t="shared" si="13"/>
        <v/>
      </c>
      <c r="K86" s="31" t="str">
        <f t="shared" si="14"/>
        <v/>
      </c>
      <c r="L86" s="23" t="str">
        <f t="shared" si="15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6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9"/>
        <v/>
      </c>
      <c r="G87" s="29" t="str">
        <f t="shared" si="10"/>
        <v/>
      </c>
      <c r="H87" s="20" t="str">
        <f t="shared" si="11"/>
        <v/>
      </c>
      <c r="I87" s="20" t="str">
        <f t="shared" si="12"/>
        <v/>
      </c>
      <c r="J87" s="20" t="str">
        <f t="shared" si="13"/>
        <v/>
      </c>
      <c r="K87" s="31" t="str">
        <f t="shared" si="14"/>
        <v/>
      </c>
      <c r="L87" s="23" t="str">
        <f t="shared" si="15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6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9"/>
        <v/>
      </c>
      <c r="G88" s="29" t="str">
        <f t="shared" si="10"/>
        <v/>
      </c>
      <c r="H88" s="20" t="str">
        <f t="shared" si="11"/>
        <v/>
      </c>
      <c r="I88" s="20" t="str">
        <f t="shared" si="12"/>
        <v/>
      </c>
      <c r="J88" s="20" t="str">
        <f t="shared" si="13"/>
        <v/>
      </c>
      <c r="K88" s="31" t="str">
        <f t="shared" si="14"/>
        <v/>
      </c>
      <c r="L88" s="23" t="str">
        <f t="shared" si="15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6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9"/>
        <v/>
      </c>
      <c r="G89" s="29" t="str">
        <f t="shared" si="10"/>
        <v/>
      </c>
      <c r="H89" s="20" t="str">
        <f t="shared" si="11"/>
        <v/>
      </c>
      <c r="I89" s="20" t="str">
        <f t="shared" si="12"/>
        <v/>
      </c>
      <c r="J89" s="20" t="str">
        <f t="shared" si="13"/>
        <v/>
      </c>
      <c r="K89" s="31" t="str">
        <f t="shared" si="14"/>
        <v/>
      </c>
      <c r="L89" s="23" t="str">
        <f t="shared" si="15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6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9"/>
        <v/>
      </c>
      <c r="G90" s="29" t="str">
        <f t="shared" si="10"/>
        <v/>
      </c>
      <c r="H90" s="20" t="str">
        <f t="shared" si="11"/>
        <v/>
      </c>
      <c r="I90" s="20" t="str">
        <f t="shared" si="12"/>
        <v/>
      </c>
      <c r="J90" s="20" t="str">
        <f t="shared" si="13"/>
        <v/>
      </c>
      <c r="K90" s="31" t="str">
        <f t="shared" si="14"/>
        <v/>
      </c>
      <c r="L90" s="23" t="str">
        <f t="shared" si="15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6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9"/>
        <v/>
      </c>
      <c r="G91" s="29" t="str">
        <f t="shared" si="10"/>
        <v/>
      </c>
      <c r="H91" s="20" t="str">
        <f t="shared" si="11"/>
        <v/>
      </c>
      <c r="I91" s="20" t="str">
        <f t="shared" si="12"/>
        <v/>
      </c>
      <c r="J91" s="20" t="str">
        <f t="shared" si="13"/>
        <v/>
      </c>
      <c r="K91" s="31" t="str">
        <f t="shared" si="14"/>
        <v/>
      </c>
      <c r="L91" s="23" t="str">
        <f t="shared" si="15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6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9"/>
        <v/>
      </c>
      <c r="G92" s="29" t="str">
        <f t="shared" si="10"/>
        <v/>
      </c>
      <c r="H92" s="20" t="str">
        <f t="shared" si="11"/>
        <v/>
      </c>
      <c r="I92" s="20" t="str">
        <f t="shared" si="12"/>
        <v/>
      </c>
      <c r="J92" s="20" t="str">
        <f t="shared" si="13"/>
        <v/>
      </c>
      <c r="K92" s="31" t="str">
        <f t="shared" si="14"/>
        <v/>
      </c>
      <c r="L92" s="23" t="str">
        <f t="shared" si="15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6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9"/>
        <v/>
      </c>
      <c r="G93" s="29" t="str">
        <f t="shared" si="10"/>
        <v/>
      </c>
      <c r="H93" s="20" t="str">
        <f t="shared" si="11"/>
        <v/>
      </c>
      <c r="I93" s="20" t="str">
        <f t="shared" si="12"/>
        <v/>
      </c>
      <c r="J93" s="20" t="str">
        <f t="shared" si="13"/>
        <v/>
      </c>
      <c r="K93" s="31" t="str">
        <f t="shared" si="14"/>
        <v/>
      </c>
      <c r="L93" s="23" t="str">
        <f t="shared" si="15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6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9"/>
        <v/>
      </c>
      <c r="G94" s="29" t="str">
        <f t="shared" si="10"/>
        <v/>
      </c>
      <c r="H94" s="20" t="str">
        <f t="shared" si="11"/>
        <v/>
      </c>
      <c r="I94" s="20" t="str">
        <f t="shared" si="12"/>
        <v/>
      </c>
      <c r="J94" s="20" t="str">
        <f t="shared" si="13"/>
        <v/>
      </c>
      <c r="K94" s="31" t="str">
        <f t="shared" si="14"/>
        <v/>
      </c>
      <c r="L94" s="23" t="str">
        <f t="shared" si="15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6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9"/>
        <v/>
      </c>
      <c r="G95" s="29" t="str">
        <f t="shared" si="10"/>
        <v/>
      </c>
      <c r="H95" s="20" t="str">
        <f t="shared" si="11"/>
        <v/>
      </c>
      <c r="I95" s="20" t="str">
        <f t="shared" si="12"/>
        <v/>
      </c>
      <c r="J95" s="20" t="str">
        <f t="shared" si="13"/>
        <v/>
      </c>
      <c r="K95" s="31" t="str">
        <f t="shared" si="14"/>
        <v/>
      </c>
      <c r="L95" s="23" t="str">
        <f t="shared" si="15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6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9"/>
        <v/>
      </c>
      <c r="G96" s="29" t="str">
        <f t="shared" si="10"/>
        <v/>
      </c>
      <c r="H96" s="20" t="str">
        <f t="shared" si="11"/>
        <v/>
      </c>
      <c r="I96" s="20" t="str">
        <f t="shared" si="12"/>
        <v/>
      </c>
      <c r="J96" s="20" t="str">
        <f t="shared" si="13"/>
        <v/>
      </c>
      <c r="K96" s="31" t="str">
        <f t="shared" si="14"/>
        <v/>
      </c>
      <c r="L96" s="23" t="str">
        <f t="shared" si="15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6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9"/>
        <v/>
      </c>
      <c r="G97" s="29" t="str">
        <f t="shared" si="10"/>
        <v/>
      </c>
      <c r="H97" s="20" t="str">
        <f t="shared" si="11"/>
        <v/>
      </c>
      <c r="I97" s="20" t="str">
        <f t="shared" si="12"/>
        <v/>
      </c>
      <c r="J97" s="20" t="str">
        <f t="shared" si="13"/>
        <v/>
      </c>
      <c r="K97" s="31" t="str">
        <f t="shared" si="14"/>
        <v/>
      </c>
      <c r="L97" s="23" t="str">
        <f t="shared" si="15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6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9"/>
        <v/>
      </c>
      <c r="G98" s="29" t="str">
        <f t="shared" si="10"/>
        <v/>
      </c>
      <c r="H98" s="20" t="str">
        <f t="shared" si="11"/>
        <v/>
      </c>
      <c r="I98" s="20" t="str">
        <f t="shared" si="12"/>
        <v/>
      </c>
      <c r="J98" s="20" t="str">
        <f t="shared" si="13"/>
        <v/>
      </c>
      <c r="K98" s="31" t="str">
        <f t="shared" si="14"/>
        <v/>
      </c>
      <c r="L98" s="23" t="str">
        <f t="shared" si="15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6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9"/>
        <v/>
      </c>
      <c r="G99" s="29" t="str">
        <f t="shared" si="10"/>
        <v/>
      </c>
      <c r="H99" s="20" t="str">
        <f t="shared" si="11"/>
        <v/>
      </c>
      <c r="I99" s="20" t="str">
        <f t="shared" si="12"/>
        <v/>
      </c>
      <c r="J99" s="20" t="str">
        <f t="shared" si="13"/>
        <v/>
      </c>
      <c r="K99" s="31" t="str">
        <f t="shared" si="14"/>
        <v/>
      </c>
      <c r="L99" s="23" t="str">
        <f t="shared" si="15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6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9"/>
        <v/>
      </c>
      <c r="G100" s="29" t="str">
        <f t="shared" si="10"/>
        <v/>
      </c>
      <c r="H100" s="20" t="str">
        <f t="shared" si="11"/>
        <v/>
      </c>
      <c r="I100" s="20" t="str">
        <f t="shared" si="12"/>
        <v/>
      </c>
      <c r="J100" s="20" t="str">
        <f t="shared" si="13"/>
        <v/>
      </c>
      <c r="K100" s="31" t="str">
        <f t="shared" si="14"/>
        <v/>
      </c>
      <c r="L100" s="23" t="str">
        <f t="shared" si="15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6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9"/>
        <v/>
      </c>
      <c r="G101" s="29" t="str">
        <f t="shared" si="10"/>
        <v/>
      </c>
      <c r="H101" s="20" t="str">
        <f t="shared" si="11"/>
        <v/>
      </c>
      <c r="I101" s="20" t="str">
        <f t="shared" si="12"/>
        <v/>
      </c>
      <c r="J101" s="20" t="str">
        <f t="shared" si="13"/>
        <v/>
      </c>
      <c r="K101" s="31" t="str">
        <f t="shared" si="14"/>
        <v/>
      </c>
      <c r="L101" s="23" t="str">
        <f t="shared" si="15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6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9"/>
        <v/>
      </c>
      <c r="G102" s="29" t="str">
        <f t="shared" si="10"/>
        <v/>
      </c>
      <c r="H102" s="20" t="str">
        <f t="shared" si="11"/>
        <v/>
      </c>
      <c r="I102" s="20" t="str">
        <f t="shared" si="12"/>
        <v/>
      </c>
      <c r="J102" s="20" t="str">
        <f t="shared" si="13"/>
        <v/>
      </c>
      <c r="K102" s="31" t="str">
        <f t="shared" si="14"/>
        <v/>
      </c>
      <c r="L102" s="23" t="str">
        <f t="shared" si="15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6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9"/>
        <v/>
      </c>
      <c r="G103" s="29" t="str">
        <f t="shared" si="10"/>
        <v/>
      </c>
      <c r="H103" s="20" t="str">
        <f t="shared" si="11"/>
        <v/>
      </c>
      <c r="I103" s="20" t="str">
        <f t="shared" si="12"/>
        <v/>
      </c>
      <c r="J103" s="20" t="str">
        <f t="shared" si="13"/>
        <v/>
      </c>
      <c r="K103" s="31" t="str">
        <f t="shared" si="14"/>
        <v/>
      </c>
      <c r="L103" s="23" t="str">
        <f t="shared" si="15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6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9"/>
        <v/>
      </c>
      <c r="G104" s="29" t="str">
        <f t="shared" si="10"/>
        <v/>
      </c>
      <c r="H104" s="20" t="str">
        <f t="shared" si="11"/>
        <v/>
      </c>
      <c r="I104" s="20" t="str">
        <f t="shared" si="12"/>
        <v/>
      </c>
      <c r="J104" s="20" t="str">
        <f t="shared" si="13"/>
        <v/>
      </c>
      <c r="K104" s="31" t="str">
        <f t="shared" si="14"/>
        <v/>
      </c>
      <c r="L104" s="23" t="str">
        <f t="shared" si="15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6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9"/>
        <v/>
      </c>
      <c r="G105" s="29" t="str">
        <f t="shared" si="10"/>
        <v/>
      </c>
      <c r="H105" s="20" t="str">
        <f t="shared" si="11"/>
        <v/>
      </c>
      <c r="I105" s="20" t="str">
        <f t="shared" si="12"/>
        <v/>
      </c>
      <c r="J105" s="20" t="str">
        <f t="shared" si="13"/>
        <v/>
      </c>
      <c r="K105" s="31" t="str">
        <f t="shared" si="14"/>
        <v/>
      </c>
      <c r="L105" s="23" t="str">
        <f t="shared" si="15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6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9"/>
        <v/>
      </c>
      <c r="G106" s="29" t="str">
        <f t="shared" si="10"/>
        <v/>
      </c>
      <c r="H106" s="20" t="str">
        <f t="shared" si="11"/>
        <v/>
      </c>
      <c r="I106" s="20" t="str">
        <f t="shared" si="12"/>
        <v/>
      </c>
      <c r="J106" s="20" t="str">
        <f t="shared" si="13"/>
        <v/>
      </c>
      <c r="K106" s="31" t="str">
        <f t="shared" si="14"/>
        <v/>
      </c>
      <c r="L106" s="23" t="str">
        <f t="shared" si="15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6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9"/>
        <v/>
      </c>
      <c r="G107" s="29" t="str">
        <f t="shared" si="10"/>
        <v/>
      </c>
      <c r="H107" s="20" t="str">
        <f t="shared" si="11"/>
        <v/>
      </c>
      <c r="I107" s="20" t="str">
        <f t="shared" si="12"/>
        <v/>
      </c>
      <c r="J107" s="20" t="str">
        <f t="shared" si="13"/>
        <v/>
      </c>
      <c r="K107" s="31" t="str">
        <f t="shared" si="14"/>
        <v/>
      </c>
      <c r="L107" s="23" t="str">
        <f t="shared" si="15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6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9"/>
        <v/>
      </c>
      <c r="G108" s="29" t="str">
        <f t="shared" si="10"/>
        <v/>
      </c>
      <c r="H108" s="20" t="str">
        <f t="shared" si="11"/>
        <v/>
      </c>
      <c r="I108" s="20" t="str">
        <f t="shared" si="12"/>
        <v/>
      </c>
      <c r="J108" s="20" t="str">
        <f t="shared" si="13"/>
        <v/>
      </c>
      <c r="K108" s="31" t="str">
        <f t="shared" si="14"/>
        <v/>
      </c>
      <c r="L108" s="23" t="str">
        <f t="shared" si="15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6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9"/>
        <v/>
      </c>
      <c r="G109" s="29" t="str">
        <f t="shared" si="10"/>
        <v/>
      </c>
      <c r="H109" s="20" t="str">
        <f t="shared" si="11"/>
        <v/>
      </c>
      <c r="I109" s="20" t="str">
        <f t="shared" si="12"/>
        <v/>
      </c>
      <c r="J109" s="20" t="str">
        <f t="shared" si="13"/>
        <v/>
      </c>
      <c r="K109" s="31" t="str">
        <f t="shared" si="14"/>
        <v/>
      </c>
      <c r="L109" s="23" t="str">
        <f t="shared" si="15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6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9"/>
        <v/>
      </c>
      <c r="G110" s="29" t="str">
        <f t="shared" si="10"/>
        <v/>
      </c>
      <c r="H110" s="20" t="str">
        <f t="shared" si="11"/>
        <v/>
      </c>
      <c r="I110" s="20" t="str">
        <f t="shared" si="12"/>
        <v/>
      </c>
      <c r="J110" s="20" t="str">
        <f t="shared" si="13"/>
        <v/>
      </c>
      <c r="K110" s="31" t="str">
        <f t="shared" si="14"/>
        <v/>
      </c>
      <c r="L110" s="23" t="str">
        <f t="shared" si="15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6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9"/>
        <v/>
      </c>
      <c r="G111" s="29" t="str">
        <f t="shared" si="10"/>
        <v/>
      </c>
      <c r="H111" s="20" t="str">
        <f t="shared" si="11"/>
        <v/>
      </c>
      <c r="I111" s="20" t="str">
        <f t="shared" si="12"/>
        <v/>
      </c>
      <c r="J111" s="20" t="str">
        <f t="shared" si="13"/>
        <v/>
      </c>
      <c r="K111" s="31" t="str">
        <f t="shared" si="14"/>
        <v/>
      </c>
      <c r="L111" s="23" t="str">
        <f t="shared" si="15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6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9"/>
        <v/>
      </c>
      <c r="G112" s="29" t="str">
        <f t="shared" si="10"/>
        <v/>
      </c>
      <c r="H112" s="20" t="str">
        <f t="shared" si="11"/>
        <v/>
      </c>
      <c r="I112" s="20" t="str">
        <f t="shared" si="12"/>
        <v/>
      </c>
      <c r="J112" s="20" t="str">
        <f t="shared" si="13"/>
        <v/>
      </c>
      <c r="K112" s="31" t="str">
        <f t="shared" si="14"/>
        <v/>
      </c>
      <c r="L112" s="23" t="str">
        <f t="shared" si="15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6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9"/>
        <v/>
      </c>
      <c r="G113" s="29" t="str">
        <f t="shared" si="10"/>
        <v/>
      </c>
      <c r="H113" s="20" t="str">
        <f t="shared" si="11"/>
        <v/>
      </c>
      <c r="I113" s="20" t="str">
        <f t="shared" si="12"/>
        <v/>
      </c>
      <c r="J113" s="20" t="str">
        <f t="shared" si="13"/>
        <v/>
      </c>
      <c r="K113" s="31" t="str">
        <f t="shared" si="14"/>
        <v/>
      </c>
      <c r="L113" s="23" t="str">
        <f t="shared" si="15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6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9"/>
        <v/>
      </c>
      <c r="G114" s="29" t="str">
        <f t="shared" si="10"/>
        <v/>
      </c>
      <c r="H114" s="20" t="str">
        <f t="shared" si="11"/>
        <v/>
      </c>
      <c r="I114" s="20" t="str">
        <f t="shared" si="12"/>
        <v/>
      </c>
      <c r="J114" s="20" t="str">
        <f t="shared" si="13"/>
        <v/>
      </c>
      <c r="K114" s="31" t="str">
        <f t="shared" si="14"/>
        <v/>
      </c>
      <c r="L114" s="23" t="str">
        <f t="shared" si="15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6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9"/>
        <v/>
      </c>
      <c r="G115" s="29" t="str">
        <f t="shared" si="10"/>
        <v/>
      </c>
      <c r="H115" s="20" t="str">
        <f t="shared" si="11"/>
        <v/>
      </c>
      <c r="I115" s="20" t="str">
        <f t="shared" si="12"/>
        <v/>
      </c>
      <c r="J115" s="20" t="str">
        <f t="shared" si="13"/>
        <v/>
      </c>
      <c r="K115" s="31" t="str">
        <f t="shared" si="14"/>
        <v/>
      </c>
      <c r="L115" s="23" t="str">
        <f t="shared" si="15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6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9"/>
        <v/>
      </c>
      <c r="G116" s="29" t="str">
        <f t="shared" si="10"/>
        <v/>
      </c>
      <c r="H116" s="20" t="str">
        <f t="shared" si="11"/>
        <v/>
      </c>
      <c r="I116" s="20" t="str">
        <f t="shared" si="12"/>
        <v/>
      </c>
      <c r="J116" s="20" t="str">
        <f t="shared" si="13"/>
        <v/>
      </c>
      <c r="K116" s="31" t="str">
        <f t="shared" si="14"/>
        <v/>
      </c>
      <c r="L116" s="23" t="str">
        <f t="shared" si="15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6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9"/>
        <v/>
      </c>
      <c r="G117" s="29" t="str">
        <f t="shared" si="10"/>
        <v/>
      </c>
      <c r="H117" s="20" t="str">
        <f t="shared" si="11"/>
        <v/>
      </c>
      <c r="I117" s="20" t="str">
        <f t="shared" si="12"/>
        <v/>
      </c>
      <c r="J117" s="20" t="str">
        <f t="shared" si="13"/>
        <v/>
      </c>
      <c r="K117" s="31" t="str">
        <f t="shared" si="14"/>
        <v/>
      </c>
      <c r="L117" s="23" t="str">
        <f t="shared" si="15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6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9"/>
        <v/>
      </c>
      <c r="G118" s="29" t="str">
        <f t="shared" si="10"/>
        <v/>
      </c>
      <c r="H118" s="20" t="str">
        <f t="shared" si="11"/>
        <v/>
      </c>
      <c r="I118" s="20" t="str">
        <f t="shared" si="12"/>
        <v/>
      </c>
      <c r="J118" s="20" t="str">
        <f t="shared" si="13"/>
        <v/>
      </c>
      <c r="K118" s="31" t="str">
        <f t="shared" si="14"/>
        <v/>
      </c>
      <c r="L118" s="23" t="str">
        <f t="shared" si="15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6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9"/>
        <v/>
      </c>
      <c r="G119" s="29" t="str">
        <f t="shared" si="10"/>
        <v/>
      </c>
      <c r="H119" s="20" t="str">
        <f t="shared" si="11"/>
        <v/>
      </c>
      <c r="I119" s="20" t="str">
        <f t="shared" si="12"/>
        <v/>
      </c>
      <c r="J119" s="20" t="str">
        <f t="shared" si="13"/>
        <v/>
      </c>
      <c r="K119" s="31" t="str">
        <f t="shared" si="14"/>
        <v/>
      </c>
      <c r="L119" s="23" t="str">
        <f t="shared" si="15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6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9"/>
        <v/>
      </c>
      <c r="G120" s="29" t="str">
        <f t="shared" si="10"/>
        <v/>
      </c>
      <c r="H120" s="20" t="str">
        <f t="shared" si="11"/>
        <v/>
      </c>
      <c r="I120" s="20" t="str">
        <f t="shared" si="12"/>
        <v/>
      </c>
      <c r="J120" s="20" t="str">
        <f t="shared" si="13"/>
        <v/>
      </c>
      <c r="K120" s="31" t="str">
        <f t="shared" si="14"/>
        <v/>
      </c>
      <c r="L120" s="23" t="str">
        <f t="shared" si="15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6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9"/>
        <v/>
      </c>
      <c r="G121" s="29" t="str">
        <f t="shared" si="10"/>
        <v/>
      </c>
      <c r="H121" s="20" t="str">
        <f t="shared" si="11"/>
        <v/>
      </c>
      <c r="I121" s="20" t="str">
        <f t="shared" si="12"/>
        <v/>
      </c>
      <c r="J121" s="20" t="str">
        <f t="shared" si="13"/>
        <v/>
      </c>
      <c r="K121" s="31" t="str">
        <f t="shared" si="14"/>
        <v/>
      </c>
      <c r="L121" s="23" t="str">
        <f t="shared" si="15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6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9"/>
        <v/>
      </c>
      <c r="G122" s="29" t="str">
        <f t="shared" si="10"/>
        <v/>
      </c>
      <c r="H122" s="20" t="str">
        <f t="shared" si="11"/>
        <v/>
      </c>
      <c r="I122" s="20" t="str">
        <f t="shared" si="12"/>
        <v/>
      </c>
      <c r="J122" s="20" t="str">
        <f t="shared" si="13"/>
        <v/>
      </c>
      <c r="K122" s="31" t="str">
        <f t="shared" si="14"/>
        <v/>
      </c>
      <c r="L122" s="23" t="str">
        <f t="shared" si="15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6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9"/>
        <v/>
      </c>
      <c r="G123" s="29" t="str">
        <f t="shared" si="10"/>
        <v/>
      </c>
      <c r="H123" s="20" t="str">
        <f t="shared" si="11"/>
        <v/>
      </c>
      <c r="I123" s="20" t="str">
        <f t="shared" si="12"/>
        <v/>
      </c>
      <c r="J123" s="20" t="str">
        <f t="shared" si="13"/>
        <v/>
      </c>
      <c r="K123" s="31" t="str">
        <f t="shared" si="14"/>
        <v/>
      </c>
      <c r="L123" s="23" t="str">
        <f t="shared" si="15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6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9"/>
        <v/>
      </c>
      <c r="G124" s="29" t="str">
        <f t="shared" si="10"/>
        <v/>
      </c>
      <c r="H124" s="20" t="str">
        <f t="shared" si="11"/>
        <v/>
      </c>
      <c r="I124" s="20" t="str">
        <f t="shared" si="12"/>
        <v/>
      </c>
      <c r="J124" s="20" t="str">
        <f t="shared" si="13"/>
        <v/>
      </c>
      <c r="K124" s="31" t="str">
        <f t="shared" si="14"/>
        <v/>
      </c>
      <c r="L124" s="23" t="str">
        <f t="shared" si="15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6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9"/>
        <v/>
      </c>
      <c r="G125" s="29" t="str">
        <f t="shared" si="10"/>
        <v/>
      </c>
      <c r="H125" s="20" t="str">
        <f t="shared" si="11"/>
        <v/>
      </c>
      <c r="I125" s="20" t="str">
        <f t="shared" si="12"/>
        <v/>
      </c>
      <c r="J125" s="20" t="str">
        <f t="shared" si="13"/>
        <v/>
      </c>
      <c r="K125" s="31" t="str">
        <f t="shared" si="14"/>
        <v/>
      </c>
      <c r="L125" s="23" t="str">
        <f t="shared" si="15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6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9"/>
        <v/>
      </c>
      <c r="G126" s="29" t="str">
        <f t="shared" si="10"/>
        <v/>
      </c>
      <c r="H126" s="20" t="str">
        <f t="shared" si="11"/>
        <v/>
      </c>
      <c r="I126" s="20" t="str">
        <f t="shared" si="12"/>
        <v/>
      </c>
      <c r="J126" s="20" t="str">
        <f t="shared" si="13"/>
        <v/>
      </c>
      <c r="K126" s="31" t="str">
        <f t="shared" si="14"/>
        <v/>
      </c>
      <c r="L126" s="23" t="str">
        <f t="shared" si="15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6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9"/>
        <v/>
      </c>
      <c r="G127" s="29" t="str">
        <f t="shared" si="10"/>
        <v/>
      </c>
      <c r="H127" s="20" t="str">
        <f t="shared" si="11"/>
        <v/>
      </c>
      <c r="I127" s="20" t="str">
        <f t="shared" si="12"/>
        <v/>
      </c>
      <c r="J127" s="20" t="str">
        <f t="shared" si="13"/>
        <v/>
      </c>
      <c r="K127" s="31" t="str">
        <f t="shared" si="14"/>
        <v/>
      </c>
      <c r="L127" s="23" t="str">
        <f t="shared" si="15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6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9"/>
        <v/>
      </c>
      <c r="G128" s="29" t="str">
        <f t="shared" si="10"/>
        <v/>
      </c>
      <c r="H128" s="20" t="str">
        <f t="shared" si="11"/>
        <v/>
      </c>
      <c r="I128" s="20" t="str">
        <f t="shared" si="12"/>
        <v/>
      </c>
      <c r="J128" s="20" t="str">
        <f t="shared" si="13"/>
        <v/>
      </c>
      <c r="K128" s="31" t="str">
        <f t="shared" si="14"/>
        <v/>
      </c>
      <c r="L128" s="23" t="str">
        <f t="shared" si="15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6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9"/>
        <v/>
      </c>
      <c r="G129" s="29" t="str">
        <f t="shared" si="10"/>
        <v/>
      </c>
      <c r="H129" s="20" t="str">
        <f t="shared" si="11"/>
        <v/>
      </c>
      <c r="I129" s="20" t="str">
        <f t="shared" si="12"/>
        <v/>
      </c>
      <c r="J129" s="20" t="str">
        <f t="shared" si="13"/>
        <v/>
      </c>
      <c r="K129" s="31" t="str">
        <f t="shared" si="14"/>
        <v/>
      </c>
      <c r="L129" s="23" t="str">
        <f t="shared" si="15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6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9"/>
        <v/>
      </c>
      <c r="G130" s="29" t="str">
        <f t="shared" si="10"/>
        <v/>
      </c>
      <c r="H130" s="20" t="str">
        <f t="shared" si="11"/>
        <v/>
      </c>
      <c r="I130" s="20" t="str">
        <f t="shared" si="12"/>
        <v/>
      </c>
      <c r="J130" s="20" t="str">
        <f t="shared" si="13"/>
        <v/>
      </c>
      <c r="K130" s="31" t="str">
        <f t="shared" si="14"/>
        <v/>
      </c>
      <c r="L130" s="23" t="str">
        <f t="shared" si="15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6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9"/>
        <v/>
      </c>
      <c r="G131" s="29" t="str">
        <f t="shared" si="10"/>
        <v/>
      </c>
      <c r="H131" s="20" t="str">
        <f t="shared" si="11"/>
        <v/>
      </c>
      <c r="I131" s="20" t="str">
        <f t="shared" si="12"/>
        <v/>
      </c>
      <c r="J131" s="20" t="str">
        <f t="shared" si="13"/>
        <v/>
      </c>
      <c r="K131" s="31" t="str">
        <f t="shared" si="14"/>
        <v/>
      </c>
      <c r="L131" s="23" t="str">
        <f t="shared" si="15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6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9"/>
        <v/>
      </c>
      <c r="G132" s="29" t="str">
        <f t="shared" si="10"/>
        <v/>
      </c>
      <c r="H132" s="20" t="str">
        <f t="shared" si="11"/>
        <v/>
      </c>
      <c r="I132" s="20" t="str">
        <f t="shared" si="12"/>
        <v/>
      </c>
      <c r="J132" s="20" t="str">
        <f t="shared" si="13"/>
        <v/>
      </c>
      <c r="K132" s="31" t="str">
        <f t="shared" si="14"/>
        <v/>
      </c>
      <c r="L132" s="23" t="str">
        <f t="shared" si="15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6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9"/>
        <v/>
      </c>
      <c r="G133" s="29" t="str">
        <f t="shared" si="10"/>
        <v/>
      </c>
      <c r="H133" s="20" t="str">
        <f t="shared" si="11"/>
        <v/>
      </c>
      <c r="I133" s="20" t="str">
        <f t="shared" si="12"/>
        <v/>
      </c>
      <c r="J133" s="20" t="str">
        <f t="shared" si="13"/>
        <v/>
      </c>
      <c r="K133" s="31" t="str">
        <f t="shared" si="14"/>
        <v/>
      </c>
      <c r="L133" s="23" t="str">
        <f t="shared" si="15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6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9"/>
        <v/>
      </c>
      <c r="G134" s="29" t="str">
        <f t="shared" si="10"/>
        <v/>
      </c>
      <c r="H134" s="20" t="str">
        <f t="shared" si="11"/>
        <v/>
      </c>
      <c r="I134" s="20" t="str">
        <f t="shared" si="12"/>
        <v/>
      </c>
      <c r="J134" s="20" t="str">
        <f t="shared" si="13"/>
        <v/>
      </c>
      <c r="K134" s="31" t="str">
        <f t="shared" si="14"/>
        <v/>
      </c>
      <c r="L134" s="23" t="str">
        <f t="shared" si="15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6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9"/>
        <v/>
      </c>
      <c r="G135" s="29" t="str">
        <f t="shared" si="10"/>
        <v/>
      </c>
      <c r="H135" s="20" t="str">
        <f t="shared" si="11"/>
        <v/>
      </c>
      <c r="I135" s="20" t="str">
        <f t="shared" si="12"/>
        <v/>
      </c>
      <c r="J135" s="20" t="str">
        <f t="shared" si="13"/>
        <v/>
      </c>
      <c r="K135" s="31" t="str">
        <f t="shared" si="14"/>
        <v/>
      </c>
      <c r="L135" s="23" t="str">
        <f t="shared" si="15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6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9"/>
        <v/>
      </c>
      <c r="G136" s="29" t="str">
        <f t="shared" si="10"/>
        <v/>
      </c>
      <c r="H136" s="20" t="str">
        <f t="shared" si="11"/>
        <v/>
      </c>
      <c r="I136" s="20" t="str">
        <f t="shared" si="12"/>
        <v/>
      </c>
      <c r="J136" s="20" t="str">
        <f t="shared" si="13"/>
        <v/>
      </c>
      <c r="K136" s="31" t="str">
        <f t="shared" si="14"/>
        <v/>
      </c>
      <c r="L136" s="23" t="str">
        <f t="shared" si="15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6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7">IF(G137&lt;&gt;"",R137&amp;S137,"")</f>
        <v/>
      </c>
      <c r="G137" s="29" t="str">
        <f t="shared" ref="G137:G199" si="18">IF(AND((S137 &lt;&gt; ""),(S137 &gt;= 0)), ABS(IF(OR((R137=""),(R137="　")), S137, T137)), "")</f>
        <v/>
      </c>
      <c r="H137" s="20" t="str">
        <f t="shared" ref="H137:H199" si="19">IF(OR((R137=""),(R137="　")),IF(G137 &lt;&gt; "", T137, ""),IF(G137 &lt;&gt; "", U137, ""))</f>
        <v/>
      </c>
      <c r="I137" s="20" t="str">
        <f t="shared" ref="I137:I199" si="20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1">IF(G137 &lt;&gt; "", IF(OR((R137=""),(R137="　")), V137, W137),"")</f>
        <v/>
      </c>
      <c r="K137" s="31" t="str">
        <f t="shared" ref="K137:K199" si="22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3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4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7"/>
        <v/>
      </c>
      <c r="G138" s="29" t="str">
        <f t="shared" si="18"/>
        <v/>
      </c>
      <c r="H138" s="20" t="str">
        <f t="shared" si="19"/>
        <v/>
      </c>
      <c r="I138" s="20" t="str">
        <f t="shared" si="20"/>
        <v/>
      </c>
      <c r="J138" s="20" t="str">
        <f t="shared" si="21"/>
        <v/>
      </c>
      <c r="K138" s="31" t="str">
        <f t="shared" si="22"/>
        <v/>
      </c>
      <c r="L138" s="23" t="str">
        <f t="shared" si="23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4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7"/>
        <v/>
      </c>
      <c r="G139" s="29" t="str">
        <f t="shared" si="18"/>
        <v/>
      </c>
      <c r="H139" s="20" t="str">
        <f t="shared" si="19"/>
        <v/>
      </c>
      <c r="I139" s="20" t="str">
        <f t="shared" si="20"/>
        <v/>
      </c>
      <c r="J139" s="20" t="str">
        <f t="shared" si="21"/>
        <v/>
      </c>
      <c r="K139" s="31" t="str">
        <f t="shared" si="22"/>
        <v/>
      </c>
      <c r="L139" s="23" t="str">
        <f t="shared" si="23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4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7"/>
        <v/>
      </c>
      <c r="G140" s="29" t="str">
        <f t="shared" si="18"/>
        <v/>
      </c>
      <c r="H140" s="20" t="str">
        <f t="shared" si="19"/>
        <v/>
      </c>
      <c r="I140" s="20" t="str">
        <f t="shared" si="20"/>
        <v/>
      </c>
      <c r="J140" s="20" t="str">
        <f t="shared" si="21"/>
        <v/>
      </c>
      <c r="K140" s="31" t="str">
        <f t="shared" si="22"/>
        <v/>
      </c>
      <c r="L140" s="23" t="str">
        <f t="shared" si="23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4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7"/>
        <v/>
      </c>
      <c r="G141" s="29" t="str">
        <f t="shared" si="18"/>
        <v/>
      </c>
      <c r="H141" s="20" t="str">
        <f t="shared" si="19"/>
        <v/>
      </c>
      <c r="I141" s="20" t="str">
        <f t="shared" si="20"/>
        <v/>
      </c>
      <c r="J141" s="20" t="str">
        <f t="shared" si="21"/>
        <v/>
      </c>
      <c r="K141" s="31" t="str">
        <f t="shared" si="22"/>
        <v/>
      </c>
      <c r="L141" s="23" t="str">
        <f t="shared" si="23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4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7"/>
        <v/>
      </c>
      <c r="G142" s="29" t="str">
        <f t="shared" si="18"/>
        <v/>
      </c>
      <c r="H142" s="20" t="str">
        <f t="shared" si="19"/>
        <v/>
      </c>
      <c r="I142" s="20" t="str">
        <f t="shared" si="20"/>
        <v/>
      </c>
      <c r="J142" s="20" t="str">
        <f t="shared" si="21"/>
        <v/>
      </c>
      <c r="K142" s="31" t="str">
        <f t="shared" si="22"/>
        <v/>
      </c>
      <c r="L142" s="23" t="str">
        <f t="shared" si="23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4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7"/>
        <v/>
      </c>
      <c r="G143" s="29" t="str">
        <f t="shared" si="18"/>
        <v/>
      </c>
      <c r="H143" s="20" t="str">
        <f t="shared" si="19"/>
        <v/>
      </c>
      <c r="I143" s="20" t="str">
        <f t="shared" si="20"/>
        <v/>
      </c>
      <c r="J143" s="20" t="str">
        <f t="shared" si="21"/>
        <v/>
      </c>
      <c r="K143" s="31" t="str">
        <f t="shared" si="22"/>
        <v/>
      </c>
      <c r="L143" s="23" t="str">
        <f t="shared" si="23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4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7"/>
        <v/>
      </c>
      <c r="G144" s="29" t="str">
        <f t="shared" si="18"/>
        <v/>
      </c>
      <c r="H144" s="20" t="str">
        <f t="shared" si="19"/>
        <v/>
      </c>
      <c r="I144" s="20" t="str">
        <f t="shared" si="20"/>
        <v/>
      </c>
      <c r="J144" s="20" t="str">
        <f t="shared" si="21"/>
        <v/>
      </c>
      <c r="K144" s="31" t="str">
        <f t="shared" si="22"/>
        <v/>
      </c>
      <c r="L144" s="23" t="str">
        <f t="shared" si="23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4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7"/>
        <v/>
      </c>
      <c r="G145" s="29" t="str">
        <f t="shared" si="18"/>
        <v/>
      </c>
      <c r="H145" s="20" t="str">
        <f t="shared" si="19"/>
        <v/>
      </c>
      <c r="I145" s="20" t="str">
        <f t="shared" si="20"/>
        <v/>
      </c>
      <c r="J145" s="20" t="str">
        <f t="shared" si="21"/>
        <v/>
      </c>
      <c r="K145" s="31" t="str">
        <f t="shared" si="22"/>
        <v/>
      </c>
      <c r="L145" s="23" t="str">
        <f t="shared" si="23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4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7"/>
        <v/>
      </c>
      <c r="G146" s="29" t="str">
        <f t="shared" si="18"/>
        <v/>
      </c>
      <c r="H146" s="20" t="str">
        <f t="shared" si="19"/>
        <v/>
      </c>
      <c r="I146" s="20" t="str">
        <f t="shared" si="20"/>
        <v/>
      </c>
      <c r="J146" s="20" t="str">
        <f t="shared" si="21"/>
        <v/>
      </c>
      <c r="K146" s="31" t="str">
        <f t="shared" si="22"/>
        <v/>
      </c>
      <c r="L146" s="23" t="str">
        <f t="shared" si="23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4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7"/>
        <v/>
      </c>
      <c r="G147" s="29" t="str">
        <f t="shared" si="18"/>
        <v/>
      </c>
      <c r="H147" s="20" t="str">
        <f t="shared" si="19"/>
        <v/>
      </c>
      <c r="I147" s="20" t="str">
        <f t="shared" si="20"/>
        <v/>
      </c>
      <c r="J147" s="20" t="str">
        <f t="shared" si="21"/>
        <v/>
      </c>
      <c r="K147" s="31" t="str">
        <f t="shared" si="22"/>
        <v/>
      </c>
      <c r="L147" s="23" t="str">
        <f t="shared" si="23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4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7"/>
        <v/>
      </c>
      <c r="G148" s="29" t="str">
        <f t="shared" si="18"/>
        <v/>
      </c>
      <c r="H148" s="20" t="str">
        <f t="shared" si="19"/>
        <v/>
      </c>
      <c r="I148" s="20" t="str">
        <f t="shared" si="20"/>
        <v/>
      </c>
      <c r="J148" s="20" t="str">
        <f t="shared" si="21"/>
        <v/>
      </c>
      <c r="K148" s="31" t="str">
        <f t="shared" si="22"/>
        <v/>
      </c>
      <c r="L148" s="23" t="str">
        <f t="shared" si="23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4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7"/>
        <v/>
      </c>
      <c r="G149" s="29" t="str">
        <f t="shared" si="18"/>
        <v/>
      </c>
      <c r="H149" s="20" t="str">
        <f t="shared" si="19"/>
        <v/>
      </c>
      <c r="I149" s="20" t="str">
        <f t="shared" si="20"/>
        <v/>
      </c>
      <c r="J149" s="20" t="str">
        <f t="shared" si="21"/>
        <v/>
      </c>
      <c r="K149" s="31" t="str">
        <f t="shared" si="22"/>
        <v/>
      </c>
      <c r="L149" s="23" t="str">
        <f t="shared" si="23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4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7"/>
        <v/>
      </c>
      <c r="G150" s="29" t="str">
        <f t="shared" si="18"/>
        <v/>
      </c>
      <c r="H150" s="20" t="str">
        <f t="shared" si="19"/>
        <v/>
      </c>
      <c r="I150" s="20" t="str">
        <f t="shared" si="20"/>
        <v/>
      </c>
      <c r="J150" s="20" t="str">
        <f t="shared" si="21"/>
        <v/>
      </c>
      <c r="K150" s="31" t="str">
        <f t="shared" si="22"/>
        <v/>
      </c>
      <c r="L150" s="23" t="str">
        <f t="shared" si="23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4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7"/>
        <v/>
      </c>
      <c r="G151" s="29" t="str">
        <f t="shared" si="18"/>
        <v/>
      </c>
      <c r="H151" s="20" t="str">
        <f t="shared" si="19"/>
        <v/>
      </c>
      <c r="I151" s="20" t="str">
        <f t="shared" si="20"/>
        <v/>
      </c>
      <c r="J151" s="20" t="str">
        <f t="shared" si="21"/>
        <v/>
      </c>
      <c r="K151" s="31" t="str">
        <f t="shared" si="22"/>
        <v/>
      </c>
      <c r="L151" s="23" t="str">
        <f t="shared" si="23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4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7"/>
        <v/>
      </c>
      <c r="G152" s="29" t="str">
        <f t="shared" si="18"/>
        <v/>
      </c>
      <c r="H152" s="20" t="str">
        <f t="shared" si="19"/>
        <v/>
      </c>
      <c r="I152" s="20" t="str">
        <f t="shared" si="20"/>
        <v/>
      </c>
      <c r="J152" s="20" t="str">
        <f t="shared" si="21"/>
        <v/>
      </c>
      <c r="K152" s="31" t="str">
        <f t="shared" si="22"/>
        <v/>
      </c>
      <c r="L152" s="23" t="str">
        <f t="shared" si="23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4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7"/>
        <v/>
      </c>
      <c r="G153" s="29" t="str">
        <f t="shared" si="18"/>
        <v/>
      </c>
      <c r="H153" s="20" t="str">
        <f t="shared" si="19"/>
        <v/>
      </c>
      <c r="I153" s="20" t="str">
        <f t="shared" si="20"/>
        <v/>
      </c>
      <c r="J153" s="20" t="str">
        <f t="shared" si="21"/>
        <v/>
      </c>
      <c r="K153" s="31" t="str">
        <f t="shared" si="22"/>
        <v/>
      </c>
      <c r="L153" s="23" t="str">
        <f t="shared" si="23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4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7"/>
        <v/>
      </c>
      <c r="G154" s="29" t="str">
        <f t="shared" si="18"/>
        <v/>
      </c>
      <c r="H154" s="20" t="str">
        <f t="shared" si="19"/>
        <v/>
      </c>
      <c r="I154" s="20" t="str">
        <f t="shared" si="20"/>
        <v/>
      </c>
      <c r="J154" s="20" t="str">
        <f t="shared" si="21"/>
        <v/>
      </c>
      <c r="K154" s="31" t="str">
        <f t="shared" si="22"/>
        <v/>
      </c>
      <c r="L154" s="23" t="str">
        <f t="shared" si="23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4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7"/>
        <v/>
      </c>
      <c r="G155" s="29" t="str">
        <f t="shared" si="18"/>
        <v/>
      </c>
      <c r="H155" s="20" t="str">
        <f t="shared" si="19"/>
        <v/>
      </c>
      <c r="I155" s="20" t="str">
        <f t="shared" si="20"/>
        <v/>
      </c>
      <c r="J155" s="20" t="str">
        <f t="shared" si="21"/>
        <v/>
      </c>
      <c r="K155" s="31" t="str">
        <f t="shared" si="22"/>
        <v/>
      </c>
      <c r="L155" s="23" t="str">
        <f t="shared" si="23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4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7"/>
        <v/>
      </c>
      <c r="G156" s="29" t="str">
        <f t="shared" si="18"/>
        <v/>
      </c>
      <c r="H156" s="20" t="str">
        <f t="shared" si="19"/>
        <v/>
      </c>
      <c r="I156" s="20" t="str">
        <f t="shared" si="20"/>
        <v/>
      </c>
      <c r="J156" s="20" t="str">
        <f t="shared" si="21"/>
        <v/>
      </c>
      <c r="K156" s="31" t="str">
        <f t="shared" si="22"/>
        <v/>
      </c>
      <c r="L156" s="23" t="str">
        <f t="shared" si="23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4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7"/>
        <v/>
      </c>
      <c r="G157" s="29" t="str">
        <f t="shared" si="18"/>
        <v/>
      </c>
      <c r="H157" s="20" t="str">
        <f t="shared" si="19"/>
        <v/>
      </c>
      <c r="I157" s="20" t="str">
        <f t="shared" si="20"/>
        <v/>
      </c>
      <c r="J157" s="20" t="str">
        <f t="shared" si="21"/>
        <v/>
      </c>
      <c r="K157" s="31" t="str">
        <f t="shared" si="22"/>
        <v/>
      </c>
      <c r="L157" s="23" t="str">
        <f t="shared" si="23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4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7"/>
        <v/>
      </c>
      <c r="G158" s="29" t="str">
        <f t="shared" si="18"/>
        <v/>
      </c>
      <c r="H158" s="20" t="str">
        <f t="shared" si="19"/>
        <v/>
      </c>
      <c r="I158" s="20" t="str">
        <f t="shared" si="20"/>
        <v/>
      </c>
      <c r="J158" s="20" t="str">
        <f t="shared" si="21"/>
        <v/>
      </c>
      <c r="K158" s="31" t="str">
        <f t="shared" si="22"/>
        <v/>
      </c>
      <c r="L158" s="23" t="str">
        <f t="shared" si="23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4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7"/>
        <v/>
      </c>
      <c r="G159" s="29" t="str">
        <f t="shared" si="18"/>
        <v/>
      </c>
      <c r="H159" s="20" t="str">
        <f t="shared" si="19"/>
        <v/>
      </c>
      <c r="I159" s="20" t="str">
        <f t="shared" si="20"/>
        <v/>
      </c>
      <c r="J159" s="20" t="str">
        <f t="shared" si="21"/>
        <v/>
      </c>
      <c r="K159" s="31" t="str">
        <f t="shared" si="22"/>
        <v/>
      </c>
      <c r="L159" s="23" t="str">
        <f t="shared" si="23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4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7"/>
        <v/>
      </c>
      <c r="G160" s="29" t="str">
        <f t="shared" si="18"/>
        <v/>
      </c>
      <c r="H160" s="20" t="str">
        <f t="shared" si="19"/>
        <v/>
      </c>
      <c r="I160" s="20" t="str">
        <f t="shared" si="20"/>
        <v/>
      </c>
      <c r="J160" s="20" t="str">
        <f t="shared" si="21"/>
        <v/>
      </c>
      <c r="K160" s="31" t="str">
        <f t="shared" si="22"/>
        <v/>
      </c>
      <c r="L160" s="23" t="str">
        <f t="shared" si="23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4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7"/>
        <v/>
      </c>
      <c r="G161" s="29" t="str">
        <f t="shared" si="18"/>
        <v/>
      </c>
      <c r="H161" s="20" t="str">
        <f t="shared" si="19"/>
        <v/>
      </c>
      <c r="I161" s="20" t="str">
        <f t="shared" si="20"/>
        <v/>
      </c>
      <c r="J161" s="20" t="str">
        <f t="shared" si="21"/>
        <v/>
      </c>
      <c r="K161" s="31" t="str">
        <f t="shared" si="22"/>
        <v/>
      </c>
      <c r="L161" s="23" t="str">
        <f t="shared" si="23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4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7"/>
        <v/>
      </c>
      <c r="G162" s="29" t="str">
        <f t="shared" si="18"/>
        <v/>
      </c>
      <c r="H162" s="20" t="str">
        <f t="shared" si="19"/>
        <v/>
      </c>
      <c r="I162" s="20" t="str">
        <f t="shared" si="20"/>
        <v/>
      </c>
      <c r="J162" s="20" t="str">
        <f t="shared" si="21"/>
        <v/>
      </c>
      <c r="K162" s="31" t="str">
        <f t="shared" si="22"/>
        <v/>
      </c>
      <c r="L162" s="23" t="str">
        <f t="shared" si="23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4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7"/>
        <v/>
      </c>
      <c r="G163" s="29" t="str">
        <f t="shared" si="18"/>
        <v/>
      </c>
      <c r="H163" s="20" t="str">
        <f t="shared" si="19"/>
        <v/>
      </c>
      <c r="I163" s="20" t="str">
        <f t="shared" si="20"/>
        <v/>
      </c>
      <c r="J163" s="20" t="str">
        <f t="shared" si="21"/>
        <v/>
      </c>
      <c r="K163" s="31" t="str">
        <f t="shared" si="22"/>
        <v/>
      </c>
      <c r="L163" s="23" t="str">
        <f t="shared" si="23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4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7"/>
        <v/>
      </c>
      <c r="G164" s="29" t="str">
        <f t="shared" si="18"/>
        <v/>
      </c>
      <c r="H164" s="20" t="str">
        <f t="shared" si="19"/>
        <v/>
      </c>
      <c r="I164" s="20" t="str">
        <f t="shared" si="20"/>
        <v/>
      </c>
      <c r="J164" s="20" t="str">
        <f t="shared" si="21"/>
        <v/>
      </c>
      <c r="K164" s="31" t="str">
        <f t="shared" si="22"/>
        <v/>
      </c>
      <c r="L164" s="23" t="str">
        <f t="shared" si="23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4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7"/>
        <v/>
      </c>
      <c r="G165" s="29" t="str">
        <f t="shared" si="18"/>
        <v/>
      </c>
      <c r="H165" s="20" t="str">
        <f t="shared" si="19"/>
        <v/>
      </c>
      <c r="I165" s="20" t="str">
        <f t="shared" si="20"/>
        <v/>
      </c>
      <c r="J165" s="20" t="str">
        <f t="shared" si="21"/>
        <v/>
      </c>
      <c r="K165" s="31" t="str">
        <f t="shared" si="22"/>
        <v/>
      </c>
      <c r="L165" s="23" t="str">
        <f t="shared" si="23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4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7"/>
        <v/>
      </c>
      <c r="G166" s="29" t="str">
        <f t="shared" si="18"/>
        <v/>
      </c>
      <c r="H166" s="20" t="str">
        <f t="shared" si="19"/>
        <v/>
      </c>
      <c r="I166" s="20" t="str">
        <f t="shared" si="20"/>
        <v/>
      </c>
      <c r="J166" s="20" t="str">
        <f t="shared" si="21"/>
        <v/>
      </c>
      <c r="K166" s="31" t="str">
        <f t="shared" si="22"/>
        <v/>
      </c>
      <c r="L166" s="23" t="str">
        <f t="shared" si="23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4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7"/>
        <v/>
      </c>
      <c r="G167" s="29" t="str">
        <f t="shared" si="18"/>
        <v/>
      </c>
      <c r="H167" s="20" t="str">
        <f t="shared" si="19"/>
        <v/>
      </c>
      <c r="I167" s="20" t="str">
        <f t="shared" si="20"/>
        <v/>
      </c>
      <c r="J167" s="20" t="str">
        <f t="shared" si="21"/>
        <v/>
      </c>
      <c r="K167" s="31" t="str">
        <f t="shared" si="22"/>
        <v/>
      </c>
      <c r="L167" s="23" t="str">
        <f t="shared" si="23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4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7"/>
        <v/>
      </c>
      <c r="G168" s="29" t="str">
        <f t="shared" si="18"/>
        <v/>
      </c>
      <c r="H168" s="20" t="str">
        <f t="shared" si="19"/>
        <v/>
      </c>
      <c r="I168" s="20" t="str">
        <f t="shared" si="20"/>
        <v/>
      </c>
      <c r="J168" s="20" t="str">
        <f t="shared" si="21"/>
        <v/>
      </c>
      <c r="K168" s="31" t="str">
        <f t="shared" si="22"/>
        <v/>
      </c>
      <c r="L168" s="23" t="str">
        <f t="shared" si="23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4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7"/>
        <v/>
      </c>
      <c r="G169" s="29" t="str">
        <f t="shared" si="18"/>
        <v/>
      </c>
      <c r="H169" s="20" t="str">
        <f t="shared" si="19"/>
        <v/>
      </c>
      <c r="I169" s="20" t="str">
        <f t="shared" si="20"/>
        <v/>
      </c>
      <c r="J169" s="20" t="str">
        <f t="shared" si="21"/>
        <v/>
      </c>
      <c r="K169" s="31" t="str">
        <f t="shared" si="22"/>
        <v/>
      </c>
      <c r="L169" s="23" t="str">
        <f t="shared" si="23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4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7"/>
        <v/>
      </c>
      <c r="G170" s="29" t="str">
        <f t="shared" si="18"/>
        <v/>
      </c>
      <c r="H170" s="20" t="str">
        <f t="shared" si="19"/>
        <v/>
      </c>
      <c r="I170" s="20" t="str">
        <f t="shared" si="20"/>
        <v/>
      </c>
      <c r="J170" s="20" t="str">
        <f t="shared" si="21"/>
        <v/>
      </c>
      <c r="K170" s="31" t="str">
        <f t="shared" si="22"/>
        <v/>
      </c>
      <c r="L170" s="23" t="str">
        <f t="shared" si="23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4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7"/>
        <v/>
      </c>
      <c r="G171" s="29" t="str">
        <f t="shared" si="18"/>
        <v/>
      </c>
      <c r="H171" s="20" t="str">
        <f t="shared" si="19"/>
        <v/>
      </c>
      <c r="I171" s="20" t="str">
        <f t="shared" si="20"/>
        <v/>
      </c>
      <c r="J171" s="20" t="str">
        <f t="shared" si="21"/>
        <v/>
      </c>
      <c r="K171" s="31" t="str">
        <f t="shared" si="22"/>
        <v/>
      </c>
      <c r="L171" s="23" t="str">
        <f t="shared" si="23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4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7"/>
        <v/>
      </c>
      <c r="G172" s="29" t="str">
        <f t="shared" si="18"/>
        <v/>
      </c>
      <c r="H172" s="20" t="str">
        <f t="shared" si="19"/>
        <v/>
      </c>
      <c r="I172" s="20" t="str">
        <f t="shared" si="20"/>
        <v/>
      </c>
      <c r="J172" s="20" t="str">
        <f t="shared" si="21"/>
        <v/>
      </c>
      <c r="K172" s="31" t="str">
        <f t="shared" si="22"/>
        <v/>
      </c>
      <c r="L172" s="23" t="str">
        <f t="shared" si="23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4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7"/>
        <v/>
      </c>
      <c r="G173" s="29" t="str">
        <f t="shared" si="18"/>
        <v/>
      </c>
      <c r="H173" s="20" t="str">
        <f t="shared" si="19"/>
        <v/>
      </c>
      <c r="I173" s="20" t="str">
        <f t="shared" si="20"/>
        <v/>
      </c>
      <c r="J173" s="20" t="str">
        <f t="shared" si="21"/>
        <v/>
      </c>
      <c r="K173" s="31" t="str">
        <f t="shared" si="22"/>
        <v/>
      </c>
      <c r="L173" s="23" t="str">
        <f t="shared" si="23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4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7"/>
        <v/>
      </c>
      <c r="G174" s="29" t="str">
        <f t="shared" si="18"/>
        <v/>
      </c>
      <c r="H174" s="20" t="str">
        <f t="shared" si="19"/>
        <v/>
      </c>
      <c r="I174" s="20" t="str">
        <f t="shared" si="20"/>
        <v/>
      </c>
      <c r="J174" s="20" t="str">
        <f t="shared" si="21"/>
        <v/>
      </c>
      <c r="K174" s="31" t="str">
        <f t="shared" si="22"/>
        <v/>
      </c>
      <c r="L174" s="23" t="str">
        <f t="shared" si="23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4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7"/>
        <v/>
      </c>
      <c r="G175" s="29" t="str">
        <f t="shared" si="18"/>
        <v/>
      </c>
      <c r="H175" s="20" t="str">
        <f t="shared" si="19"/>
        <v/>
      </c>
      <c r="I175" s="20" t="str">
        <f t="shared" si="20"/>
        <v/>
      </c>
      <c r="J175" s="20" t="str">
        <f t="shared" si="21"/>
        <v/>
      </c>
      <c r="K175" s="31" t="str">
        <f t="shared" si="22"/>
        <v/>
      </c>
      <c r="L175" s="23" t="str">
        <f t="shared" si="23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4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7"/>
        <v/>
      </c>
      <c r="G176" s="29" t="str">
        <f t="shared" si="18"/>
        <v/>
      </c>
      <c r="H176" s="20" t="str">
        <f t="shared" si="19"/>
        <v/>
      </c>
      <c r="I176" s="20" t="str">
        <f t="shared" si="20"/>
        <v/>
      </c>
      <c r="J176" s="20" t="str">
        <f t="shared" si="21"/>
        <v/>
      </c>
      <c r="K176" s="31" t="str">
        <f t="shared" si="22"/>
        <v/>
      </c>
      <c r="L176" s="23" t="str">
        <f t="shared" si="23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4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7"/>
        <v/>
      </c>
      <c r="G177" s="29" t="str">
        <f t="shared" si="18"/>
        <v/>
      </c>
      <c r="H177" s="20" t="str">
        <f t="shared" si="19"/>
        <v/>
      </c>
      <c r="I177" s="20" t="str">
        <f t="shared" si="20"/>
        <v/>
      </c>
      <c r="J177" s="20" t="str">
        <f t="shared" si="21"/>
        <v/>
      </c>
      <c r="K177" s="31" t="str">
        <f t="shared" si="22"/>
        <v/>
      </c>
      <c r="L177" s="23" t="str">
        <f t="shared" si="23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4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7"/>
        <v/>
      </c>
      <c r="G178" s="29" t="str">
        <f t="shared" si="18"/>
        <v/>
      </c>
      <c r="H178" s="20" t="str">
        <f t="shared" si="19"/>
        <v/>
      </c>
      <c r="I178" s="20" t="str">
        <f t="shared" si="20"/>
        <v/>
      </c>
      <c r="J178" s="20" t="str">
        <f t="shared" si="21"/>
        <v/>
      </c>
      <c r="K178" s="31" t="str">
        <f t="shared" si="22"/>
        <v/>
      </c>
      <c r="L178" s="23" t="str">
        <f t="shared" si="23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4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7"/>
        <v/>
      </c>
      <c r="G179" s="29" t="str">
        <f t="shared" si="18"/>
        <v/>
      </c>
      <c r="H179" s="20" t="str">
        <f t="shared" si="19"/>
        <v/>
      </c>
      <c r="I179" s="20" t="str">
        <f t="shared" si="20"/>
        <v/>
      </c>
      <c r="J179" s="20" t="str">
        <f t="shared" si="21"/>
        <v/>
      </c>
      <c r="K179" s="31" t="str">
        <f t="shared" si="22"/>
        <v/>
      </c>
      <c r="L179" s="23" t="str">
        <f t="shared" si="23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4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7"/>
        <v/>
      </c>
      <c r="G180" s="29" t="str">
        <f t="shared" si="18"/>
        <v/>
      </c>
      <c r="H180" s="20" t="str">
        <f t="shared" si="19"/>
        <v/>
      </c>
      <c r="I180" s="20" t="str">
        <f t="shared" si="20"/>
        <v/>
      </c>
      <c r="J180" s="20" t="str">
        <f t="shared" si="21"/>
        <v/>
      </c>
      <c r="K180" s="31" t="str">
        <f t="shared" si="22"/>
        <v/>
      </c>
      <c r="L180" s="23" t="str">
        <f t="shared" si="23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4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7"/>
        <v/>
      </c>
      <c r="G181" s="29" t="str">
        <f t="shared" si="18"/>
        <v/>
      </c>
      <c r="H181" s="20" t="str">
        <f t="shared" si="19"/>
        <v/>
      </c>
      <c r="I181" s="20" t="str">
        <f t="shared" si="20"/>
        <v/>
      </c>
      <c r="J181" s="20" t="str">
        <f t="shared" si="21"/>
        <v/>
      </c>
      <c r="K181" s="31" t="str">
        <f t="shared" si="22"/>
        <v/>
      </c>
      <c r="L181" s="23" t="str">
        <f t="shared" si="23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4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7"/>
        <v/>
      </c>
      <c r="G182" s="29" t="str">
        <f t="shared" si="18"/>
        <v/>
      </c>
      <c r="H182" s="20" t="str">
        <f t="shared" si="19"/>
        <v/>
      </c>
      <c r="I182" s="20" t="str">
        <f t="shared" si="20"/>
        <v/>
      </c>
      <c r="J182" s="20" t="str">
        <f t="shared" si="21"/>
        <v/>
      </c>
      <c r="K182" s="31" t="str">
        <f t="shared" si="22"/>
        <v/>
      </c>
      <c r="L182" s="23" t="str">
        <f t="shared" si="23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4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7"/>
        <v/>
      </c>
      <c r="G183" s="29" t="str">
        <f t="shared" si="18"/>
        <v/>
      </c>
      <c r="H183" s="20" t="str">
        <f t="shared" si="19"/>
        <v/>
      </c>
      <c r="I183" s="20" t="str">
        <f t="shared" si="20"/>
        <v/>
      </c>
      <c r="J183" s="20" t="str">
        <f t="shared" si="21"/>
        <v/>
      </c>
      <c r="K183" s="31" t="str">
        <f t="shared" si="22"/>
        <v/>
      </c>
      <c r="L183" s="23" t="str">
        <f t="shared" si="23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4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7"/>
        <v/>
      </c>
      <c r="G184" s="29" t="str">
        <f t="shared" si="18"/>
        <v/>
      </c>
      <c r="H184" s="20" t="str">
        <f t="shared" si="19"/>
        <v/>
      </c>
      <c r="I184" s="20" t="str">
        <f t="shared" si="20"/>
        <v/>
      </c>
      <c r="J184" s="20" t="str">
        <f t="shared" si="21"/>
        <v/>
      </c>
      <c r="K184" s="31" t="str">
        <f t="shared" si="22"/>
        <v/>
      </c>
      <c r="L184" s="23" t="str">
        <f t="shared" si="23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4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7"/>
        <v/>
      </c>
      <c r="G185" s="29" t="str">
        <f t="shared" si="18"/>
        <v/>
      </c>
      <c r="H185" s="20" t="str">
        <f t="shared" si="19"/>
        <v/>
      </c>
      <c r="I185" s="20" t="str">
        <f t="shared" si="20"/>
        <v/>
      </c>
      <c r="J185" s="20" t="str">
        <f t="shared" si="21"/>
        <v/>
      </c>
      <c r="K185" s="31" t="str">
        <f t="shared" si="22"/>
        <v/>
      </c>
      <c r="L185" s="23" t="str">
        <f t="shared" si="23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4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7"/>
        <v/>
      </c>
      <c r="G186" s="29" t="str">
        <f t="shared" si="18"/>
        <v/>
      </c>
      <c r="H186" s="20" t="str">
        <f t="shared" si="19"/>
        <v/>
      </c>
      <c r="I186" s="20" t="str">
        <f t="shared" si="20"/>
        <v/>
      </c>
      <c r="J186" s="20" t="str">
        <f t="shared" si="21"/>
        <v/>
      </c>
      <c r="K186" s="31" t="str">
        <f t="shared" si="22"/>
        <v/>
      </c>
      <c r="L186" s="23" t="str">
        <f t="shared" si="23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4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7"/>
        <v/>
      </c>
      <c r="G187" s="29" t="str">
        <f t="shared" si="18"/>
        <v/>
      </c>
      <c r="H187" s="20" t="str">
        <f t="shared" si="19"/>
        <v/>
      </c>
      <c r="I187" s="20" t="str">
        <f t="shared" si="20"/>
        <v/>
      </c>
      <c r="J187" s="20" t="str">
        <f t="shared" si="21"/>
        <v/>
      </c>
      <c r="K187" s="31" t="str">
        <f t="shared" si="22"/>
        <v/>
      </c>
      <c r="L187" s="23" t="str">
        <f t="shared" si="23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4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7"/>
        <v/>
      </c>
      <c r="G188" s="29" t="str">
        <f t="shared" si="18"/>
        <v/>
      </c>
      <c r="H188" s="20" t="str">
        <f t="shared" si="19"/>
        <v/>
      </c>
      <c r="I188" s="20" t="str">
        <f t="shared" si="20"/>
        <v/>
      </c>
      <c r="J188" s="20" t="str">
        <f t="shared" si="21"/>
        <v/>
      </c>
      <c r="K188" s="31" t="str">
        <f t="shared" si="22"/>
        <v/>
      </c>
      <c r="L188" s="23" t="str">
        <f t="shared" si="23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4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7"/>
        <v/>
      </c>
      <c r="G189" s="29" t="str">
        <f t="shared" si="18"/>
        <v/>
      </c>
      <c r="H189" s="20" t="str">
        <f t="shared" si="19"/>
        <v/>
      </c>
      <c r="I189" s="20" t="str">
        <f t="shared" si="20"/>
        <v/>
      </c>
      <c r="J189" s="20" t="str">
        <f t="shared" si="21"/>
        <v/>
      </c>
      <c r="K189" s="31" t="str">
        <f t="shared" si="22"/>
        <v/>
      </c>
      <c r="L189" s="23" t="str">
        <f t="shared" si="23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4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7"/>
        <v/>
      </c>
      <c r="G190" s="29" t="str">
        <f t="shared" si="18"/>
        <v/>
      </c>
      <c r="H190" s="20" t="str">
        <f t="shared" si="19"/>
        <v/>
      </c>
      <c r="I190" s="20" t="str">
        <f t="shared" si="20"/>
        <v/>
      </c>
      <c r="J190" s="20" t="str">
        <f t="shared" si="21"/>
        <v/>
      </c>
      <c r="K190" s="31" t="str">
        <f t="shared" si="22"/>
        <v/>
      </c>
      <c r="L190" s="23" t="str">
        <f t="shared" si="23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4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7"/>
        <v/>
      </c>
      <c r="G191" s="29" t="str">
        <f t="shared" si="18"/>
        <v/>
      </c>
      <c r="H191" s="20" t="str">
        <f t="shared" si="19"/>
        <v/>
      </c>
      <c r="I191" s="20" t="str">
        <f t="shared" si="20"/>
        <v/>
      </c>
      <c r="J191" s="20" t="str">
        <f t="shared" si="21"/>
        <v/>
      </c>
      <c r="K191" s="31" t="str">
        <f t="shared" si="22"/>
        <v/>
      </c>
      <c r="L191" s="23" t="str">
        <f t="shared" si="23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4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7"/>
        <v/>
      </c>
      <c r="G192" s="29" t="str">
        <f t="shared" si="18"/>
        <v/>
      </c>
      <c r="H192" s="20" t="str">
        <f t="shared" si="19"/>
        <v/>
      </c>
      <c r="I192" s="20" t="str">
        <f t="shared" si="20"/>
        <v/>
      </c>
      <c r="J192" s="20" t="str">
        <f t="shared" si="21"/>
        <v/>
      </c>
      <c r="K192" s="31" t="str">
        <f t="shared" si="22"/>
        <v/>
      </c>
      <c r="L192" s="23" t="str">
        <f t="shared" si="23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4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7"/>
        <v/>
      </c>
      <c r="G193" s="29" t="str">
        <f t="shared" si="18"/>
        <v/>
      </c>
      <c r="H193" s="20" t="str">
        <f t="shared" si="19"/>
        <v/>
      </c>
      <c r="I193" s="20" t="str">
        <f t="shared" si="20"/>
        <v/>
      </c>
      <c r="J193" s="20" t="str">
        <f t="shared" si="21"/>
        <v/>
      </c>
      <c r="K193" s="31" t="str">
        <f t="shared" si="22"/>
        <v/>
      </c>
      <c r="L193" s="23" t="str">
        <f t="shared" si="23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4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7"/>
        <v/>
      </c>
      <c r="G194" s="29" t="str">
        <f t="shared" si="18"/>
        <v/>
      </c>
      <c r="H194" s="20" t="str">
        <f t="shared" si="19"/>
        <v/>
      </c>
      <c r="I194" s="20" t="str">
        <f t="shared" si="20"/>
        <v/>
      </c>
      <c r="J194" s="20" t="str">
        <f t="shared" si="21"/>
        <v/>
      </c>
      <c r="K194" s="31" t="str">
        <f t="shared" si="22"/>
        <v/>
      </c>
      <c r="L194" s="23" t="str">
        <f t="shared" si="23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4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7"/>
        <v/>
      </c>
      <c r="G195" s="29" t="str">
        <f t="shared" si="18"/>
        <v/>
      </c>
      <c r="H195" s="20" t="str">
        <f t="shared" si="19"/>
        <v/>
      </c>
      <c r="I195" s="20" t="str">
        <f t="shared" si="20"/>
        <v/>
      </c>
      <c r="J195" s="20" t="str">
        <f t="shared" si="21"/>
        <v/>
      </c>
      <c r="K195" s="31" t="str">
        <f t="shared" si="22"/>
        <v/>
      </c>
      <c r="L195" s="23" t="str">
        <f t="shared" si="23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4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7"/>
        <v/>
      </c>
      <c r="G196" s="29" t="str">
        <f t="shared" si="18"/>
        <v/>
      </c>
      <c r="H196" s="20" t="str">
        <f t="shared" si="19"/>
        <v/>
      </c>
      <c r="I196" s="20" t="str">
        <f t="shared" si="20"/>
        <v/>
      </c>
      <c r="J196" s="20" t="str">
        <f t="shared" si="21"/>
        <v/>
      </c>
      <c r="K196" s="31" t="str">
        <f t="shared" si="22"/>
        <v/>
      </c>
      <c r="L196" s="23" t="str">
        <f t="shared" si="23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4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7"/>
        <v/>
      </c>
      <c r="G197" s="29" t="str">
        <f t="shared" si="18"/>
        <v/>
      </c>
      <c r="H197" s="20" t="str">
        <f t="shared" si="19"/>
        <v/>
      </c>
      <c r="I197" s="20" t="str">
        <f t="shared" si="20"/>
        <v/>
      </c>
      <c r="J197" s="20" t="str">
        <f t="shared" si="21"/>
        <v/>
      </c>
      <c r="K197" s="31" t="str">
        <f t="shared" si="22"/>
        <v/>
      </c>
      <c r="L197" s="23" t="str">
        <f t="shared" si="23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4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7"/>
        <v/>
      </c>
      <c r="G198" s="29" t="str">
        <f t="shared" si="18"/>
        <v/>
      </c>
      <c r="H198" s="20" t="str">
        <f t="shared" si="19"/>
        <v/>
      </c>
      <c r="I198" s="20" t="str">
        <f t="shared" si="20"/>
        <v/>
      </c>
      <c r="J198" s="20" t="str">
        <f t="shared" si="21"/>
        <v/>
      </c>
      <c r="K198" s="31" t="str">
        <f t="shared" si="22"/>
        <v/>
      </c>
      <c r="L198" s="23" t="str">
        <f t="shared" si="23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4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7"/>
        <v/>
      </c>
      <c r="G199" s="29" t="str">
        <f t="shared" si="18"/>
        <v/>
      </c>
      <c r="H199" s="20" t="str">
        <f t="shared" si="19"/>
        <v/>
      </c>
      <c r="I199" s="20" t="str">
        <f t="shared" si="20"/>
        <v/>
      </c>
      <c r="J199" s="20" t="str">
        <f t="shared" si="21"/>
        <v/>
      </c>
      <c r="K199" s="31" t="str">
        <f t="shared" si="22"/>
        <v/>
      </c>
      <c r="L199" s="23" t="str">
        <f t="shared" si="23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4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5">IF(G200&lt;&gt;"",R200&amp;S200,"")</f>
        <v/>
      </c>
      <c r="G200" s="29" t="str">
        <f t="shared" ref="G200" si="26">IF(AND((S200 &lt;&gt; ""),(S200 &gt;= 0)), ABS(IF(OR((R200=""),(R200="　")), S200, T200)), "")</f>
        <v/>
      </c>
      <c r="H200" s="20" t="str">
        <f t="shared" ref="H200" si="27">IF(OR((R200=""),(R200="　")),IF(G200 &lt;&gt; "", T200, ""),IF(G200 &lt;&gt; "", U200, ""))</f>
        <v/>
      </c>
      <c r="I200" s="20" t="str">
        <f t="shared" ref="I200" si="28">IF(G200 &lt;&gt; "", IF(COUNTIF(IF(OR((R200=""),(R200="　")), U200, V200),"*男*"),"男性",IF(COUNTIF(IF(OR((R200=""),(R200="　")), U200, V200),"*女*"),"女性","ー")),"")</f>
        <v/>
      </c>
      <c r="J200" s="20" t="str">
        <f t="shared" ref="J200" si="29">IF(G200 &lt;&gt; "", IF(OR((R200=""),(R200="　")), V200, W200),"")</f>
        <v/>
      </c>
      <c r="K200" s="31" t="str">
        <f t="shared" ref="K200" si="30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1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2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2023/3/16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99999973001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山形市</v>
      </c>
      <c r="H3" s="10" t="str">
        <f>IF(ROW(G1)&gt;MAX(Main!$C$4:$C$1048576),"",INDEX(Main!K$4:K$1048576,MATCH(ROW(G1),Main!$C$4:$C$1048576,0)))</f>
        <v>99999973001介護施設</v>
      </c>
      <c r="I3" s="1">
        <f>IF(H3&lt;&gt;"",IF(ROW(G1)&gt;MAX(Main!$C$4:$C$1048576),"",INDEX(Main!N$4:N$1048576,MATCH(ROW(G1),Main!$C$4:$C$1048576,0))),"")</f>
        <v>99999973001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クラスターNo.973</v>
      </c>
      <c r="M3" s="4" t="str">
        <f>TEXT(IF(ROW(A1)&gt;MAX(Main!$D$4:$D$1048576),"",INDEX(Main!Q$4:Q$1048576,MATCH(ROW(A1),Main!$D$4:$D$1048576,0))), "yyyy/m/d")</f>
        <v>2023/3/16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99999973001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山形市</v>
      </c>
      <c r="S3" s="9" t="str">
        <f>IF(ROW(G1)&gt;MAX(Main!$D$4:$D$1048576),"",INDEX(Main!K$4:K$1048576,MATCH(ROW(G1),Main!$D$4:$D$1048576,0)))</f>
        <v>99999973001介護施設</v>
      </c>
      <c r="T3" s="1">
        <f>IF(S3&lt;&gt;"",IF(ROW(G1)&gt;MAX(Main!$D$4:$D$1048576),"",INDEX(Main!N$4:N$1048576,MATCH(ROW(G1),Main!$D$4:$D$1048576,0))),"")</f>
        <v>99999973001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/>
      </c>
      <c r="C4" s="1" t="str">
        <f>IF(IF(ROW(A2)&gt;MAX(Main!$C$4:$C$1048576),"",INDEX(Main!G$4:G$1048576,MATCH(ROW(A2),Main!$C$4:$C$1048576,0)))="",IF(B4="","",C3),IF(ROW(A2)&gt;MAX(Main!$C$4:$C$1048576),"",INDEX(Main!G$4:G$1048576,MATCH(ROW(A2),Main!$C$4:$C$1048576,0))))</f>
        <v/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/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/>
      </c>
      <c r="F4" s="1" t="str">
        <f t="shared" si="0"/>
        <v/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/>
      </c>
      <c r="H4" s="10" t="str">
        <f>IF(ROW(G2)&gt;MAX(Main!$C$4:$C$1048576),"",INDEX(Main!K$4:K$1048576,MATCH(ROW(G2),Main!$C$4:$C$1048576,0)))</f>
        <v/>
      </c>
      <c r="I4" s="1" t="str">
        <f>IF(H4&lt;&gt;"",IF(ROW(G2)&gt;MAX(Main!$C$4:$C$1048576),"",INDEX(Main!N$4:N$1048576,MATCH(ROW(G2),Main!$C$4:$C$1048576,0))),"")</f>
        <v/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/>
      </c>
      <c r="K4" s="27" t="str">
        <f t="shared" si="1"/>
        <v>例目</v>
      </c>
      <c r="M4" s="4" t="str">
        <f>TEXT(IF(ROW(A2)&gt;MAX(Main!$D$4:$D$1048576),"",INDEX(Main!Q$4:Q$1048576,MATCH(ROW(A2),Main!$D$4:$D$1048576,0))), "yyyy/m/d")</f>
        <v/>
      </c>
      <c r="N4" s="1" t="str">
        <f>IF(IF(ROW(A2)&gt;MAX(Main!$D$4:$D$1048576),"",INDEX(Main!G$4:G$1048576,MATCH(ROW(A2),Main!$D$4:$D$1048576,0)))="",IF(M4="","",N3),IF(ROW(A2)&gt;MAX(Main!$D$4:$D$1048576),"",INDEX(Main!G$4:G$1048576,MATCH(ROW(A2),Main!$D$4:$D$1048576,0))))</f>
        <v/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/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/>
      </c>
      <c r="Q4" s="1" t="str">
        <f t="shared" si="2"/>
        <v/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/>
      </c>
      <c r="S4" s="9" t="str">
        <f>IF(ROW(G2)&gt;MAX(Main!$D$4:$D$1048576),"",INDEX(Main!K$4:K$1048576,MATCH(ROW(G2),Main!$D$4:$D$1048576,0)))</f>
        <v/>
      </c>
      <c r="T4" s="1" t="str">
        <f>IF(S4&lt;&gt;"",IF(ROW(G2)&gt;MAX(Main!$D$4:$D$1048576),"",INDEX(Main!N$4:N$1048576,MATCH(ROW(G2),Main!$D$4:$D$1048576,0))),"")</f>
        <v/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/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/>
      </c>
      <c r="C5" s="1" t="str">
        <f>IF(IF(ROW(A3)&gt;MAX(Main!$C$4:$C$1048576),"",INDEX(Main!G$4:G$1048576,MATCH(ROW(A3),Main!$C$4:$C$1048576,0)))="",IF(B5="","",C4),IF(ROW(A3)&gt;MAX(Main!$C$4:$C$1048576),"",INDEX(Main!G$4:G$1048576,MATCH(ROW(A3),Main!$C$4:$C$1048576,0))))</f>
        <v/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/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/>
      </c>
      <c r="F5" s="1" t="str">
        <f t="shared" si="0"/>
        <v/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/>
      </c>
      <c r="H5" s="10" t="str">
        <f>IF(ROW(G3)&gt;MAX(Main!$C$4:$C$1048576),"",INDEX(Main!K$4:K$1048576,MATCH(ROW(G3),Main!$C$4:$C$1048576,0)))</f>
        <v/>
      </c>
      <c r="I5" s="1" t="str">
        <f>IF(H5&lt;&gt;"",IF(ROW(G3)&gt;MAX(Main!$C$4:$C$1048576),"",INDEX(Main!N$4:N$1048576,MATCH(ROW(G3),Main!$C$4:$C$1048576,0))),"")</f>
        <v/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/>
      </c>
      <c r="K5" s="27" t="str">
        <f t="shared" si="1"/>
        <v>例目</v>
      </c>
      <c r="M5" s="4" t="str">
        <f>TEXT(IF(ROW(A3)&gt;MAX(Main!$D$4:$D$1048576),"",INDEX(Main!Q$4:Q$1048576,MATCH(ROW(A3),Main!$D$4:$D$1048576,0))), "yyyy/m/d")</f>
        <v/>
      </c>
      <c r="N5" s="1" t="str">
        <f>IF(IF(ROW(A3)&gt;MAX(Main!$D$4:$D$1048576),"",INDEX(Main!G$4:G$1048576,MATCH(ROW(A3),Main!$D$4:$D$1048576,0)))="",IF(M5="","",N4),IF(ROW(A3)&gt;MAX(Main!$D$4:$D$1048576),"",INDEX(Main!G$4:G$1048576,MATCH(ROW(A3),Main!$D$4:$D$1048576,0))))</f>
        <v/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/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/>
      </c>
      <c r="Q5" s="1" t="str">
        <f t="shared" si="2"/>
        <v/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/>
      </c>
      <c r="S5" s="9" t="str">
        <f>IF(ROW(G3)&gt;MAX(Main!$D$4:$D$1048576),"",INDEX(Main!K$4:K$1048576,MATCH(ROW(G3),Main!$D$4:$D$1048576,0)))</f>
        <v/>
      </c>
      <c r="T5" s="1" t="str">
        <f>IF(S5&lt;&gt;"",IF(ROW(G3)&gt;MAX(Main!$D$4:$D$1048576),"",INDEX(Main!N$4:N$1048576,MATCH(ROW(G3),Main!$D$4:$D$1048576,0))),"")</f>
        <v/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/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/>
      </c>
      <c r="C6" s="1" t="str">
        <f>IF(IF(ROW(A4)&gt;MAX(Main!$C$4:$C$1048576),"",INDEX(Main!G$4:G$1048576,MATCH(ROW(A4),Main!$C$4:$C$1048576,0)))="",IF(B6="","",C5),IF(ROW(A4)&gt;MAX(Main!$C$4:$C$1048576),"",INDEX(Main!G$4:G$1048576,MATCH(ROW(A4),Main!$C$4:$C$1048576,0))))</f>
        <v/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/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/>
      </c>
      <c r="F6" s="1" t="str">
        <f t="shared" si="0"/>
        <v/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/>
      </c>
      <c r="H6" s="10" t="str">
        <f>IF(ROW(G4)&gt;MAX(Main!$C$4:$C$1048576),"",INDEX(Main!K$4:K$1048576,MATCH(ROW(G4),Main!$C$4:$C$1048576,0)))</f>
        <v/>
      </c>
      <c r="I6" s="1" t="str">
        <f>IF(H6&lt;&gt;"",IF(ROW(G4)&gt;MAX(Main!$C$4:$C$1048576),"",INDEX(Main!N$4:N$1048576,MATCH(ROW(G4),Main!$C$4:$C$1048576,0))),"")</f>
        <v/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/>
      </c>
      <c r="K6" s="27" t="str">
        <f t="shared" si="1"/>
        <v>例目</v>
      </c>
      <c r="M6" s="4" t="str">
        <f>TEXT(IF(ROW(A4)&gt;MAX(Main!$D$4:$D$1048576),"",INDEX(Main!Q$4:Q$1048576,MATCH(ROW(A4),Main!$D$4:$D$1048576,0))), "yyyy/m/d")</f>
        <v/>
      </c>
      <c r="N6" s="1" t="str">
        <f>IF(IF(ROW(A4)&gt;MAX(Main!$D$4:$D$1048576),"",INDEX(Main!G$4:G$1048576,MATCH(ROW(A4),Main!$D$4:$D$1048576,0)))="",IF(M6="","",N5),IF(ROW(A4)&gt;MAX(Main!$D$4:$D$1048576),"",INDEX(Main!G$4:G$1048576,MATCH(ROW(A4),Main!$D$4:$D$1048576,0))))</f>
        <v/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/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/>
      </c>
      <c r="Q6" s="1" t="str">
        <f t="shared" si="2"/>
        <v/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/>
      </c>
      <c r="S6" s="9" t="str">
        <f>IF(ROW(G4)&gt;MAX(Main!$D$4:$D$1048576),"",INDEX(Main!K$4:K$1048576,MATCH(ROW(G4),Main!$D$4:$D$1048576,0)))</f>
        <v/>
      </c>
      <c r="T6" s="1" t="str">
        <f>IF(S6&lt;&gt;"",IF(ROW(G4)&gt;MAX(Main!$D$4:$D$1048576),"",INDEX(Main!N$4:N$1048576,MATCH(ROW(G4),Main!$D$4:$D$1048576,0))),"")</f>
        <v/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/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/>
      </c>
      <c r="C7" s="1" t="str">
        <f>IF(IF(ROW(A5)&gt;MAX(Main!$C$4:$C$1048576),"",INDEX(Main!G$4:G$1048576,MATCH(ROW(A5),Main!$C$4:$C$1048576,0)))="",IF(B7="","",C6),IF(ROW(A5)&gt;MAX(Main!$C$4:$C$1048576),"",INDEX(Main!G$4:G$1048576,MATCH(ROW(A5),Main!$C$4:$C$1048576,0))))</f>
        <v/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/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/>
      </c>
      <c r="F7" s="1" t="str">
        <f t="shared" si="0"/>
        <v/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/>
      </c>
      <c r="H7" s="10" t="str">
        <f>IF(ROW(G5)&gt;MAX(Main!$C$4:$C$1048576),"",INDEX(Main!K$4:K$1048576,MATCH(ROW(G5),Main!$C$4:$C$1048576,0)))</f>
        <v/>
      </c>
      <c r="I7" s="1" t="str">
        <f>IF(H7&lt;&gt;"",IF(ROW(G5)&gt;MAX(Main!$C$4:$C$1048576),"",INDEX(Main!N$4:N$1048576,MATCH(ROW(G5),Main!$C$4:$C$1048576,0))),"")</f>
        <v/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/>
      </c>
      <c r="K7" s="27" t="str">
        <f t="shared" si="1"/>
        <v>例目</v>
      </c>
      <c r="M7" s="4" t="str">
        <f>TEXT(IF(ROW(A5)&gt;MAX(Main!$D$4:$D$1048576),"",INDEX(Main!Q$4:Q$1048576,MATCH(ROW(A5),Main!$D$4:$D$1048576,0))), "yyyy/m/d")</f>
        <v/>
      </c>
      <c r="N7" s="1" t="str">
        <f>IF(IF(ROW(A5)&gt;MAX(Main!$D$4:$D$1048576),"",INDEX(Main!G$4:G$1048576,MATCH(ROW(A5),Main!$D$4:$D$1048576,0)))="",IF(M7="","",N6),IF(ROW(A5)&gt;MAX(Main!$D$4:$D$1048576),"",INDEX(Main!G$4:G$1048576,MATCH(ROW(A5),Main!$D$4:$D$1048576,0))))</f>
        <v/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/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/>
      </c>
      <c r="Q7" s="1" t="str">
        <f t="shared" si="2"/>
        <v/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/>
      </c>
      <c r="S7" s="9" t="str">
        <f>IF(ROW(G5)&gt;MAX(Main!$D$4:$D$1048576),"",INDEX(Main!K$4:K$1048576,MATCH(ROW(G5),Main!$D$4:$D$1048576,0)))</f>
        <v/>
      </c>
      <c r="T7" s="1" t="str">
        <f>IF(S7&lt;&gt;"",IF(ROW(G5)&gt;MAX(Main!$D$4:$D$1048576),"",INDEX(Main!N$4:N$1048576,MATCH(ROW(G5),Main!$D$4:$D$1048576,0))),"")</f>
        <v/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/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/>
      </c>
      <c r="C8" s="1" t="str">
        <f>IF(IF(ROW(A6)&gt;MAX(Main!$C$4:$C$1048576),"",INDEX(Main!G$4:G$1048576,MATCH(ROW(A6),Main!$C$4:$C$1048576,0)))="",IF(B8="","",C7),IF(ROW(A6)&gt;MAX(Main!$C$4:$C$1048576),"",INDEX(Main!G$4:G$1048576,MATCH(ROW(A6),Main!$C$4:$C$1048576,0))))</f>
        <v/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/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/>
      </c>
      <c r="F8" s="1" t="str">
        <f t="shared" si="0"/>
        <v/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/>
      </c>
      <c r="H8" s="10" t="str">
        <f>IF(ROW(G6)&gt;MAX(Main!$C$4:$C$1048576),"",INDEX(Main!K$4:K$1048576,MATCH(ROW(G6),Main!$C$4:$C$1048576,0)))</f>
        <v/>
      </c>
      <c r="I8" s="1" t="str">
        <f>IF(H8&lt;&gt;"",IF(ROW(G6)&gt;MAX(Main!$C$4:$C$1048576),"",INDEX(Main!N$4:N$1048576,MATCH(ROW(G6),Main!$C$4:$C$1048576,0))),"")</f>
        <v/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/>
      </c>
      <c r="K8" s="27" t="str">
        <f t="shared" si="1"/>
        <v>例目</v>
      </c>
      <c r="M8" s="4" t="str">
        <f>TEXT(IF(ROW(A6)&gt;MAX(Main!$D$4:$D$1048576),"",INDEX(Main!Q$4:Q$1048576,MATCH(ROW(A6),Main!$D$4:$D$1048576,0))), "yyyy/m/d")</f>
        <v/>
      </c>
      <c r="N8" s="1" t="str">
        <f>IF(IF(ROW(A6)&gt;MAX(Main!$D$4:$D$1048576),"",INDEX(Main!G$4:G$1048576,MATCH(ROW(A6),Main!$D$4:$D$1048576,0)))="",IF(M8="","",N7),IF(ROW(A6)&gt;MAX(Main!$D$4:$D$1048576),"",INDEX(Main!G$4:G$1048576,MATCH(ROW(A6),Main!$D$4:$D$1048576,0))))</f>
        <v/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/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/>
      </c>
      <c r="Q8" s="1" t="str">
        <f t="shared" si="2"/>
        <v/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/>
      </c>
      <c r="S8" s="9" t="str">
        <f>IF(ROW(G6)&gt;MAX(Main!$D$4:$D$1048576),"",INDEX(Main!K$4:K$1048576,MATCH(ROW(G6),Main!$D$4:$D$1048576,0)))</f>
        <v/>
      </c>
      <c r="T8" s="1" t="str">
        <f>IF(S8&lt;&gt;"",IF(ROW(G6)&gt;MAX(Main!$D$4:$D$1048576),"",INDEX(Main!N$4:N$1048576,MATCH(ROW(G6),Main!$D$4:$D$1048576,0))),"")</f>
        <v/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/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99999973001,
            "date": "2023/3/16",
            "label": "クラスターNo.973\n2023/3/16\n山形市\n- ー"
        },
        "classes": ["multiline-manual", "else"]
    }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/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/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/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/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/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ht="168.75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ht="168.75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ht="168.75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ht="168.75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ht="168.75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ht="168.75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ht="168.75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ht="168.75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ht="168.75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ht="168.75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ht="168.75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ht="168.75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ht="168.75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ht="168.75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ht="168.75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ht="168.75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ht="168.75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ht="168.75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ht="168.75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ht="168.75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ht="168.75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ht="168.75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ht="168.75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ht="168.75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ht="168.75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ht="150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"99999973001",
            "target": "99999973001",
            "label": "介護施設"
        }
    }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/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/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/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/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/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ht="150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ht="150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ht="150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ht="150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ht="150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ht="150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ht="150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ht="150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ht="150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ht="150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ht="150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ht="150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ht="150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ht="150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ht="150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ht="150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ht="150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ht="150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ht="150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ht="150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ht="150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ht="150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ht="150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ht="150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ht="150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ht="131.25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3" sqref="F13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"lastUpdate":"2023/3/17 00:30"}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2023-03-16T15:30:50Z</dcterms:modified>
</cp:coreProperties>
</file>