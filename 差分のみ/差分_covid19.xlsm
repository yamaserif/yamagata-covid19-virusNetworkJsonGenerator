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filterPrivacy="1" codeName="ThisWorkbook" defaultThemeVersion="166925"/>
  <xr:revisionPtr revIDLastSave="0" documentId="13_ncr:1_{66B2D49C-08F0-45C5-8F0E-8A5F8A85F88D}" xr6:coauthVersionLast="47" xr6:coauthVersionMax="47" xr10:uidLastSave="{00000000-0000-0000-0000-000000000000}"/>
  <bookViews>
    <workbookView xWindow="1950" yWindow="195" windowWidth="26115" windowHeight="14295" activeTab="4" xr2:uid="{6E01C885-4E8C-40FD-95F4-7F0B0178B6EB}"/>
  </bookViews>
  <sheets>
    <sheet name="Main" sheetId="1" r:id="rId1"/>
    <sheet name="prepareData" sheetId="3" r:id="rId2"/>
    <sheet name="baseDataJsonTxt" sheetId="4" r:id="rId3"/>
    <sheet name="networkDataJsonTxt" sheetId="5" r:id="rId4"/>
    <sheet name="dataJson" sheetId="6" r:id="rId5"/>
    <sheet name="集団感染メモ" sheetId="7" r:id="rId6"/>
  </sheets>
  <definedNames>
    <definedName name="_xlnm._FilterDatabase" localSheetId="0" hidden="1">Main!$B$3:$AL$192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27" i="1" l="1"/>
  <c r="AB27" i="1"/>
  <c r="S25" i="1"/>
  <c r="G25" i="1" s="1"/>
  <c r="I25" i="1" s="1"/>
  <c r="AB23" i="1"/>
  <c r="S23" i="1"/>
  <c r="G23" i="1" s="1"/>
  <c r="S22" i="1"/>
  <c r="S21" i="1"/>
  <c r="S20" i="1"/>
  <c r="S19" i="1"/>
  <c r="S18" i="1"/>
  <c r="S17" i="1"/>
  <c r="S16" i="1"/>
  <c r="S15" i="1"/>
  <c r="S14" i="1"/>
  <c r="S13" i="1"/>
  <c r="S12" i="1"/>
  <c r="S11" i="1"/>
  <c r="G11" i="1" s="1"/>
  <c r="I11" i="1" s="1"/>
  <c r="AB20" i="1"/>
  <c r="AB17" i="1"/>
  <c r="AB16" i="1"/>
  <c r="AB15" i="1"/>
  <c r="AB14" i="1"/>
  <c r="AB13" i="1"/>
  <c r="AB12" i="1"/>
  <c r="AB10" i="1"/>
  <c r="S10" i="1"/>
  <c r="AB22" i="1" s="1"/>
  <c r="G44" i="1"/>
  <c r="J44" i="1" s="1"/>
  <c r="G41" i="1"/>
  <c r="G40" i="1"/>
  <c r="G39" i="1"/>
  <c r="F39" i="1" s="1"/>
  <c r="G38" i="1"/>
  <c r="F38" i="1" s="1"/>
  <c r="G37" i="1"/>
  <c r="G36" i="1"/>
  <c r="H36" i="1" s="1"/>
  <c r="G13" i="1"/>
  <c r="G15" i="1"/>
  <c r="J15" i="1" s="1"/>
  <c r="G115" i="1"/>
  <c r="J115" i="1" s="1"/>
  <c r="G112" i="1"/>
  <c r="F112" i="1" s="1"/>
  <c r="G105" i="1"/>
  <c r="F105" i="1" s="1"/>
  <c r="G103" i="1"/>
  <c r="F103" i="1" s="1"/>
  <c r="G79" i="1"/>
  <c r="F79" i="1" s="1"/>
  <c r="B3" i="6"/>
  <c r="B2" i="6"/>
  <c r="B4" i="6"/>
  <c r="G199" i="1"/>
  <c r="C199" i="1" s="1"/>
  <c r="G198" i="1"/>
  <c r="C198" i="1" s="1"/>
  <c r="G197" i="1"/>
  <c r="F197" i="1" s="1"/>
  <c r="G196" i="1"/>
  <c r="H196" i="1" s="1"/>
  <c r="F196" i="1"/>
  <c r="C196" i="1"/>
  <c r="G195" i="1"/>
  <c r="G194" i="1"/>
  <c r="G193" i="1"/>
  <c r="J193" i="1" s="1"/>
  <c r="C193" i="1"/>
  <c r="G192" i="1"/>
  <c r="F192" i="1" s="1"/>
  <c r="G191" i="1"/>
  <c r="F191" i="1" s="1"/>
  <c r="G190" i="1"/>
  <c r="J190" i="1" s="1"/>
  <c r="G189" i="1"/>
  <c r="K189" i="1" s="1"/>
  <c r="M189" i="1" s="1" a="1"/>
  <c r="M189" i="1" s="1"/>
  <c r="O189" i="1" s="1"/>
  <c r="G188" i="1"/>
  <c r="I188" i="1" s="1"/>
  <c r="F188" i="1"/>
  <c r="G187" i="1"/>
  <c r="F187" i="1" s="1"/>
  <c r="G186" i="1"/>
  <c r="F186" i="1" s="1"/>
  <c r="G185" i="1"/>
  <c r="F185" i="1" s="1"/>
  <c r="G184" i="1"/>
  <c r="F184" i="1" s="1"/>
  <c r="G183" i="1"/>
  <c r="C183" i="1" s="1"/>
  <c r="G182" i="1"/>
  <c r="K182" i="1" s="1"/>
  <c r="G181" i="1"/>
  <c r="H181" i="1" s="1"/>
  <c r="G180" i="1"/>
  <c r="G179" i="1"/>
  <c r="J179" i="1" s="1"/>
  <c r="F179" i="1"/>
  <c r="C179" i="1"/>
  <c r="G178" i="1"/>
  <c r="K178" i="1" s="1"/>
  <c r="C178" i="1"/>
  <c r="G177" i="1"/>
  <c r="K177" i="1" s="1"/>
  <c r="M177" i="1" s="1" a="1"/>
  <c r="M177" i="1" s="1"/>
  <c r="F177" i="1"/>
  <c r="C177" i="1"/>
  <c r="G176" i="1"/>
  <c r="C176" i="1" s="1"/>
  <c r="G175" i="1"/>
  <c r="G174" i="1"/>
  <c r="G173" i="1"/>
  <c r="I173" i="1" s="1"/>
  <c r="C173" i="1"/>
  <c r="G172" i="1"/>
  <c r="F172" i="1" s="1"/>
  <c r="G171" i="1"/>
  <c r="K171" i="1" s="1"/>
  <c r="M171" i="1" s="1" a="1"/>
  <c r="M171" i="1" s="1"/>
  <c r="O171" i="1" s="1"/>
  <c r="G170" i="1"/>
  <c r="C170" i="1" s="1"/>
  <c r="G169" i="1"/>
  <c r="F169" i="1" s="1"/>
  <c r="G168" i="1"/>
  <c r="C168" i="1" s="1"/>
  <c r="F168" i="1"/>
  <c r="G167" i="1"/>
  <c r="H167" i="1" s="1"/>
  <c r="G166" i="1"/>
  <c r="G165" i="1"/>
  <c r="C165" i="1"/>
  <c r="G164" i="1"/>
  <c r="F164" i="1" s="1"/>
  <c r="C164" i="1"/>
  <c r="G163" i="1"/>
  <c r="F163" i="1"/>
  <c r="G162" i="1"/>
  <c r="J162" i="1" s="1"/>
  <c r="F162" i="1"/>
  <c r="G161" i="1"/>
  <c r="J161" i="1" s="1"/>
  <c r="G160" i="1"/>
  <c r="C160" i="1" s="1"/>
  <c r="I159" i="1"/>
  <c r="G159" i="1"/>
  <c r="K159" i="1" s="1"/>
  <c r="M159" i="1" s="1" a="1"/>
  <c r="M159" i="1" s="1"/>
  <c r="O159" i="1" s="1"/>
  <c r="C159" i="1"/>
  <c r="G158" i="1"/>
  <c r="G157" i="1"/>
  <c r="K157" i="1" s="1"/>
  <c r="G156" i="1"/>
  <c r="I156" i="1" s="1"/>
  <c r="F156" i="1"/>
  <c r="G155" i="1"/>
  <c r="H155" i="1" s="1"/>
  <c r="C155" i="1"/>
  <c r="G154" i="1"/>
  <c r="F154" i="1" s="1"/>
  <c r="G153" i="1"/>
  <c r="K153" i="1" s="1"/>
  <c r="M153" i="1" s="1" a="1"/>
  <c r="M153" i="1" s="1"/>
  <c r="O153" i="1" s="1"/>
  <c r="G152" i="1"/>
  <c r="J152" i="1" s="1"/>
  <c r="G151" i="1"/>
  <c r="H151" i="1" s="1"/>
  <c r="G150" i="1"/>
  <c r="F150" i="1"/>
  <c r="G149" i="1"/>
  <c r="K149" i="1" s="1"/>
  <c r="G148" i="1"/>
  <c r="H148" i="1" s="1"/>
  <c r="G147" i="1"/>
  <c r="K147" i="1" s="1"/>
  <c r="F147" i="1"/>
  <c r="C147" i="1"/>
  <c r="G146" i="1"/>
  <c r="G145" i="1"/>
  <c r="K145" i="1" s="1"/>
  <c r="L145" i="1" s="1"/>
  <c r="G144" i="1"/>
  <c r="C144" i="1" s="1"/>
  <c r="G143" i="1"/>
  <c r="J143" i="1" s="1"/>
  <c r="F143" i="1"/>
  <c r="G142" i="1"/>
  <c r="F142" i="1" s="1"/>
  <c r="G141" i="1"/>
  <c r="F141" i="1" s="1"/>
  <c r="G140" i="1"/>
  <c r="K140" i="1" s="1"/>
  <c r="G139" i="1"/>
  <c r="K139" i="1" s="1"/>
  <c r="M139" i="1" s="1" a="1"/>
  <c r="M139" i="1" s="1"/>
  <c r="O139" i="1" s="1"/>
  <c r="F139" i="1"/>
  <c r="G138" i="1"/>
  <c r="G137" i="1"/>
  <c r="J137" i="1" s="1"/>
  <c r="K136" i="1"/>
  <c r="L136" i="1" s="1"/>
  <c r="G136" i="1"/>
  <c r="F136" i="1" s="1"/>
  <c r="C136" i="1"/>
  <c r="G135" i="1"/>
  <c r="C135" i="1" s="1"/>
  <c r="G134" i="1"/>
  <c r="K134" i="1" s="1"/>
  <c r="C134" i="1"/>
  <c r="G133" i="1"/>
  <c r="J133" i="1" s="1"/>
  <c r="G132" i="1"/>
  <c r="C132" i="1" s="1"/>
  <c r="G131" i="1"/>
  <c r="J131" i="1" s="1"/>
  <c r="G130" i="1"/>
  <c r="K130" i="1" s="1"/>
  <c r="G129" i="1"/>
  <c r="J129" i="1" s="1"/>
  <c r="G128" i="1"/>
  <c r="F128" i="1" s="1"/>
  <c r="G127" i="1"/>
  <c r="H127" i="1" s="1"/>
  <c r="G126" i="1"/>
  <c r="F126" i="1" s="1"/>
  <c r="G125" i="1"/>
  <c r="C125" i="1"/>
  <c r="G124" i="1"/>
  <c r="F124" i="1" s="1"/>
  <c r="C124" i="1"/>
  <c r="G123" i="1"/>
  <c r="I123" i="1" s="1"/>
  <c r="G122" i="1"/>
  <c r="G121" i="1"/>
  <c r="G120" i="1"/>
  <c r="I120" i="1" s="1"/>
  <c r="G119" i="1"/>
  <c r="F119" i="1" s="1"/>
  <c r="G118" i="1"/>
  <c r="G117" i="1"/>
  <c r="G116" i="1"/>
  <c r="F116" i="1" s="1"/>
  <c r="G114" i="1"/>
  <c r="G113" i="1"/>
  <c r="G111" i="1"/>
  <c r="G110" i="1"/>
  <c r="G109" i="1"/>
  <c r="F109" i="1" s="1"/>
  <c r="G108" i="1"/>
  <c r="J108" i="1" s="1"/>
  <c r="G107" i="1"/>
  <c r="G106" i="1"/>
  <c r="H106" i="1" s="1"/>
  <c r="G104" i="1"/>
  <c r="F104" i="1" s="1"/>
  <c r="G102" i="1"/>
  <c r="J102" i="1" s="1"/>
  <c r="G101" i="1"/>
  <c r="G100" i="1"/>
  <c r="K100" i="1" s="1"/>
  <c r="G99" i="1"/>
  <c r="H99" i="1" s="1"/>
  <c r="G98" i="1"/>
  <c r="J98" i="1" s="1"/>
  <c r="F98" i="1"/>
  <c r="G97" i="1"/>
  <c r="H97" i="1" s="1"/>
  <c r="F97" i="1"/>
  <c r="G96" i="1"/>
  <c r="G95" i="1"/>
  <c r="J95" i="1" s="1"/>
  <c r="G94" i="1"/>
  <c r="G93" i="1"/>
  <c r="F93" i="1" s="1"/>
  <c r="G92" i="1"/>
  <c r="I92" i="1" s="1"/>
  <c r="G91" i="1"/>
  <c r="F91" i="1" s="1"/>
  <c r="G90" i="1"/>
  <c r="I90" i="1" s="1"/>
  <c r="G89" i="1"/>
  <c r="F89" i="1" s="1"/>
  <c r="G88" i="1"/>
  <c r="F88" i="1" s="1"/>
  <c r="G87" i="1"/>
  <c r="F87" i="1"/>
  <c r="G86" i="1"/>
  <c r="G85" i="1"/>
  <c r="J85" i="1" s="1"/>
  <c r="G84" i="1"/>
  <c r="F84" i="1" s="1"/>
  <c r="G83" i="1"/>
  <c r="F83" i="1" s="1"/>
  <c r="G82" i="1"/>
  <c r="G81" i="1"/>
  <c r="C81" i="1" s="1"/>
  <c r="G80" i="1"/>
  <c r="G78" i="1"/>
  <c r="F78" i="1"/>
  <c r="G77" i="1"/>
  <c r="F77" i="1" s="1"/>
  <c r="G76" i="1"/>
  <c r="F76" i="1" s="1"/>
  <c r="G75" i="1"/>
  <c r="G74" i="1"/>
  <c r="F74" i="1" s="1"/>
  <c r="G73" i="1"/>
  <c r="F73" i="1" s="1"/>
  <c r="G72" i="1"/>
  <c r="I72" i="1" s="1"/>
  <c r="G71" i="1"/>
  <c r="G70" i="1"/>
  <c r="F70" i="1" s="1"/>
  <c r="G69" i="1"/>
  <c r="J69" i="1" s="1"/>
  <c r="G68" i="1"/>
  <c r="H68" i="1" s="1"/>
  <c r="G67" i="1"/>
  <c r="I67" i="1" s="1"/>
  <c r="F67" i="1"/>
  <c r="G66" i="1"/>
  <c r="F66" i="1" s="1"/>
  <c r="G65" i="1"/>
  <c r="J65" i="1" s="1"/>
  <c r="G64" i="1"/>
  <c r="F64" i="1" s="1"/>
  <c r="G63" i="1"/>
  <c r="F63" i="1" s="1"/>
  <c r="G62" i="1"/>
  <c r="G61" i="1"/>
  <c r="I61" i="1" s="1"/>
  <c r="G60" i="1"/>
  <c r="J60" i="1" s="1"/>
  <c r="F60" i="1"/>
  <c r="G59" i="1"/>
  <c r="I59" i="1" s="1"/>
  <c r="G58" i="1"/>
  <c r="G57" i="1"/>
  <c r="F57" i="1" s="1"/>
  <c r="G56" i="1"/>
  <c r="G55" i="1"/>
  <c r="G54" i="1"/>
  <c r="I54" i="1" s="1"/>
  <c r="G53" i="1"/>
  <c r="F53" i="1" s="1"/>
  <c r="G52" i="1"/>
  <c r="G51" i="1"/>
  <c r="I51" i="1" s="1"/>
  <c r="G50" i="1"/>
  <c r="F50" i="1" s="1"/>
  <c r="G49" i="1"/>
  <c r="G48" i="1"/>
  <c r="H48" i="1" s="1"/>
  <c r="G47" i="1"/>
  <c r="G46" i="1"/>
  <c r="G45" i="1"/>
  <c r="J45" i="1" s="1"/>
  <c r="G43" i="1"/>
  <c r="F43" i="1" s="1"/>
  <c r="G42" i="1"/>
  <c r="H42" i="1" s="1"/>
  <c r="G35" i="1"/>
  <c r="I35" i="1" s="1"/>
  <c r="G34" i="1"/>
  <c r="J34" i="1" s="1"/>
  <c r="G33" i="1"/>
  <c r="J33" i="1" s="1"/>
  <c r="G32" i="1"/>
  <c r="J32" i="1" s="1"/>
  <c r="G31" i="1"/>
  <c r="H31" i="1" s="1"/>
  <c r="G30" i="1"/>
  <c r="F30" i="1" s="1"/>
  <c r="G29" i="1"/>
  <c r="F29" i="1" s="1"/>
  <c r="G28" i="1"/>
  <c r="G27" i="1"/>
  <c r="F27" i="1" s="1"/>
  <c r="G26" i="1"/>
  <c r="F26" i="1" s="1"/>
  <c r="G24" i="1"/>
  <c r="H24" i="1" s="1"/>
  <c r="G22" i="1"/>
  <c r="I22" i="1" s="1"/>
  <c r="G21" i="1"/>
  <c r="G19" i="1"/>
  <c r="F19" i="1" s="1"/>
  <c r="G18" i="1"/>
  <c r="F18" i="1" s="1"/>
  <c r="G16" i="1"/>
  <c r="I16" i="1" s="1"/>
  <c r="G9" i="1"/>
  <c r="C9" i="1" s="1"/>
  <c r="G200" i="1"/>
  <c r="I200" i="1" s="1"/>
  <c r="AB25" i="1" l="1"/>
  <c r="K25" i="1" s="1"/>
  <c r="M25" i="1" s="1" a="1"/>
  <c r="M25" i="1" s="1"/>
  <c r="O25" i="1" s="1"/>
  <c r="AB18" i="1"/>
  <c r="AB19" i="1"/>
  <c r="AB21" i="1"/>
  <c r="AB11" i="1"/>
  <c r="K19" i="1"/>
  <c r="M19" i="1" s="1" a="1"/>
  <c r="M19" i="1" s="1"/>
  <c r="O19" i="1" s="1"/>
  <c r="K21" i="1"/>
  <c r="M21" i="1" s="1" a="1"/>
  <c r="M21" i="1" s="1"/>
  <c r="O21" i="1" s="1"/>
  <c r="K22" i="1"/>
  <c r="L22" i="1" s="1"/>
  <c r="K23" i="1"/>
  <c r="K24" i="1"/>
  <c r="M24" i="1" s="1" a="1"/>
  <c r="M24" i="1" s="1"/>
  <c r="O24" i="1" s="1"/>
  <c r="K13" i="1"/>
  <c r="K28" i="1"/>
  <c r="K35" i="1"/>
  <c r="L35" i="1" s="1"/>
  <c r="K38" i="1"/>
  <c r="M38" i="1" s="1" a="1"/>
  <c r="M38" i="1" s="1"/>
  <c r="O38" i="1" s="1"/>
  <c r="K26" i="1"/>
  <c r="M26" i="1" s="1" a="1"/>
  <c r="M26" i="1" s="1"/>
  <c r="O26" i="1" s="1"/>
  <c r="K39" i="1"/>
  <c r="M39" i="1" s="1" a="1"/>
  <c r="M39" i="1" s="1"/>
  <c r="O39" i="1" s="1"/>
  <c r="G17" i="1"/>
  <c r="H17" i="1" s="1"/>
  <c r="K42" i="1"/>
  <c r="K11" i="1"/>
  <c r="L11" i="1" s="1"/>
  <c r="K16" i="1"/>
  <c r="L16" i="1" s="1"/>
  <c r="K15" i="1"/>
  <c r="M15" i="1" s="1" a="1"/>
  <c r="M15" i="1" s="1"/>
  <c r="O15" i="1" s="1"/>
  <c r="G20" i="1"/>
  <c r="H20" i="1" s="1"/>
  <c r="K27" i="1"/>
  <c r="K29" i="1"/>
  <c r="F59" i="1"/>
  <c r="K18" i="1"/>
  <c r="K41" i="1"/>
  <c r="K45" i="1"/>
  <c r="K48" i="1"/>
  <c r="K49" i="1"/>
  <c r="K32" i="1"/>
  <c r="K82" i="1"/>
  <c r="K94" i="1"/>
  <c r="K73" i="1"/>
  <c r="K83" i="1"/>
  <c r="K119" i="1"/>
  <c r="K96" i="1"/>
  <c r="K76" i="1"/>
  <c r="K66" i="1"/>
  <c r="K101" i="1"/>
  <c r="K113" i="1"/>
  <c r="F80" i="1"/>
  <c r="K102" i="1"/>
  <c r="F49" i="1"/>
  <c r="F51" i="1"/>
  <c r="F44" i="1"/>
  <c r="F34" i="1"/>
  <c r="J164" i="1"/>
  <c r="K164" i="1"/>
  <c r="L164" i="1" s="1"/>
  <c r="F190" i="1"/>
  <c r="C197" i="1"/>
  <c r="I144" i="1"/>
  <c r="C153" i="1"/>
  <c r="J159" i="1"/>
  <c r="C191" i="1"/>
  <c r="F85" i="1"/>
  <c r="K36" i="1"/>
  <c r="M36" i="1" s="1" a="1"/>
  <c r="M36" i="1" s="1"/>
  <c r="O36" i="1" s="1"/>
  <c r="J59" i="1"/>
  <c r="I65" i="1"/>
  <c r="F72" i="1"/>
  <c r="F92" i="1"/>
  <c r="F113" i="1"/>
  <c r="H120" i="1"/>
  <c r="I136" i="1"/>
  <c r="F159" i="1"/>
  <c r="H164" i="1"/>
  <c r="K185" i="1"/>
  <c r="M185" i="1" s="1" a="1"/>
  <c r="M185" i="1" s="1"/>
  <c r="O185" i="1" s="1"/>
  <c r="C192" i="1"/>
  <c r="I93" i="1"/>
  <c r="K93" i="1"/>
  <c r="L93" i="1" s="1"/>
  <c r="J81" i="1"/>
  <c r="J61" i="1"/>
  <c r="I124" i="1"/>
  <c r="H110" i="1"/>
  <c r="J124" i="1"/>
  <c r="L189" i="1"/>
  <c r="N189" i="1" s="1"/>
  <c r="D189" i="1" s="1"/>
  <c r="I110" i="1"/>
  <c r="J21" i="1"/>
  <c r="J11" i="1"/>
  <c r="I36" i="1"/>
  <c r="H59" i="1"/>
  <c r="H136" i="1"/>
  <c r="H185" i="1"/>
  <c r="H22" i="1"/>
  <c r="J22" i="1"/>
  <c r="F37" i="1"/>
  <c r="K59" i="1"/>
  <c r="L59" i="1" s="1"/>
  <c r="F106" i="1"/>
  <c r="J136" i="1"/>
  <c r="I164" i="1"/>
  <c r="C172" i="1"/>
  <c r="H117" i="1"/>
  <c r="J117" i="1"/>
  <c r="I176" i="1"/>
  <c r="I38" i="1"/>
  <c r="K117" i="1"/>
  <c r="M117" i="1" s="1" a="1"/>
  <c r="M117" i="1" s="1"/>
  <c r="O117" i="1" s="1"/>
  <c r="H147" i="1"/>
  <c r="H191" i="1"/>
  <c r="J38" i="1"/>
  <c r="I64" i="1"/>
  <c r="J72" i="1"/>
  <c r="I147" i="1"/>
  <c r="J35" i="1"/>
  <c r="J64" i="1"/>
  <c r="J147" i="1"/>
  <c r="K9" i="1"/>
  <c r="L9" i="1" s="1"/>
  <c r="K64" i="1"/>
  <c r="M64" i="1" s="1" a="1"/>
  <c r="M64" i="1" s="1"/>
  <c r="O64" i="1" s="1"/>
  <c r="J68" i="1"/>
  <c r="I97" i="1"/>
  <c r="I128" i="1"/>
  <c r="I135" i="1"/>
  <c r="C154" i="1"/>
  <c r="I168" i="1"/>
  <c r="I177" i="1"/>
  <c r="I33" i="1"/>
  <c r="J50" i="1"/>
  <c r="J105" i="1"/>
  <c r="H142" i="1"/>
  <c r="J171" i="1"/>
  <c r="J56" i="1"/>
  <c r="J123" i="1"/>
  <c r="I126" i="1"/>
  <c r="K142" i="1"/>
  <c r="M142" i="1" s="1" a="1"/>
  <c r="M142" i="1" s="1"/>
  <c r="O142" i="1" s="1"/>
  <c r="H153" i="1"/>
  <c r="I162" i="1"/>
  <c r="I196" i="1"/>
  <c r="I24" i="1"/>
  <c r="J67" i="1"/>
  <c r="K123" i="1"/>
  <c r="M123" i="1" s="1" a="1"/>
  <c r="M123" i="1" s="1"/>
  <c r="O123" i="1" s="1"/>
  <c r="I153" i="1"/>
  <c r="L153" i="1"/>
  <c r="N153" i="1" s="1"/>
  <c r="D153" i="1" s="1"/>
  <c r="H177" i="1"/>
  <c r="J188" i="1"/>
  <c r="K196" i="1"/>
  <c r="F25" i="1"/>
  <c r="C65" i="1"/>
  <c r="F69" i="1"/>
  <c r="J97" i="1"/>
  <c r="H124" i="1"/>
  <c r="J128" i="1"/>
  <c r="J135" i="1"/>
  <c r="H159" i="1"/>
  <c r="C169" i="1"/>
  <c r="J177" i="1"/>
  <c r="I189" i="1"/>
  <c r="J99" i="1"/>
  <c r="J196" i="1"/>
  <c r="J9" i="1"/>
  <c r="F31" i="1"/>
  <c r="C129" i="1"/>
  <c r="K135" i="1"/>
  <c r="L135" i="1" s="1"/>
  <c r="F140" i="1"/>
  <c r="L177" i="1"/>
  <c r="J189" i="1"/>
  <c r="F193" i="1"/>
  <c r="F198" i="1"/>
  <c r="H171" i="1"/>
  <c r="I56" i="1"/>
  <c r="I117" i="1"/>
  <c r="J176" i="1"/>
  <c r="K56" i="1"/>
  <c r="L56" i="1" s="1"/>
  <c r="H64" i="1"/>
  <c r="H91" i="1"/>
  <c r="M136" i="1" a="1"/>
  <c r="M136" i="1" s="1"/>
  <c r="O136" i="1" s="1"/>
  <c r="K50" i="1"/>
  <c r="I142" i="1"/>
  <c r="J26" i="1"/>
  <c r="K61" i="1"/>
  <c r="M61" i="1" s="1" a="1"/>
  <c r="M61" i="1" s="1"/>
  <c r="O61" i="1" s="1"/>
  <c r="J76" i="1"/>
  <c r="F94" i="1"/>
  <c r="F117" i="1"/>
  <c r="K124" i="1"/>
  <c r="F130" i="1"/>
  <c r="C141" i="1"/>
  <c r="F176" i="1"/>
  <c r="C190" i="1"/>
  <c r="L157" i="1"/>
  <c r="M157" i="1" a="1"/>
  <c r="M157" i="1" s="1"/>
  <c r="O157" i="1" s="1"/>
  <c r="L140" i="1"/>
  <c r="M140" i="1" a="1"/>
  <c r="M140" i="1" s="1"/>
  <c r="O140" i="1" s="1"/>
  <c r="I13" i="1"/>
  <c r="J13" i="1"/>
  <c r="L159" i="1"/>
  <c r="N159" i="1" s="1"/>
  <c r="D159" i="1" s="1"/>
  <c r="J19" i="1"/>
  <c r="H80" i="1"/>
  <c r="H94" i="1"/>
  <c r="I100" i="1"/>
  <c r="K122" i="1"/>
  <c r="J122" i="1"/>
  <c r="C133" i="1"/>
  <c r="M145" i="1" a="1"/>
  <c r="M145" i="1" s="1"/>
  <c r="N145" i="1" s="1"/>
  <c r="D145" i="1" s="1"/>
  <c r="I148" i="1"/>
  <c r="L171" i="1"/>
  <c r="N171" i="1" s="1"/>
  <c r="D171" i="1" s="1"/>
  <c r="M182" i="1" a="1"/>
  <c r="M182" i="1" s="1"/>
  <c r="O182" i="1" s="1"/>
  <c r="L182" i="1"/>
  <c r="I80" i="1"/>
  <c r="I94" i="1"/>
  <c r="J100" i="1"/>
  <c r="F115" i="1"/>
  <c r="H123" i="1"/>
  <c r="F123" i="1"/>
  <c r="F133" i="1"/>
  <c r="J148" i="1"/>
  <c r="H176" i="1"/>
  <c r="F183" i="1"/>
  <c r="C186" i="1"/>
  <c r="J186" i="1"/>
  <c r="I47" i="1"/>
  <c r="K47" i="1"/>
  <c r="M47" i="1" s="1" a="1"/>
  <c r="M47" i="1" s="1"/>
  <c r="O47" i="1" s="1"/>
  <c r="J47" i="1"/>
  <c r="M100" i="1" a="1"/>
  <c r="M100" i="1" s="1"/>
  <c r="O100" i="1" s="1"/>
  <c r="L100" i="1"/>
  <c r="J157" i="1"/>
  <c r="F157" i="1"/>
  <c r="C157" i="1"/>
  <c r="J181" i="1"/>
  <c r="K181" i="1"/>
  <c r="H19" i="1"/>
  <c r="H195" i="1"/>
  <c r="F195" i="1"/>
  <c r="C195" i="1"/>
  <c r="I27" i="1"/>
  <c r="J27" i="1"/>
  <c r="K80" i="1"/>
  <c r="F86" i="1"/>
  <c r="K118" i="1"/>
  <c r="L118" i="1" s="1"/>
  <c r="J118" i="1"/>
  <c r="H133" i="1"/>
  <c r="F28" i="1"/>
  <c r="J46" i="1"/>
  <c r="F46" i="1"/>
  <c r="H118" i="1"/>
  <c r="J195" i="1"/>
  <c r="K37" i="1"/>
  <c r="M37" i="1" s="1" a="1"/>
  <c r="M37" i="1" s="1"/>
  <c r="O37" i="1" s="1"/>
  <c r="J37" i="1"/>
  <c r="H46" i="1"/>
  <c r="I49" i="1"/>
  <c r="F52" i="1"/>
  <c r="K125" i="1"/>
  <c r="J125" i="1"/>
  <c r="I140" i="1"/>
  <c r="J169" i="1"/>
  <c r="H169" i="1"/>
  <c r="K169" i="1"/>
  <c r="M169" i="1" s="1" a="1"/>
  <c r="M169" i="1" s="1"/>
  <c r="O169" i="1" s="1"/>
  <c r="J183" i="1"/>
  <c r="K195" i="1"/>
  <c r="K197" i="1"/>
  <c r="H25" i="1"/>
  <c r="H34" i="1"/>
  <c r="H37" i="1"/>
  <c r="I46" i="1"/>
  <c r="J49" i="1"/>
  <c r="K57" i="1"/>
  <c r="J57" i="1"/>
  <c r="I57" i="1"/>
  <c r="K92" i="1"/>
  <c r="H107" i="1"/>
  <c r="H129" i="1"/>
  <c r="M134" i="1" a="1"/>
  <c r="M134" i="1" s="1"/>
  <c r="O134" i="1" s="1"/>
  <c r="L134" i="1"/>
  <c r="F173" i="1"/>
  <c r="K173" i="1"/>
  <c r="F180" i="1"/>
  <c r="C180" i="1"/>
  <c r="K183" i="1"/>
  <c r="I34" i="1"/>
  <c r="I37" i="1"/>
  <c r="F41" i="1"/>
  <c r="K46" i="1"/>
  <c r="H57" i="1"/>
  <c r="I68" i="1"/>
  <c r="K78" i="1"/>
  <c r="L78" i="1" s="1"/>
  <c r="J78" i="1"/>
  <c r="F82" i="1"/>
  <c r="J88" i="1"/>
  <c r="I107" i="1"/>
  <c r="H126" i="1"/>
  <c r="F135" i="1"/>
  <c r="F152" i="1"/>
  <c r="H162" i="1"/>
  <c r="F171" i="1"/>
  <c r="C171" i="1"/>
  <c r="H173" i="1"/>
  <c r="I180" i="1"/>
  <c r="C189" i="1"/>
  <c r="K55" i="1"/>
  <c r="M55" i="1" s="1" a="1"/>
  <c r="M55" i="1" s="1"/>
  <c r="O55" i="1" s="1"/>
  <c r="J55" i="1"/>
  <c r="I55" i="1"/>
  <c r="H55" i="1"/>
  <c r="H108" i="1"/>
  <c r="H157" i="1"/>
  <c r="J80" i="1"/>
  <c r="L149" i="1"/>
  <c r="M149" i="1" a="1"/>
  <c r="M149" i="1" s="1"/>
  <c r="O149" i="1" s="1"/>
  <c r="F160" i="1"/>
  <c r="K160" i="1"/>
  <c r="J160" i="1"/>
  <c r="I160" i="1"/>
  <c r="K106" i="1"/>
  <c r="J106" i="1"/>
  <c r="I106" i="1"/>
  <c r="J140" i="1"/>
  <c r="C140" i="1"/>
  <c r="H160" i="1"/>
  <c r="H183" i="1"/>
  <c r="H49" i="1"/>
  <c r="K133" i="1"/>
  <c r="H143" i="1"/>
  <c r="K176" i="1"/>
  <c r="I183" i="1"/>
  <c r="J197" i="1"/>
  <c r="J25" i="1"/>
  <c r="I39" i="1"/>
  <c r="J39" i="1"/>
  <c r="J145" i="1"/>
  <c r="F145" i="1"/>
  <c r="C145" i="1"/>
  <c r="F148" i="1"/>
  <c r="K148" i="1"/>
  <c r="L148" i="1" s="1"/>
  <c r="J166" i="1"/>
  <c r="I166" i="1"/>
  <c r="H166" i="1"/>
  <c r="I23" i="1"/>
  <c r="J23" i="1"/>
  <c r="H23" i="1"/>
  <c r="I63" i="1"/>
  <c r="J84" i="1"/>
  <c r="H100" i="1"/>
  <c r="J94" i="1"/>
  <c r="F102" i="1"/>
  <c r="I195" i="1"/>
  <c r="H140" i="1"/>
  <c r="J18" i="1"/>
  <c r="I18" i="1"/>
  <c r="H18" i="1"/>
  <c r="K34" i="1"/>
  <c r="J107" i="1"/>
  <c r="C166" i="1"/>
  <c r="C181" i="1"/>
  <c r="F42" i="1"/>
  <c r="F54" i="1"/>
  <c r="K58" i="1"/>
  <c r="K68" i="1"/>
  <c r="L68" i="1" s="1"/>
  <c r="F100" i="1"/>
  <c r="I104" i="1"/>
  <c r="K104" i="1"/>
  <c r="M104" i="1" s="1" a="1"/>
  <c r="M104" i="1" s="1"/>
  <c r="O104" i="1" s="1"/>
  <c r="J104" i="1"/>
  <c r="H104" i="1"/>
  <c r="K126" i="1"/>
  <c r="H135" i="1"/>
  <c r="C137" i="1"/>
  <c r="H145" i="1"/>
  <c r="C148" i="1"/>
  <c r="F166" i="1"/>
  <c r="I171" i="1"/>
  <c r="F181" i="1"/>
  <c r="H189" i="1"/>
  <c r="J134" i="1"/>
  <c r="H184" i="1"/>
  <c r="H193" i="1"/>
  <c r="J200" i="1"/>
  <c r="F32" i="1"/>
  <c r="I44" i="1"/>
  <c r="J51" i="1"/>
  <c r="F61" i="1"/>
  <c r="I69" i="1"/>
  <c r="I85" i="1"/>
  <c r="F90" i="1"/>
  <c r="H113" i="1"/>
  <c r="F127" i="1"/>
  <c r="I130" i="1"/>
  <c r="I139" i="1"/>
  <c r="H149" i="1"/>
  <c r="F153" i="1"/>
  <c r="C167" i="1"/>
  <c r="H172" i="1"/>
  <c r="H179" i="1"/>
  <c r="I184" i="1"/>
  <c r="K193" i="1"/>
  <c r="M193" i="1" s="1" a="1"/>
  <c r="M193" i="1" s="1"/>
  <c r="O193" i="1" s="1"/>
  <c r="H198" i="1"/>
  <c r="K200" i="1"/>
  <c r="L200" i="1" s="1"/>
  <c r="K51" i="1"/>
  <c r="M51" i="1" s="1" a="1"/>
  <c r="M51" i="1" s="1"/>
  <c r="O51" i="1" s="1"/>
  <c r="I113" i="1"/>
  <c r="J139" i="1"/>
  <c r="J149" i="1"/>
  <c r="F167" i="1"/>
  <c r="I172" i="1"/>
  <c r="J184" i="1"/>
  <c r="K190" i="1"/>
  <c r="M190" i="1" s="1" a="1"/>
  <c r="M190" i="1" s="1"/>
  <c r="O190" i="1" s="1"/>
  <c r="F199" i="1"/>
  <c r="F40" i="1"/>
  <c r="I48" i="1"/>
  <c r="I50" i="1"/>
  <c r="H61" i="1"/>
  <c r="H90" i="1"/>
  <c r="F110" i="1"/>
  <c r="J113" i="1"/>
  <c r="J172" i="1"/>
  <c r="K184" i="1"/>
  <c r="H21" i="1"/>
  <c r="I26" i="1"/>
  <c r="K172" i="1"/>
  <c r="J199" i="1"/>
  <c r="I62" i="1"/>
  <c r="F62" i="1"/>
  <c r="J62" i="1"/>
  <c r="H62" i="1"/>
  <c r="K75" i="1"/>
  <c r="H75" i="1"/>
  <c r="K62" i="1"/>
  <c r="I75" i="1"/>
  <c r="M164" i="1" a="1"/>
  <c r="M164" i="1" s="1"/>
  <c r="O164" i="1" s="1"/>
  <c r="I71" i="1"/>
  <c r="F71" i="1"/>
  <c r="C174" i="1"/>
  <c r="J174" i="1"/>
  <c r="I174" i="1"/>
  <c r="K174" i="1"/>
  <c r="H174" i="1"/>
  <c r="F174" i="1"/>
  <c r="M183" i="1" a="1"/>
  <c r="M183" i="1" s="1"/>
  <c r="O183" i="1" s="1"/>
  <c r="L183" i="1"/>
  <c r="J103" i="1"/>
  <c r="K103" i="1"/>
  <c r="H137" i="1"/>
  <c r="J66" i="1"/>
  <c r="I66" i="1"/>
  <c r="H66" i="1"/>
  <c r="J71" i="1"/>
  <c r="K87" i="1"/>
  <c r="H87" i="1"/>
  <c r="H103" i="1"/>
  <c r="J121" i="1"/>
  <c r="I121" i="1"/>
  <c r="K121" i="1"/>
  <c r="F121" i="1"/>
  <c r="H121" i="1"/>
  <c r="I146" i="1"/>
  <c r="H146" i="1"/>
  <c r="F146" i="1"/>
  <c r="J146" i="1"/>
  <c r="C146" i="1"/>
  <c r="K146" i="1"/>
  <c r="O177" i="1"/>
  <c r="N177" i="1"/>
  <c r="D177" i="1" s="1"/>
  <c r="J29" i="1"/>
  <c r="I29" i="1"/>
  <c r="H29" i="1"/>
  <c r="K43" i="1"/>
  <c r="J43" i="1"/>
  <c r="H54" i="1"/>
  <c r="K71" i="1"/>
  <c r="H83" i="1"/>
  <c r="I87" i="1"/>
  <c r="H101" i="1"/>
  <c r="J101" i="1"/>
  <c r="F101" i="1"/>
  <c r="I103" i="1"/>
  <c r="K112" i="1"/>
  <c r="J112" i="1"/>
  <c r="I112" i="1"/>
  <c r="K114" i="1"/>
  <c r="I114" i="1"/>
  <c r="F114" i="1"/>
  <c r="J114" i="1"/>
  <c r="C163" i="1"/>
  <c r="K163" i="1"/>
  <c r="J163" i="1"/>
  <c r="I163" i="1"/>
  <c r="H163" i="1"/>
  <c r="C175" i="1"/>
  <c r="K175" i="1"/>
  <c r="F175" i="1"/>
  <c r="J175" i="1"/>
  <c r="I175" i="1"/>
  <c r="H175" i="1"/>
  <c r="H32" i="1"/>
  <c r="H43" i="1"/>
  <c r="K67" i="1"/>
  <c r="I83" i="1"/>
  <c r="J87" i="1"/>
  <c r="I101" i="1"/>
  <c r="H112" i="1"/>
  <c r="H114" i="1"/>
  <c r="I32" i="1"/>
  <c r="I43" i="1"/>
  <c r="F55" i="1"/>
  <c r="H67" i="1"/>
  <c r="H79" i="1"/>
  <c r="I79" i="1"/>
  <c r="K79" i="1"/>
  <c r="J79" i="1"/>
  <c r="J83" i="1"/>
  <c r="H152" i="1"/>
  <c r="I152" i="1"/>
  <c r="C152" i="1"/>
  <c r="K152" i="1"/>
  <c r="F161" i="1"/>
  <c r="I161" i="1"/>
  <c r="C161" i="1"/>
  <c r="H161" i="1"/>
  <c r="K161" i="1"/>
  <c r="M130" i="1" a="1"/>
  <c r="M130" i="1" s="1"/>
  <c r="O130" i="1" s="1"/>
  <c r="L130" i="1"/>
  <c r="H45" i="1"/>
  <c r="F96" i="1"/>
  <c r="J96" i="1"/>
  <c r="I96" i="1"/>
  <c r="M200" i="1" a="1"/>
  <c r="M200" i="1" s="1"/>
  <c r="O200" i="1" s="1"/>
  <c r="K54" i="1"/>
  <c r="J54" i="1"/>
  <c r="H93" i="1"/>
  <c r="J70" i="1"/>
  <c r="K70" i="1"/>
  <c r="I70" i="1"/>
  <c r="H70" i="1"/>
  <c r="L139" i="1"/>
  <c r="N139" i="1" s="1"/>
  <c r="D139" i="1" s="1"/>
  <c r="K31" i="1"/>
  <c r="J31" i="1"/>
  <c r="J42" i="1"/>
  <c r="I42" i="1"/>
  <c r="F137" i="1"/>
  <c r="K137" i="1"/>
  <c r="I137" i="1"/>
  <c r="I45" i="1"/>
  <c r="H71" i="1"/>
  <c r="H96" i="1"/>
  <c r="K33" i="1"/>
  <c r="F33" i="1"/>
  <c r="J41" i="1"/>
  <c r="I41" i="1"/>
  <c r="H41" i="1"/>
  <c r="K44" i="1"/>
  <c r="M93" i="1" a="1"/>
  <c r="M93" i="1" s="1"/>
  <c r="O93" i="1" s="1"/>
  <c r="L147" i="1"/>
  <c r="M147" i="1" a="1"/>
  <c r="M147" i="1" s="1"/>
  <c r="O147" i="1" s="1"/>
  <c r="F45" i="1"/>
  <c r="K53" i="1"/>
  <c r="J53" i="1"/>
  <c r="I53" i="1"/>
  <c r="H53" i="1"/>
  <c r="J75" i="1"/>
  <c r="K116" i="1"/>
  <c r="J116" i="1"/>
  <c r="I116" i="1"/>
  <c r="H116" i="1"/>
  <c r="K131" i="1"/>
  <c r="I131" i="1"/>
  <c r="F131" i="1"/>
  <c r="H131" i="1"/>
  <c r="C131" i="1"/>
  <c r="I31" i="1"/>
  <c r="K165" i="1"/>
  <c r="H165" i="1"/>
  <c r="J165" i="1"/>
  <c r="F165" i="1"/>
  <c r="I165" i="1"/>
  <c r="K30" i="1"/>
  <c r="J30" i="1"/>
  <c r="I30" i="1"/>
  <c r="H30" i="1"/>
  <c r="H33" i="1"/>
  <c r="H44" i="1"/>
  <c r="F75" i="1"/>
  <c r="J93" i="1"/>
  <c r="K89" i="1"/>
  <c r="I89" i="1"/>
  <c r="K109" i="1"/>
  <c r="H109" i="1"/>
  <c r="J109" i="1"/>
  <c r="K111" i="1"/>
  <c r="F111" i="1"/>
  <c r="H119" i="1"/>
  <c r="I194" i="1"/>
  <c r="H194" i="1"/>
  <c r="F194" i="1"/>
  <c r="C194" i="1"/>
  <c r="J194" i="1"/>
  <c r="H28" i="1"/>
  <c r="H40" i="1"/>
  <c r="H52" i="1"/>
  <c r="J58" i="1"/>
  <c r="F58" i="1"/>
  <c r="K74" i="1"/>
  <c r="H74" i="1"/>
  <c r="J77" i="1"/>
  <c r="H77" i="1"/>
  <c r="H82" i="1"/>
  <c r="K86" i="1"/>
  <c r="H86" i="1"/>
  <c r="J86" i="1"/>
  <c r="I86" i="1"/>
  <c r="H89" i="1"/>
  <c r="I109" i="1"/>
  <c r="H111" i="1"/>
  <c r="I119" i="1"/>
  <c r="L133" i="1"/>
  <c r="M133" i="1" a="1"/>
  <c r="M133" i="1" s="1"/>
  <c r="O133" i="1" s="1"/>
  <c r="C138" i="1"/>
  <c r="F138" i="1"/>
  <c r="K138" i="1"/>
  <c r="K141" i="1"/>
  <c r="J141" i="1"/>
  <c r="I141" i="1"/>
  <c r="C150" i="1"/>
  <c r="I150" i="1"/>
  <c r="H150" i="1"/>
  <c r="J154" i="1"/>
  <c r="I154" i="1"/>
  <c r="H154" i="1"/>
  <c r="I158" i="1"/>
  <c r="H158" i="1"/>
  <c r="F158" i="1"/>
  <c r="J158" i="1"/>
  <c r="C158" i="1"/>
  <c r="K194" i="1"/>
  <c r="C200" i="1"/>
  <c r="H27" i="1"/>
  <c r="I28" i="1"/>
  <c r="H39" i="1"/>
  <c r="I40" i="1"/>
  <c r="H51" i="1"/>
  <c r="I52" i="1"/>
  <c r="H58" i="1"/>
  <c r="F65" i="1"/>
  <c r="K65" i="1"/>
  <c r="K69" i="1"/>
  <c r="I74" i="1"/>
  <c r="I77" i="1"/>
  <c r="I82" i="1"/>
  <c r="J89" i="1"/>
  <c r="H92" i="1"/>
  <c r="K98" i="1"/>
  <c r="H98" i="1"/>
  <c r="I102" i="1"/>
  <c r="H105" i="1"/>
  <c r="K105" i="1"/>
  <c r="I111" i="1"/>
  <c r="J119" i="1"/>
  <c r="H138" i="1"/>
  <c r="H141" i="1"/>
  <c r="J150" i="1"/>
  <c r="K154" i="1"/>
  <c r="K158" i="1"/>
  <c r="I170" i="1"/>
  <c r="H170" i="1"/>
  <c r="F170" i="1"/>
  <c r="K170" i="1"/>
  <c r="F200" i="1"/>
  <c r="F9" i="1"/>
  <c r="F11" i="1"/>
  <c r="F13" i="1"/>
  <c r="F15" i="1"/>
  <c r="F16" i="1"/>
  <c r="F21" i="1"/>
  <c r="F22" i="1"/>
  <c r="F23" i="1"/>
  <c r="F24" i="1"/>
  <c r="H26" i="1"/>
  <c r="J28" i="1"/>
  <c r="F36" i="1"/>
  <c r="H38" i="1"/>
  <c r="J40" i="1"/>
  <c r="F48" i="1"/>
  <c r="H50" i="1"/>
  <c r="J52" i="1"/>
  <c r="I58" i="1"/>
  <c r="H65" i="1"/>
  <c r="H69" i="1"/>
  <c r="J74" i="1"/>
  <c r="K77" i="1"/>
  <c r="J82" i="1"/>
  <c r="J92" i="1"/>
  <c r="F95" i="1"/>
  <c r="K95" i="1"/>
  <c r="I95" i="1"/>
  <c r="H95" i="1"/>
  <c r="I98" i="1"/>
  <c r="H102" i="1"/>
  <c r="I105" i="1"/>
  <c r="J111" i="1"/>
  <c r="I138" i="1"/>
  <c r="K150" i="1"/>
  <c r="J170" i="1"/>
  <c r="F35" i="1"/>
  <c r="K40" i="1"/>
  <c r="F47" i="1"/>
  <c r="K52" i="1"/>
  <c r="F56" i="1"/>
  <c r="F68" i="1"/>
  <c r="K120" i="1"/>
  <c r="J120" i="1"/>
  <c r="F120" i="1"/>
  <c r="I122" i="1"/>
  <c r="H122" i="1"/>
  <c r="F122" i="1"/>
  <c r="C122" i="1"/>
  <c r="J138" i="1"/>
  <c r="H9" i="1"/>
  <c r="H11" i="1"/>
  <c r="H13" i="1"/>
  <c r="H16" i="1"/>
  <c r="H73" i="1"/>
  <c r="J73" i="1"/>
  <c r="I73" i="1"/>
  <c r="H76" i="1"/>
  <c r="F81" i="1"/>
  <c r="K81" i="1"/>
  <c r="H81" i="1"/>
  <c r="K84" i="1"/>
  <c r="H84" i="1"/>
  <c r="K88" i="1"/>
  <c r="H88" i="1"/>
  <c r="K128" i="1"/>
  <c r="C128" i="1"/>
  <c r="K132" i="1"/>
  <c r="J132" i="1"/>
  <c r="H132" i="1"/>
  <c r="I132" i="1"/>
  <c r="F132" i="1"/>
  <c r="M178" i="1" a="1"/>
  <c r="M178" i="1" s="1"/>
  <c r="O178" i="1" s="1"/>
  <c r="L178" i="1"/>
  <c r="C187" i="1"/>
  <c r="K187" i="1"/>
  <c r="J187" i="1"/>
  <c r="I187" i="1"/>
  <c r="H200" i="1"/>
  <c r="H15" i="1"/>
  <c r="I9" i="1"/>
  <c r="I15" i="1"/>
  <c r="J16" i="1"/>
  <c r="I19" i="1"/>
  <c r="I21" i="1"/>
  <c r="J24" i="1"/>
  <c r="H35" i="1"/>
  <c r="J36" i="1"/>
  <c r="H47" i="1"/>
  <c r="J48" i="1"/>
  <c r="H56" i="1"/>
  <c r="H63" i="1"/>
  <c r="K63" i="1"/>
  <c r="J63" i="1"/>
  <c r="I76" i="1"/>
  <c r="I81" i="1"/>
  <c r="I84" i="1"/>
  <c r="I88" i="1"/>
  <c r="J91" i="1"/>
  <c r="K91" i="1"/>
  <c r="I91" i="1"/>
  <c r="K110" i="1"/>
  <c r="J110" i="1"/>
  <c r="H128" i="1"/>
  <c r="J130" i="1"/>
  <c r="C130" i="1"/>
  <c r="H130" i="1"/>
  <c r="C151" i="1"/>
  <c r="F151" i="1"/>
  <c r="K151" i="1"/>
  <c r="J151" i="1"/>
  <c r="I151" i="1"/>
  <c r="H187" i="1"/>
  <c r="K60" i="1"/>
  <c r="H60" i="1"/>
  <c r="K115" i="1"/>
  <c r="I115" i="1"/>
  <c r="I182" i="1"/>
  <c r="H182" i="1"/>
  <c r="F182" i="1"/>
  <c r="C182" i="1"/>
  <c r="I60" i="1"/>
  <c r="K72" i="1"/>
  <c r="H72" i="1"/>
  <c r="I78" i="1"/>
  <c r="H78" i="1"/>
  <c r="K85" i="1"/>
  <c r="H85" i="1"/>
  <c r="K90" i="1"/>
  <c r="J90" i="1"/>
  <c r="K99" i="1"/>
  <c r="I99" i="1"/>
  <c r="F99" i="1"/>
  <c r="K108" i="1"/>
  <c r="I108" i="1"/>
  <c r="F108" i="1"/>
  <c r="H115" i="1"/>
  <c r="C127" i="1"/>
  <c r="K127" i="1"/>
  <c r="I127" i="1"/>
  <c r="J127" i="1"/>
  <c r="K129" i="1"/>
  <c r="I129" i="1"/>
  <c r="F129" i="1"/>
  <c r="K155" i="1"/>
  <c r="I155" i="1"/>
  <c r="J155" i="1"/>
  <c r="F155" i="1"/>
  <c r="K180" i="1"/>
  <c r="J180" i="1"/>
  <c r="H180" i="1"/>
  <c r="J182" i="1"/>
  <c r="C188" i="1"/>
  <c r="K188" i="1"/>
  <c r="H188" i="1"/>
  <c r="M196" i="1" a="1"/>
  <c r="M196" i="1" s="1"/>
  <c r="O196" i="1" s="1"/>
  <c r="L196" i="1"/>
  <c r="I118" i="1"/>
  <c r="F118" i="1"/>
  <c r="K167" i="1"/>
  <c r="I167" i="1"/>
  <c r="J167" i="1"/>
  <c r="K97" i="1"/>
  <c r="F107" i="1"/>
  <c r="K107" i="1"/>
  <c r="F125" i="1"/>
  <c r="I125" i="1"/>
  <c r="H125" i="1"/>
  <c r="J142" i="1"/>
  <c r="C142" i="1"/>
  <c r="F149" i="1"/>
  <c r="I149" i="1"/>
  <c r="C149" i="1"/>
  <c r="J178" i="1"/>
  <c r="I178" i="1"/>
  <c r="H178" i="1"/>
  <c r="F178" i="1"/>
  <c r="M181" i="1" a="1"/>
  <c r="M181" i="1" s="1"/>
  <c r="O181" i="1" s="1"/>
  <c r="L181" i="1"/>
  <c r="C126" i="1"/>
  <c r="J126" i="1"/>
  <c r="K144" i="1"/>
  <c r="J144" i="1"/>
  <c r="H144" i="1"/>
  <c r="F144" i="1"/>
  <c r="C162" i="1"/>
  <c r="K162" i="1"/>
  <c r="I134" i="1"/>
  <c r="H134" i="1"/>
  <c r="F134" i="1"/>
  <c r="C139" i="1"/>
  <c r="H139" i="1"/>
  <c r="K143" i="1"/>
  <c r="I143" i="1"/>
  <c r="C143" i="1"/>
  <c r="K156" i="1"/>
  <c r="J156" i="1"/>
  <c r="H156" i="1"/>
  <c r="C156" i="1"/>
  <c r="K168" i="1"/>
  <c r="J168" i="1"/>
  <c r="H168" i="1"/>
  <c r="K192" i="1"/>
  <c r="J192" i="1"/>
  <c r="H192" i="1"/>
  <c r="K179" i="1"/>
  <c r="I179" i="1"/>
  <c r="C185" i="1"/>
  <c r="H186" i="1"/>
  <c r="I192" i="1"/>
  <c r="H199" i="1"/>
  <c r="I186" i="1"/>
  <c r="K191" i="1"/>
  <c r="I191" i="1"/>
  <c r="I199" i="1"/>
  <c r="J153" i="1"/>
  <c r="K166" i="1"/>
  <c r="J173" i="1"/>
  <c r="I185" i="1"/>
  <c r="K186" i="1"/>
  <c r="J191" i="1"/>
  <c r="I198" i="1"/>
  <c r="K199" i="1"/>
  <c r="J185" i="1"/>
  <c r="F189" i="1"/>
  <c r="H190" i="1"/>
  <c r="H197" i="1"/>
  <c r="J198" i="1"/>
  <c r="I190" i="1"/>
  <c r="I197" i="1"/>
  <c r="K198" i="1"/>
  <c r="C184" i="1"/>
  <c r="I133" i="1"/>
  <c r="I145" i="1"/>
  <c r="I157" i="1"/>
  <c r="I169" i="1"/>
  <c r="I181" i="1"/>
  <c r="I193" i="1"/>
  <c r="S6" i="1"/>
  <c r="S8" i="1"/>
  <c r="AB8" i="1" s="1"/>
  <c r="S5" i="1"/>
  <c r="Y1" i="3"/>
  <c r="I17" i="1" l="1"/>
  <c r="J17" i="1"/>
  <c r="K17" i="1"/>
  <c r="M17" i="1" s="1" a="1"/>
  <c r="M17" i="1" s="1"/>
  <c r="O17" i="1" s="1"/>
  <c r="F17" i="1"/>
  <c r="F20" i="1"/>
  <c r="I20" i="1"/>
  <c r="J20" i="1"/>
  <c r="K20" i="1"/>
  <c r="L20" i="1" s="1"/>
  <c r="M49" i="1" a="1"/>
  <c r="M49" i="1" s="1"/>
  <c r="O49" i="1" s="1"/>
  <c r="L49" i="1"/>
  <c r="N134" i="1"/>
  <c r="D134" i="1" s="1"/>
  <c r="N100" i="1"/>
  <c r="N183" i="1"/>
  <c r="D183" i="1" s="1"/>
  <c r="L113" i="1"/>
  <c r="M113" i="1" a="1"/>
  <c r="M113" i="1" s="1"/>
  <c r="O113" i="1" s="1"/>
  <c r="M27" i="1" a="1"/>
  <c r="M27" i="1" s="1"/>
  <c r="O27" i="1" s="1"/>
  <c r="L27" i="1"/>
  <c r="L21" i="1"/>
  <c r="N21" i="1" s="1"/>
  <c r="N157" i="1"/>
  <c r="D157" i="1" s="1"/>
  <c r="L19" i="1"/>
  <c r="N19" i="1" s="1"/>
  <c r="L36" i="1"/>
  <c r="N36" i="1" s="1"/>
  <c r="L37" i="1"/>
  <c r="N37" i="1" s="1"/>
  <c r="L117" i="1"/>
  <c r="N117" i="1" s="1"/>
  <c r="M9" i="1" a="1"/>
  <c r="M9" i="1" s="1"/>
  <c r="O9" i="1" s="1"/>
  <c r="L190" i="1"/>
  <c r="N190" i="1" s="1"/>
  <c r="D190" i="1" s="1"/>
  <c r="L104" i="1"/>
  <c r="L193" i="1"/>
  <c r="N193" i="1" s="1"/>
  <c r="D193" i="1" s="1"/>
  <c r="L24" i="1"/>
  <c r="N24" i="1" s="1"/>
  <c r="L123" i="1"/>
  <c r="N123" i="1" s="1"/>
  <c r="L15" i="1"/>
  <c r="N15" i="1" s="1"/>
  <c r="L55" i="1"/>
  <c r="N55" i="1" s="1"/>
  <c r="M22" i="1" a="1"/>
  <c r="M22" i="1" s="1"/>
  <c r="O22" i="1" s="1"/>
  <c r="L38" i="1"/>
  <c r="N38" i="1" s="1"/>
  <c r="M59" i="1" a="1"/>
  <c r="M59" i="1" s="1"/>
  <c r="N59" i="1" s="1"/>
  <c r="M35" i="1" a="1"/>
  <c r="M35" i="1" s="1"/>
  <c r="O35" i="1" s="1"/>
  <c r="M135" i="1" a="1"/>
  <c r="M135" i="1" s="1"/>
  <c r="O135" i="1" s="1"/>
  <c r="M68" i="1" a="1"/>
  <c r="M68" i="1" s="1"/>
  <c r="O68" i="1" s="1"/>
  <c r="L185" i="1"/>
  <c r="N185" i="1" s="1"/>
  <c r="D185" i="1" s="1"/>
  <c r="M148" i="1" a="1"/>
  <c r="M148" i="1" s="1"/>
  <c r="O148" i="1" s="1"/>
  <c r="O145" i="1"/>
  <c r="N178" i="1"/>
  <c r="D178" i="1" s="1"/>
  <c r="L26" i="1"/>
  <c r="N26" i="1" s="1"/>
  <c r="M118" i="1" a="1"/>
  <c r="M118" i="1" s="1"/>
  <c r="O118" i="1" s="1"/>
  <c r="M11" i="1" a="1"/>
  <c r="M11" i="1" s="1"/>
  <c r="L61" i="1"/>
  <c r="N61" i="1" s="1"/>
  <c r="M50" i="1" a="1"/>
  <c r="M50" i="1" s="1"/>
  <c r="O50" i="1" s="1"/>
  <c r="L50" i="1"/>
  <c r="N149" i="1"/>
  <c r="D149" i="1" s="1"/>
  <c r="L142" i="1"/>
  <c r="N140" i="1"/>
  <c r="D140" i="1" s="1"/>
  <c r="L124" i="1"/>
  <c r="M124" i="1" a="1"/>
  <c r="M124" i="1" s="1"/>
  <c r="O124" i="1" s="1"/>
  <c r="L64" i="1"/>
  <c r="N64" i="1" s="1"/>
  <c r="L25" i="1"/>
  <c r="N25" i="1" s="1"/>
  <c r="N130" i="1"/>
  <c r="D130" i="1" s="1"/>
  <c r="N136" i="1"/>
  <c r="D136" i="1" s="1"/>
  <c r="L51" i="1"/>
  <c r="N51" i="1" s="1"/>
  <c r="M56" i="1" a="1"/>
  <c r="M56" i="1" s="1"/>
  <c r="O56" i="1" s="1"/>
  <c r="N93" i="1"/>
  <c r="M78" i="1" a="1"/>
  <c r="M78" i="1" s="1"/>
  <c r="O78" i="1" s="1"/>
  <c r="M46" i="1" a="1"/>
  <c r="M46" i="1" s="1"/>
  <c r="O46" i="1" s="1"/>
  <c r="L46" i="1"/>
  <c r="L13" i="1"/>
  <c r="M13" i="1" a="1"/>
  <c r="M13" i="1" s="1"/>
  <c r="O13" i="1" s="1"/>
  <c r="M58" i="1" a="1"/>
  <c r="M58" i="1" s="1"/>
  <c r="O58" i="1" s="1"/>
  <c r="L58" i="1"/>
  <c r="L92" i="1"/>
  <c r="M92" i="1" a="1"/>
  <c r="M92" i="1" s="1"/>
  <c r="O92" i="1" s="1"/>
  <c r="M195" i="1" a="1"/>
  <c r="M195" i="1" s="1"/>
  <c r="O195" i="1" s="1"/>
  <c r="L195" i="1"/>
  <c r="M94" i="1" a="1"/>
  <c r="M94" i="1" s="1"/>
  <c r="O94" i="1" s="1"/>
  <c r="L94" i="1"/>
  <c r="M106" i="1" a="1"/>
  <c r="M106" i="1" s="1"/>
  <c r="O106" i="1" s="1"/>
  <c r="L106" i="1"/>
  <c r="L39" i="1"/>
  <c r="N39" i="1" s="1"/>
  <c r="L172" i="1"/>
  <c r="M172" i="1" a="1"/>
  <c r="M172" i="1" s="1"/>
  <c r="O172" i="1" s="1"/>
  <c r="L34" i="1"/>
  <c r="M34" i="1" a="1"/>
  <c r="M34" i="1" s="1"/>
  <c r="O34" i="1" s="1"/>
  <c r="L169" i="1"/>
  <c r="N169" i="1" s="1"/>
  <c r="D169" i="1" s="1"/>
  <c r="L176" i="1"/>
  <c r="M176" i="1" a="1"/>
  <c r="M176" i="1" s="1"/>
  <c r="O176" i="1" s="1"/>
  <c r="M57" i="1" a="1"/>
  <c r="M57" i="1" s="1"/>
  <c r="O57" i="1" s="1"/>
  <c r="L57" i="1"/>
  <c r="M80" i="1" a="1"/>
  <c r="M80" i="1" s="1"/>
  <c r="O80" i="1" s="1"/>
  <c r="L80" i="1"/>
  <c r="L122" i="1"/>
  <c r="M122" i="1" a="1"/>
  <c r="M122" i="1" s="1"/>
  <c r="O122" i="1" s="1"/>
  <c r="L48" i="1"/>
  <c r="M48" i="1" a="1"/>
  <c r="M48" i="1" s="1"/>
  <c r="O48" i="1" s="1"/>
  <c r="M126" i="1" a="1"/>
  <c r="M126" i="1" s="1"/>
  <c r="O126" i="1" s="1"/>
  <c r="L126" i="1"/>
  <c r="L47" i="1"/>
  <c r="N47" i="1" s="1"/>
  <c r="M160" i="1" a="1"/>
  <c r="M160" i="1" s="1"/>
  <c r="O160" i="1" s="1"/>
  <c r="L160" i="1"/>
  <c r="M173" i="1" a="1"/>
  <c r="M173" i="1" s="1"/>
  <c r="O173" i="1" s="1"/>
  <c r="L173" i="1"/>
  <c r="L184" i="1"/>
  <c r="M184" i="1" a="1"/>
  <c r="M184" i="1" s="1"/>
  <c r="O184" i="1" s="1"/>
  <c r="M125" i="1" a="1"/>
  <c r="M125" i="1" s="1"/>
  <c r="O125" i="1" s="1"/>
  <c r="L125" i="1"/>
  <c r="L197" i="1"/>
  <c r="M197" i="1" a="1"/>
  <c r="M197" i="1" s="1"/>
  <c r="O197" i="1" s="1"/>
  <c r="M16" i="1" a="1"/>
  <c r="M16" i="1" s="1"/>
  <c r="O16" i="1" s="1"/>
  <c r="N147" i="1"/>
  <c r="D147" i="1" s="1"/>
  <c r="N142" i="1"/>
  <c r="D142" i="1" s="1"/>
  <c r="L18" i="1"/>
  <c r="M18" i="1" a="1"/>
  <c r="M18" i="1" s="1"/>
  <c r="O18" i="1" s="1"/>
  <c r="L23" i="1"/>
  <c r="M23" i="1" a="1"/>
  <c r="M23" i="1" s="1"/>
  <c r="O23" i="1" s="1"/>
  <c r="N182" i="1"/>
  <c r="D182" i="1" s="1"/>
  <c r="M199" i="1" a="1"/>
  <c r="M199" i="1" s="1"/>
  <c r="O199" i="1" s="1"/>
  <c r="L199" i="1"/>
  <c r="M165" i="1" a="1"/>
  <c r="M165" i="1" s="1"/>
  <c r="O165" i="1" s="1"/>
  <c r="L165" i="1"/>
  <c r="M31" i="1" a="1"/>
  <c r="M31" i="1" s="1"/>
  <c r="O31" i="1" s="1"/>
  <c r="L31" i="1"/>
  <c r="M110" i="1" a="1"/>
  <c r="M110" i="1" s="1"/>
  <c r="O110" i="1" s="1"/>
  <c r="L110" i="1"/>
  <c r="M81" i="1" a="1"/>
  <c r="M81" i="1" s="1"/>
  <c r="O81" i="1" s="1"/>
  <c r="L81" i="1"/>
  <c r="M52" i="1" a="1"/>
  <c r="M52" i="1" s="1"/>
  <c r="O52" i="1" s="1"/>
  <c r="L52" i="1"/>
  <c r="L105" i="1"/>
  <c r="M105" i="1" a="1"/>
  <c r="M105" i="1" s="1"/>
  <c r="O105" i="1" s="1"/>
  <c r="M141" i="1" a="1"/>
  <c r="M141" i="1" s="1"/>
  <c r="O141" i="1" s="1"/>
  <c r="L141" i="1"/>
  <c r="N104" i="1"/>
  <c r="M175" i="1" a="1"/>
  <c r="M175" i="1" s="1"/>
  <c r="O175" i="1" s="1"/>
  <c r="L175" i="1"/>
  <c r="L114" i="1"/>
  <c r="M114" i="1" a="1"/>
  <c r="M114" i="1" s="1"/>
  <c r="O114" i="1" s="1"/>
  <c r="M60" i="1" a="1"/>
  <c r="M60" i="1" s="1"/>
  <c r="O60" i="1" s="1"/>
  <c r="L60" i="1"/>
  <c r="M33" i="1" a="1"/>
  <c r="M33" i="1" s="1"/>
  <c r="O33" i="1" s="1"/>
  <c r="L33" i="1"/>
  <c r="L77" i="1"/>
  <c r="M77" i="1" a="1"/>
  <c r="M77" i="1" s="1"/>
  <c r="O77" i="1" s="1"/>
  <c r="L101" i="1"/>
  <c r="M101" i="1" a="1"/>
  <c r="M101" i="1" s="1"/>
  <c r="O101" i="1" s="1"/>
  <c r="L109" i="1"/>
  <c r="M109" i="1" a="1"/>
  <c r="M109" i="1" s="1"/>
  <c r="O109" i="1" s="1"/>
  <c r="M54" i="1" a="1"/>
  <c r="M54" i="1" s="1"/>
  <c r="O54" i="1" s="1"/>
  <c r="L54" i="1"/>
  <c r="N196" i="1"/>
  <c r="D196" i="1" s="1"/>
  <c r="L186" i="1"/>
  <c r="M186" i="1" a="1"/>
  <c r="M186" i="1" s="1"/>
  <c r="O186" i="1" s="1"/>
  <c r="L108" i="1"/>
  <c r="M108" i="1" a="1"/>
  <c r="M108" i="1" s="1"/>
  <c r="O108" i="1" s="1"/>
  <c r="L170" i="1"/>
  <c r="M170" i="1" a="1"/>
  <c r="M170" i="1" s="1"/>
  <c r="O170" i="1" s="1"/>
  <c r="M86" i="1" a="1"/>
  <c r="M86" i="1" s="1"/>
  <c r="O86" i="1" s="1"/>
  <c r="L86" i="1"/>
  <c r="L44" i="1"/>
  <c r="M44" i="1" a="1"/>
  <c r="M44" i="1" s="1"/>
  <c r="O44" i="1" s="1"/>
  <c r="M156" i="1" a="1"/>
  <c r="M156" i="1" s="1"/>
  <c r="O156" i="1" s="1"/>
  <c r="L156" i="1"/>
  <c r="M107" i="1" a="1"/>
  <c r="M107" i="1" s="1"/>
  <c r="O107" i="1" s="1"/>
  <c r="L107" i="1"/>
  <c r="L155" i="1"/>
  <c r="M155" i="1" a="1"/>
  <c r="M155" i="1" s="1"/>
  <c r="O155" i="1" s="1"/>
  <c r="M151" i="1" a="1"/>
  <c r="M151" i="1" s="1"/>
  <c r="O151" i="1" s="1"/>
  <c r="L151" i="1"/>
  <c r="M53" i="1" a="1"/>
  <c r="M53" i="1" s="1"/>
  <c r="O53" i="1" s="1"/>
  <c r="L53" i="1"/>
  <c r="M132" i="1" a="1"/>
  <c r="M132" i="1" s="1"/>
  <c r="O132" i="1" s="1"/>
  <c r="L132" i="1"/>
  <c r="L89" i="1"/>
  <c r="M89" i="1" a="1"/>
  <c r="M89" i="1" s="1"/>
  <c r="O89" i="1" s="1"/>
  <c r="M67" i="1" a="1"/>
  <c r="M67" i="1" s="1"/>
  <c r="O67" i="1" s="1"/>
  <c r="L67" i="1"/>
  <c r="L71" i="1"/>
  <c r="M71" i="1" a="1"/>
  <c r="M71" i="1" s="1"/>
  <c r="O71" i="1" s="1"/>
  <c r="L179" i="1"/>
  <c r="M179" i="1" a="1"/>
  <c r="M179" i="1" s="1"/>
  <c r="O179" i="1" s="1"/>
  <c r="M97" i="1" a="1"/>
  <c r="M97" i="1" s="1"/>
  <c r="O97" i="1" s="1"/>
  <c r="L97" i="1"/>
  <c r="M28" i="1" a="1"/>
  <c r="M28" i="1" s="1"/>
  <c r="O28" i="1" s="1"/>
  <c r="L28" i="1"/>
  <c r="L102" i="1"/>
  <c r="M102" i="1" a="1"/>
  <c r="M102" i="1" s="1"/>
  <c r="O102" i="1" s="1"/>
  <c r="G12" i="1"/>
  <c r="L143" i="1"/>
  <c r="M143" i="1" a="1"/>
  <c r="M143" i="1" s="1"/>
  <c r="O143" i="1" s="1"/>
  <c r="M144" i="1" a="1"/>
  <c r="M144" i="1" s="1"/>
  <c r="O144" i="1" s="1"/>
  <c r="L144" i="1"/>
  <c r="L188" i="1"/>
  <c r="M188" i="1" a="1"/>
  <c r="M188" i="1" s="1"/>
  <c r="O188" i="1" s="1"/>
  <c r="M129" i="1" a="1"/>
  <c r="M129" i="1" s="1"/>
  <c r="O129" i="1" s="1"/>
  <c r="L129" i="1"/>
  <c r="L128" i="1"/>
  <c r="M128" i="1" a="1"/>
  <c r="M128" i="1" s="1"/>
  <c r="O128" i="1" s="1"/>
  <c r="M158" i="1" a="1"/>
  <c r="M158" i="1" s="1"/>
  <c r="O158" i="1" s="1"/>
  <c r="L158" i="1"/>
  <c r="L69" i="1"/>
  <c r="M69" i="1" a="1"/>
  <c r="M69" i="1" s="1"/>
  <c r="O69" i="1" s="1"/>
  <c r="N133" i="1"/>
  <c r="D133" i="1" s="1"/>
  <c r="M45" i="1" a="1"/>
  <c r="M45" i="1" s="1"/>
  <c r="O45" i="1" s="1"/>
  <c r="L45" i="1"/>
  <c r="M137" i="1" a="1"/>
  <c r="M137" i="1" s="1"/>
  <c r="O137" i="1" s="1"/>
  <c r="L137" i="1"/>
  <c r="M70" i="1" a="1"/>
  <c r="M70" i="1" s="1"/>
  <c r="O70" i="1" s="1"/>
  <c r="L70" i="1"/>
  <c r="M163" i="1" a="1"/>
  <c r="M163" i="1" s="1"/>
  <c r="O163" i="1" s="1"/>
  <c r="L163" i="1"/>
  <c r="N164" i="1"/>
  <c r="D164" i="1" s="1"/>
  <c r="M42" i="1" a="1"/>
  <c r="M42" i="1" s="1"/>
  <c r="O42" i="1" s="1"/>
  <c r="L42" i="1"/>
  <c r="M168" i="1" a="1"/>
  <c r="M168" i="1" s="1"/>
  <c r="O168" i="1" s="1"/>
  <c r="L168" i="1"/>
  <c r="M180" i="1" a="1"/>
  <c r="M180" i="1" s="1"/>
  <c r="O180" i="1" s="1"/>
  <c r="L180" i="1"/>
  <c r="L84" i="1"/>
  <c r="M84" i="1" a="1"/>
  <c r="M84" i="1" s="1"/>
  <c r="O84" i="1" s="1"/>
  <c r="M162" i="1" a="1"/>
  <c r="M162" i="1" s="1"/>
  <c r="O162" i="1" s="1"/>
  <c r="L162" i="1"/>
  <c r="L72" i="1"/>
  <c r="M72" i="1" a="1"/>
  <c r="M72" i="1" s="1"/>
  <c r="O72" i="1" s="1"/>
  <c r="L138" i="1"/>
  <c r="M138" i="1" a="1"/>
  <c r="M138" i="1" s="1"/>
  <c r="O138" i="1" s="1"/>
  <c r="L161" i="1"/>
  <c r="M161" i="1" a="1"/>
  <c r="M161" i="1" s="1"/>
  <c r="O161" i="1" s="1"/>
  <c r="M83" i="1" a="1"/>
  <c r="M83" i="1" s="1"/>
  <c r="O83" i="1" s="1"/>
  <c r="L83" i="1"/>
  <c r="L174" i="1"/>
  <c r="M174" i="1" a="1"/>
  <c r="M174" i="1" s="1"/>
  <c r="O174" i="1" s="1"/>
  <c r="M198" i="1" a="1"/>
  <c r="M198" i="1" s="1"/>
  <c r="O198" i="1" s="1"/>
  <c r="L198" i="1"/>
  <c r="L91" i="1"/>
  <c r="M91" i="1" a="1"/>
  <c r="M91" i="1" s="1"/>
  <c r="O91" i="1" s="1"/>
  <c r="M40" i="1" a="1"/>
  <c r="M40" i="1" s="1"/>
  <c r="O40" i="1" s="1"/>
  <c r="L40" i="1"/>
  <c r="L79" i="1"/>
  <c r="M79" i="1" a="1"/>
  <c r="M79" i="1" s="1"/>
  <c r="O79" i="1" s="1"/>
  <c r="M29" i="1" a="1"/>
  <c r="M29" i="1" s="1"/>
  <c r="O29" i="1" s="1"/>
  <c r="L29" i="1"/>
  <c r="M121" i="1" a="1"/>
  <c r="M121" i="1" s="1"/>
  <c r="O121" i="1" s="1"/>
  <c r="L121" i="1"/>
  <c r="L76" i="1"/>
  <c r="M76" i="1" a="1"/>
  <c r="M76" i="1" s="1"/>
  <c r="O76" i="1" s="1"/>
  <c r="M82" i="1" a="1"/>
  <c r="M82" i="1" s="1"/>
  <c r="O82" i="1" s="1"/>
  <c r="L82" i="1"/>
  <c r="M30" i="1" a="1"/>
  <c r="M30" i="1" s="1"/>
  <c r="O30" i="1" s="1"/>
  <c r="L30" i="1"/>
  <c r="M62" i="1" a="1"/>
  <c r="M62" i="1" s="1"/>
  <c r="O62" i="1" s="1"/>
  <c r="L62" i="1"/>
  <c r="G10" i="1"/>
  <c r="M166" i="1" a="1"/>
  <c r="M166" i="1" s="1"/>
  <c r="O166" i="1" s="1"/>
  <c r="L166" i="1"/>
  <c r="M99" i="1" a="1"/>
  <c r="M99" i="1" s="1"/>
  <c r="O99" i="1" s="1"/>
  <c r="L99" i="1"/>
  <c r="L131" i="1"/>
  <c r="M131" i="1" a="1"/>
  <c r="M131" i="1" s="1"/>
  <c r="O131" i="1" s="1"/>
  <c r="M112" i="1" a="1"/>
  <c r="M112" i="1" s="1"/>
  <c r="O112" i="1" s="1"/>
  <c r="L112" i="1"/>
  <c r="G14" i="1"/>
  <c r="L90" i="1"/>
  <c r="M90" i="1" a="1"/>
  <c r="M90" i="1" s="1"/>
  <c r="O90" i="1" s="1"/>
  <c r="M95" i="1" a="1"/>
  <c r="M95" i="1" s="1"/>
  <c r="O95" i="1" s="1"/>
  <c r="L95" i="1"/>
  <c r="M154" i="1" a="1"/>
  <c r="M154" i="1" s="1"/>
  <c r="O154" i="1" s="1"/>
  <c r="L154" i="1"/>
  <c r="M98" i="1" a="1"/>
  <c r="M98" i="1" s="1"/>
  <c r="O98" i="1" s="1"/>
  <c r="L98" i="1"/>
  <c r="L119" i="1"/>
  <c r="M119" i="1" a="1"/>
  <c r="M119" i="1" s="1"/>
  <c r="O119" i="1" s="1"/>
  <c r="M41" i="1" a="1"/>
  <c r="M41" i="1" s="1"/>
  <c r="O41" i="1" s="1"/>
  <c r="L41" i="1"/>
  <c r="M96" i="1" a="1"/>
  <c r="M96" i="1" s="1"/>
  <c r="O96" i="1" s="1"/>
  <c r="L96" i="1"/>
  <c r="L152" i="1"/>
  <c r="M152" i="1" a="1"/>
  <c r="M152" i="1" s="1"/>
  <c r="O152" i="1" s="1"/>
  <c r="M43" i="1" a="1"/>
  <c r="M43" i="1" s="1"/>
  <c r="O43" i="1" s="1"/>
  <c r="L43" i="1"/>
  <c r="L146" i="1"/>
  <c r="M146" i="1" a="1"/>
  <c r="M146" i="1" s="1"/>
  <c r="O146" i="1" s="1"/>
  <c r="L103" i="1"/>
  <c r="M103" i="1" a="1"/>
  <c r="M103" i="1" s="1"/>
  <c r="O103" i="1" s="1"/>
  <c r="N200" i="1"/>
  <c r="D200" i="1" s="1"/>
  <c r="M63" i="1" a="1"/>
  <c r="M63" i="1" s="1"/>
  <c r="O63" i="1" s="1"/>
  <c r="L63" i="1"/>
  <c r="L32" i="1"/>
  <c r="M32" i="1" a="1"/>
  <c r="M32" i="1" s="1"/>
  <c r="O32" i="1" s="1"/>
  <c r="L192" i="1"/>
  <c r="M192" i="1" a="1"/>
  <c r="M192" i="1" s="1"/>
  <c r="O192" i="1" s="1"/>
  <c r="M115" i="1" a="1"/>
  <c r="M115" i="1" s="1"/>
  <c r="O115" i="1" s="1"/>
  <c r="L115" i="1"/>
  <c r="M187" i="1" a="1"/>
  <c r="M187" i="1" s="1"/>
  <c r="O187" i="1" s="1"/>
  <c r="L187" i="1"/>
  <c r="M88" i="1" a="1"/>
  <c r="M88" i="1" s="1"/>
  <c r="O88" i="1" s="1"/>
  <c r="L88" i="1"/>
  <c r="L73" i="1"/>
  <c r="M73" i="1" a="1"/>
  <c r="M73" i="1" s="1"/>
  <c r="O73" i="1" s="1"/>
  <c r="L150" i="1"/>
  <c r="M150" i="1" a="1"/>
  <c r="M150" i="1" s="1"/>
  <c r="O150" i="1" s="1"/>
  <c r="L65" i="1"/>
  <c r="M65" i="1" a="1"/>
  <c r="M65" i="1" s="1"/>
  <c r="O65" i="1" s="1"/>
  <c r="M194" i="1" a="1"/>
  <c r="M194" i="1" s="1"/>
  <c r="O194" i="1" s="1"/>
  <c r="L194" i="1"/>
  <c r="M66" i="1" a="1"/>
  <c r="M66" i="1" s="1"/>
  <c r="O66" i="1" s="1"/>
  <c r="L66" i="1"/>
  <c r="L191" i="1"/>
  <c r="M191" i="1" a="1"/>
  <c r="M191" i="1" s="1"/>
  <c r="O191" i="1" s="1"/>
  <c r="N181" i="1"/>
  <c r="D181" i="1" s="1"/>
  <c r="L167" i="1"/>
  <c r="M167" i="1" a="1"/>
  <c r="M167" i="1" s="1"/>
  <c r="O167" i="1" s="1"/>
  <c r="M127" i="1" a="1"/>
  <c r="M127" i="1" s="1"/>
  <c r="O127" i="1" s="1"/>
  <c r="L127" i="1"/>
  <c r="L85" i="1"/>
  <c r="M85" i="1" a="1"/>
  <c r="M85" i="1" s="1"/>
  <c r="O85" i="1" s="1"/>
  <c r="L120" i="1"/>
  <c r="M120" i="1" a="1"/>
  <c r="M120" i="1" s="1"/>
  <c r="O120" i="1" s="1"/>
  <c r="M74" i="1" a="1"/>
  <c r="M74" i="1" s="1"/>
  <c r="O74" i="1" s="1"/>
  <c r="L74" i="1"/>
  <c r="M111" i="1" a="1"/>
  <c r="M111" i="1" s="1"/>
  <c r="O111" i="1" s="1"/>
  <c r="L111" i="1"/>
  <c r="L116" i="1"/>
  <c r="M116" i="1" a="1"/>
  <c r="M116" i="1" s="1"/>
  <c r="O116" i="1" s="1"/>
  <c r="L87" i="1"/>
  <c r="M87" i="1" a="1"/>
  <c r="M87" i="1" s="1"/>
  <c r="O87" i="1" s="1"/>
  <c r="L75" i="1"/>
  <c r="M75" i="1" a="1"/>
  <c r="M75" i="1" s="1"/>
  <c r="O75" i="1" s="1"/>
  <c r="AB5" i="1"/>
  <c r="AB6" i="1"/>
  <c r="L17" i="1" l="1"/>
  <c r="N17" i="1" s="1"/>
  <c r="M20" i="1" a="1"/>
  <c r="M20" i="1" s="1"/>
  <c r="O20" i="1" s="1"/>
  <c r="N49" i="1"/>
  <c r="N68" i="1"/>
  <c r="N97" i="1"/>
  <c r="N35" i="1"/>
  <c r="N113" i="1"/>
  <c r="N132" i="1"/>
  <c r="D132" i="1" s="1"/>
  <c r="N110" i="1"/>
  <c r="N80" i="1"/>
  <c r="N27" i="1"/>
  <c r="N137" i="1"/>
  <c r="D137" i="1" s="1"/>
  <c r="N175" i="1"/>
  <c r="D175" i="1" s="1"/>
  <c r="N173" i="1"/>
  <c r="D173" i="1" s="1"/>
  <c r="N106" i="1"/>
  <c r="N46" i="1"/>
  <c r="N56" i="1"/>
  <c r="N96" i="1"/>
  <c r="N135" i="1"/>
  <c r="D135" i="1" s="1"/>
  <c r="N45" i="1"/>
  <c r="N9" i="1"/>
  <c r="D9" i="1" s="1"/>
  <c r="N29" i="1"/>
  <c r="N83" i="1"/>
  <c r="N180" i="1"/>
  <c r="D180" i="1" s="1"/>
  <c r="N53" i="1"/>
  <c r="N86" i="1"/>
  <c r="N31" i="1"/>
  <c r="N57" i="1"/>
  <c r="N111" i="1"/>
  <c r="N63" i="1"/>
  <c r="N22" i="1"/>
  <c r="N74" i="1"/>
  <c r="N88" i="1"/>
  <c r="N50" i="1"/>
  <c r="O59" i="1"/>
  <c r="N127" i="1"/>
  <c r="D127" i="1" s="1"/>
  <c r="N16" i="1"/>
  <c r="N163" i="1"/>
  <c r="D163" i="1" s="1"/>
  <c r="N67" i="1"/>
  <c r="N107" i="1"/>
  <c r="N52" i="1"/>
  <c r="N118" i="1"/>
  <c r="N148" i="1"/>
  <c r="D148" i="1" s="1"/>
  <c r="O11" i="1"/>
  <c r="N11" i="1"/>
  <c r="N78" i="1"/>
  <c r="N95" i="1"/>
  <c r="N166" i="1"/>
  <c r="D166" i="1" s="1"/>
  <c r="N121" i="1"/>
  <c r="N129" i="1"/>
  <c r="D129" i="1" s="1"/>
  <c r="N28" i="1"/>
  <c r="N54" i="1"/>
  <c r="N124" i="1"/>
  <c r="D124" i="1" s="1"/>
  <c r="N75" i="1"/>
  <c r="N120" i="1"/>
  <c r="N85" i="1"/>
  <c r="N71" i="1"/>
  <c r="N155" i="1"/>
  <c r="D155" i="1" s="1"/>
  <c r="N108" i="1"/>
  <c r="N105" i="1"/>
  <c r="N43" i="1"/>
  <c r="N154" i="1"/>
  <c r="D154" i="1" s="1"/>
  <c r="N99" i="1"/>
  <c r="N198" i="1"/>
  <c r="D198" i="1" s="1"/>
  <c r="N162" i="1"/>
  <c r="D162" i="1" s="1"/>
  <c r="N60" i="1"/>
  <c r="N125" i="1"/>
  <c r="D125" i="1" s="1"/>
  <c r="N70" i="1"/>
  <c r="N156" i="1"/>
  <c r="D156" i="1" s="1"/>
  <c r="N81" i="1"/>
  <c r="D81" i="1" s="1"/>
  <c r="N58" i="1"/>
  <c r="N146" i="1"/>
  <c r="D146" i="1" s="1"/>
  <c r="N72" i="1"/>
  <c r="N92" i="1"/>
  <c r="N34" i="1"/>
  <c r="N23" i="1"/>
  <c r="N18" i="1"/>
  <c r="N13" i="1"/>
  <c r="N66" i="1"/>
  <c r="N41" i="1"/>
  <c r="N62" i="1"/>
  <c r="N168" i="1"/>
  <c r="D168" i="1" s="1"/>
  <c r="N144" i="1"/>
  <c r="D144" i="1" s="1"/>
  <c r="N160" i="1"/>
  <c r="D160" i="1" s="1"/>
  <c r="N94" i="1"/>
  <c r="N91" i="1"/>
  <c r="N197" i="1"/>
  <c r="D197" i="1" s="1"/>
  <c r="N48" i="1"/>
  <c r="N172" i="1"/>
  <c r="D172" i="1" s="1"/>
  <c r="N194" i="1"/>
  <c r="D194" i="1" s="1"/>
  <c r="N112" i="1"/>
  <c r="N30" i="1"/>
  <c r="N40" i="1"/>
  <c r="N42" i="1"/>
  <c r="N170" i="1"/>
  <c r="D170" i="1" s="1"/>
  <c r="N176" i="1"/>
  <c r="D176" i="1" s="1"/>
  <c r="N195" i="1"/>
  <c r="D195" i="1" s="1"/>
  <c r="N131" i="1"/>
  <c r="D131" i="1" s="1"/>
  <c r="N122" i="1"/>
  <c r="D122" i="1" s="1"/>
  <c r="N184" i="1"/>
  <c r="D184" i="1" s="1"/>
  <c r="N126" i="1"/>
  <c r="D126" i="1" s="1"/>
  <c r="N116" i="1"/>
  <c r="N152" i="1"/>
  <c r="D152" i="1" s="1"/>
  <c r="N84" i="1"/>
  <c r="N191" i="1"/>
  <c r="D191" i="1" s="1"/>
  <c r="N90" i="1"/>
  <c r="N187" i="1"/>
  <c r="D187" i="1" s="1"/>
  <c r="N79" i="1"/>
  <c r="N161" i="1"/>
  <c r="D161" i="1" s="1"/>
  <c r="N179" i="1"/>
  <c r="D179" i="1" s="1"/>
  <c r="N151" i="1"/>
  <c r="D151" i="1" s="1"/>
  <c r="N101" i="1"/>
  <c r="N141" i="1"/>
  <c r="D141" i="1" s="1"/>
  <c r="N165" i="1"/>
  <c r="D165" i="1" s="1"/>
  <c r="N186" i="1"/>
  <c r="D186" i="1" s="1"/>
  <c r="N76" i="1"/>
  <c r="N102" i="1"/>
  <c r="N167" i="1"/>
  <c r="D167" i="1" s="1"/>
  <c r="N174" i="1"/>
  <c r="D174" i="1" s="1"/>
  <c r="N32" i="1"/>
  <c r="N188" i="1"/>
  <c r="D188" i="1" s="1"/>
  <c r="N109" i="1"/>
  <c r="N87" i="1"/>
  <c r="N192" i="1"/>
  <c r="D192" i="1" s="1"/>
  <c r="N150" i="1"/>
  <c r="D150" i="1" s="1"/>
  <c r="N89" i="1"/>
  <c r="I10" i="1"/>
  <c r="H10" i="1"/>
  <c r="F10" i="1"/>
  <c r="C10" i="1"/>
  <c r="J10" i="1"/>
  <c r="K10" i="1"/>
  <c r="N44" i="1"/>
  <c r="K14" i="1"/>
  <c r="I14" i="1"/>
  <c r="H14" i="1"/>
  <c r="F14" i="1"/>
  <c r="J14" i="1"/>
  <c r="N115" i="1"/>
  <c r="N103" i="1"/>
  <c r="N119" i="1"/>
  <c r="N138" i="1"/>
  <c r="D138" i="1" s="1"/>
  <c r="N69" i="1"/>
  <c r="N143" i="1"/>
  <c r="D143" i="1" s="1"/>
  <c r="N77" i="1"/>
  <c r="N199" i="1"/>
  <c r="D199" i="1" s="1"/>
  <c r="N65" i="1"/>
  <c r="D65" i="1" s="1"/>
  <c r="N128" i="1"/>
  <c r="D128" i="1" s="1"/>
  <c r="N114" i="1"/>
  <c r="N73" i="1"/>
  <c r="N98" i="1"/>
  <c r="N82" i="1"/>
  <c r="N158" i="1"/>
  <c r="D158" i="1" s="1"/>
  <c r="I12" i="1"/>
  <c r="H12" i="1"/>
  <c r="F12" i="1"/>
  <c r="J12" i="1"/>
  <c r="K12" i="1"/>
  <c r="N33" i="1"/>
  <c r="N20" i="1" l="1"/>
  <c r="C11" i="1"/>
  <c r="M12" i="1" a="1"/>
  <c r="M12" i="1" s="1"/>
  <c r="O12" i="1" s="1"/>
  <c r="L12" i="1"/>
  <c r="L14" i="1"/>
  <c r="M14" i="1" a="1"/>
  <c r="M14" i="1" s="1"/>
  <c r="O14" i="1" s="1"/>
  <c r="L10" i="1"/>
  <c r="M10" i="1" a="1"/>
  <c r="M10" i="1" s="1"/>
  <c r="O10" i="1" s="1"/>
  <c r="C12" i="1" l="1"/>
  <c r="N10" i="1"/>
  <c r="D10" i="1" s="1"/>
  <c r="N12" i="1"/>
  <c r="N14" i="1"/>
  <c r="D11" i="1" l="1"/>
  <c r="D12" i="1" s="1"/>
  <c r="C13" i="1"/>
  <c r="C14" i="1" l="1"/>
  <c r="D13" i="1"/>
  <c r="C15" i="1" l="1"/>
  <c r="C16" i="1" s="1"/>
  <c r="D14" i="1"/>
  <c r="D15" i="1" s="1"/>
  <c r="C17" i="1" l="1"/>
  <c r="C18" i="1" s="1"/>
  <c r="D16" i="1"/>
  <c r="D17" i="1" l="1"/>
  <c r="C19" i="1"/>
  <c r="C20" i="1" l="1"/>
  <c r="D18" i="1"/>
  <c r="C21" i="1" l="1"/>
  <c r="C22" i="1" s="1"/>
  <c r="D19" i="1"/>
  <c r="C23" i="1" l="1"/>
  <c r="C24" i="1" s="1"/>
  <c r="C25" i="1" s="1"/>
  <c r="D20" i="1"/>
  <c r="C26" i="1" l="1"/>
  <c r="D21" i="1"/>
  <c r="D22" i="1" l="1"/>
  <c r="C27" i="1"/>
  <c r="C28" i="1" l="1"/>
  <c r="D23" i="1"/>
  <c r="D24" i="1" l="1"/>
  <c r="D25" i="1" s="1"/>
  <c r="C29" i="1"/>
  <c r="C30" i="1" l="1"/>
  <c r="D26" i="1"/>
  <c r="D27" i="1" s="1"/>
  <c r="D28" i="1" s="1"/>
  <c r="D29" i="1" s="1"/>
  <c r="D30" i="1" s="1"/>
  <c r="D31" i="1" s="1"/>
  <c r="D32" i="1" s="1"/>
  <c r="D33" i="1" l="1"/>
  <c r="D34" i="1" s="1"/>
  <c r="C31" i="1"/>
  <c r="D35" i="1" l="1"/>
  <c r="D36" i="1" s="1"/>
  <c r="D37" i="1" s="1"/>
  <c r="D38" i="1" s="1"/>
  <c r="D39" i="1" s="1"/>
  <c r="D40" i="1" s="1"/>
  <c r="C32" i="1"/>
  <c r="C33" i="1" s="1"/>
  <c r="D41" i="1" l="1"/>
  <c r="C34" i="1"/>
  <c r="D42" i="1" l="1"/>
  <c r="C35" i="1"/>
  <c r="C36" i="1" s="1"/>
  <c r="C37" i="1" s="1"/>
  <c r="C38" i="1" s="1"/>
  <c r="C39" i="1" s="1"/>
  <c r="C40" i="1" s="1"/>
  <c r="D43" i="1" l="1"/>
  <c r="C41" i="1"/>
  <c r="C42" i="1" l="1"/>
  <c r="D44" i="1"/>
  <c r="D45" i="1" l="1"/>
  <c r="C43" i="1"/>
  <c r="D46" i="1" l="1"/>
  <c r="C44" i="1"/>
  <c r="D47" i="1" l="1"/>
  <c r="C45" i="1"/>
  <c r="D48" i="1" l="1"/>
  <c r="C46" i="1"/>
  <c r="D49" i="1" l="1"/>
  <c r="D50" i="1" s="1"/>
  <c r="D51" i="1" s="1"/>
  <c r="D52" i="1" s="1"/>
  <c r="D53" i="1" s="1"/>
  <c r="D54" i="1" s="1"/>
  <c r="C47" i="1"/>
  <c r="C48" i="1" l="1"/>
  <c r="D55" i="1"/>
  <c r="D56" i="1" s="1"/>
  <c r="D57" i="1" l="1"/>
  <c r="D58" i="1" s="1"/>
  <c r="D59" i="1" s="1"/>
  <c r="D60" i="1" s="1"/>
  <c r="D61" i="1" s="1"/>
  <c r="D62" i="1" s="1"/>
  <c r="D63" i="1" s="1"/>
  <c r="D64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2" i="1" s="1"/>
  <c r="D83" i="1" s="1"/>
  <c r="D84" i="1" s="1"/>
  <c r="D85" i="1" s="1"/>
  <c r="D86" i="1" s="1"/>
  <c r="D87" i="1" s="1"/>
  <c r="D88" i="1" s="1"/>
  <c r="D89" i="1" s="1"/>
  <c r="D90" i="1" s="1"/>
  <c r="D91" i="1" s="1"/>
  <c r="D92" i="1" s="1"/>
  <c r="D93" i="1" s="1"/>
  <c r="D94" i="1" s="1"/>
  <c r="D95" i="1" s="1"/>
  <c r="D96" i="1" s="1"/>
  <c r="D97" i="1" s="1"/>
  <c r="D98" i="1" s="1"/>
  <c r="D99" i="1" s="1"/>
  <c r="D100" i="1" s="1"/>
  <c r="D101" i="1" s="1"/>
  <c r="D102" i="1" s="1"/>
  <c r="D103" i="1" s="1"/>
  <c r="D104" i="1" s="1"/>
  <c r="D105" i="1" s="1"/>
  <c r="D106" i="1" s="1"/>
  <c r="D107" i="1" s="1"/>
  <c r="D108" i="1" s="1"/>
  <c r="D109" i="1" s="1"/>
  <c r="D110" i="1" s="1"/>
  <c r="D111" i="1" s="1"/>
  <c r="D112" i="1" s="1"/>
  <c r="D113" i="1" s="1"/>
  <c r="D114" i="1" s="1"/>
  <c r="D115" i="1" s="1"/>
  <c r="D116" i="1" s="1"/>
  <c r="D117" i="1" s="1"/>
  <c r="D118" i="1" s="1"/>
  <c r="D119" i="1" s="1"/>
  <c r="D120" i="1" s="1"/>
  <c r="D121" i="1" s="1"/>
  <c r="D123" i="1" s="1"/>
  <c r="C49" i="1"/>
  <c r="S150" i="3" l="1"/>
  <c r="T150" i="3" s="1"/>
  <c r="U150" i="3" s="1"/>
  <c r="S76" i="3"/>
  <c r="T76" i="3" s="1"/>
  <c r="U76" i="3" s="1"/>
  <c r="M182" i="3"/>
  <c r="N182" i="3" s="1"/>
  <c r="O182" i="3" s="1"/>
  <c r="P182" i="3" s="1"/>
  <c r="Q182" i="3" s="1"/>
  <c r="S117" i="3"/>
  <c r="T117" i="3" s="1"/>
  <c r="U117" i="3" s="1"/>
  <c r="M112" i="3"/>
  <c r="N112" i="3" s="1"/>
  <c r="O112" i="3" s="1"/>
  <c r="P112" i="3" s="1"/>
  <c r="Q112" i="3" s="1"/>
  <c r="S23" i="3"/>
  <c r="T23" i="3" s="1"/>
  <c r="U23" i="3" s="1"/>
  <c r="S163" i="3"/>
  <c r="T163" i="3" s="1"/>
  <c r="U163" i="3" s="1"/>
  <c r="S175" i="3"/>
  <c r="T175" i="3" s="1"/>
  <c r="U175" i="3" s="1"/>
  <c r="M32" i="3"/>
  <c r="N32" i="3" s="1"/>
  <c r="M126" i="3"/>
  <c r="N126" i="3" s="1"/>
  <c r="O126" i="3" s="1"/>
  <c r="P126" i="3" s="1"/>
  <c r="Q126" i="3" s="1"/>
  <c r="S179" i="3"/>
  <c r="T179" i="3" s="1"/>
  <c r="U179" i="3" s="1"/>
  <c r="S46" i="3"/>
  <c r="T46" i="3" s="1"/>
  <c r="U46" i="3" s="1"/>
  <c r="S59" i="3"/>
  <c r="T59" i="3" s="1"/>
  <c r="U59" i="3" s="1"/>
  <c r="M78" i="3"/>
  <c r="N78" i="3" s="1"/>
  <c r="O78" i="3" s="1"/>
  <c r="P78" i="3" s="1"/>
  <c r="Q78" i="3" s="1"/>
  <c r="M28" i="3"/>
  <c r="N28" i="3" s="1"/>
  <c r="N3" i="3"/>
  <c r="M40" i="3"/>
  <c r="N40" i="3" s="1"/>
  <c r="O40" i="3" s="1"/>
  <c r="P40" i="3" s="1"/>
  <c r="Q40" i="3" s="1"/>
  <c r="S62" i="3"/>
  <c r="T62" i="3" s="1"/>
  <c r="U62" i="3" s="1"/>
  <c r="M23" i="3"/>
  <c r="N23" i="3" s="1"/>
  <c r="S95" i="3"/>
  <c r="T95" i="3" s="1"/>
  <c r="U95" i="3" s="1"/>
  <c r="M194" i="3"/>
  <c r="N194" i="3" s="1"/>
  <c r="O194" i="3" s="1"/>
  <c r="P194" i="3" s="1"/>
  <c r="Q194" i="3" s="1"/>
  <c r="M186" i="3"/>
  <c r="N186" i="3" s="1"/>
  <c r="O186" i="3" s="1"/>
  <c r="P186" i="3" s="1"/>
  <c r="Q186" i="3" s="1"/>
  <c r="S92" i="3"/>
  <c r="T92" i="3" s="1"/>
  <c r="U92" i="3" s="1"/>
  <c r="M142" i="3"/>
  <c r="N142" i="3" s="1"/>
  <c r="O142" i="3" s="1"/>
  <c r="P142" i="3" s="1"/>
  <c r="Q142" i="3" s="1"/>
  <c r="S44" i="3"/>
  <c r="T44" i="3" s="1"/>
  <c r="U44" i="3" s="1"/>
  <c r="S18" i="3"/>
  <c r="T18" i="3" s="1"/>
  <c r="U18" i="3" s="1"/>
  <c r="M49" i="3"/>
  <c r="N49" i="3" s="1"/>
  <c r="O49" i="3" s="1"/>
  <c r="P49" i="3" s="1"/>
  <c r="Q49" i="3" s="1"/>
  <c r="S126" i="3"/>
  <c r="T126" i="3" s="1"/>
  <c r="U126" i="3" s="1"/>
  <c r="S34" i="3"/>
  <c r="T34" i="3" s="1"/>
  <c r="U34" i="3" s="1"/>
  <c r="M175" i="3"/>
  <c r="N175" i="3" s="1"/>
  <c r="O175" i="3" s="1"/>
  <c r="P175" i="3" s="1"/>
  <c r="Q175" i="3" s="1"/>
  <c r="M157" i="3"/>
  <c r="N157" i="3" s="1"/>
  <c r="O157" i="3" s="1"/>
  <c r="P157" i="3" s="1"/>
  <c r="Q157" i="3" s="1"/>
  <c r="M119" i="3"/>
  <c r="N119" i="3" s="1"/>
  <c r="O119" i="3" s="1"/>
  <c r="P119" i="3" s="1"/>
  <c r="Q119" i="3" s="1"/>
  <c r="M151" i="3"/>
  <c r="N151" i="3" s="1"/>
  <c r="O151" i="3" s="1"/>
  <c r="P151" i="3" s="1"/>
  <c r="Q151" i="3" s="1"/>
  <c r="S177" i="3"/>
  <c r="T177" i="3" s="1"/>
  <c r="U177" i="3" s="1"/>
  <c r="M53" i="3"/>
  <c r="N53" i="3" s="1"/>
  <c r="O53" i="3" s="1"/>
  <c r="P53" i="3" s="1"/>
  <c r="Q53" i="3" s="1"/>
  <c r="M99" i="3"/>
  <c r="N99" i="3" s="1"/>
  <c r="O99" i="3" s="1"/>
  <c r="P99" i="3" s="1"/>
  <c r="Q99" i="3" s="1"/>
  <c r="S53" i="3"/>
  <c r="T53" i="3" s="1"/>
  <c r="U53" i="3" s="1"/>
  <c r="S151" i="3"/>
  <c r="T151" i="3" s="1"/>
  <c r="U151" i="3" s="1"/>
  <c r="S133" i="3"/>
  <c r="T133" i="3" s="1"/>
  <c r="U133" i="3" s="1"/>
  <c r="M117" i="3"/>
  <c r="N117" i="3" s="1"/>
  <c r="O117" i="3" s="1"/>
  <c r="P117" i="3" s="1"/>
  <c r="Q117" i="3" s="1"/>
  <c r="M71" i="3"/>
  <c r="N71" i="3" s="1"/>
  <c r="O71" i="3" s="1"/>
  <c r="P71" i="3" s="1"/>
  <c r="Q71" i="3" s="1"/>
  <c r="M51" i="3"/>
  <c r="N51" i="3" s="1"/>
  <c r="O51" i="3" s="1"/>
  <c r="P51" i="3" s="1"/>
  <c r="Q51" i="3" s="1"/>
  <c r="S132" i="3"/>
  <c r="T132" i="3" s="1"/>
  <c r="U132" i="3" s="1"/>
  <c r="M152" i="3"/>
  <c r="N152" i="3" s="1"/>
  <c r="O152" i="3" s="1"/>
  <c r="P152" i="3" s="1"/>
  <c r="Q152" i="3" s="1"/>
  <c r="S96" i="3"/>
  <c r="T96" i="3" s="1"/>
  <c r="U96" i="3" s="1"/>
  <c r="M146" i="3"/>
  <c r="N146" i="3" s="1"/>
  <c r="O146" i="3" s="1"/>
  <c r="P146" i="3" s="1"/>
  <c r="Q146" i="3" s="1"/>
  <c r="M8" i="3"/>
  <c r="N8" i="3" s="1"/>
  <c r="O8" i="3" s="1"/>
  <c r="P8" i="3" s="1"/>
  <c r="S80" i="3"/>
  <c r="T80" i="3" s="1"/>
  <c r="U80" i="3" s="1"/>
  <c r="M176" i="3"/>
  <c r="N176" i="3" s="1"/>
  <c r="O176" i="3" s="1"/>
  <c r="P176" i="3" s="1"/>
  <c r="Q176" i="3" s="1"/>
  <c r="S158" i="3"/>
  <c r="T158" i="3" s="1"/>
  <c r="U158" i="3" s="1"/>
  <c r="S61" i="3"/>
  <c r="T61" i="3" s="1"/>
  <c r="U61" i="3" s="1"/>
  <c r="S64" i="3"/>
  <c r="T64" i="3" s="1"/>
  <c r="U64" i="3" s="1"/>
  <c r="S10" i="3"/>
  <c r="T10" i="3" s="1"/>
  <c r="U10" i="3" s="1"/>
  <c r="M171" i="3"/>
  <c r="N171" i="3" s="1"/>
  <c r="O171" i="3" s="1"/>
  <c r="P171" i="3" s="1"/>
  <c r="Q171" i="3" s="1"/>
  <c r="M187" i="3"/>
  <c r="N187" i="3" s="1"/>
  <c r="O187" i="3" s="1"/>
  <c r="P187" i="3" s="1"/>
  <c r="Q187" i="3" s="1"/>
  <c r="S28" i="3"/>
  <c r="T28" i="3" s="1"/>
  <c r="U28" i="3" s="1"/>
  <c r="S77" i="3"/>
  <c r="T77" i="3" s="1"/>
  <c r="U77" i="3" s="1"/>
  <c r="S182" i="3"/>
  <c r="T182" i="3" s="1"/>
  <c r="U182" i="3" s="1"/>
  <c r="S65" i="3"/>
  <c r="T65" i="3" s="1"/>
  <c r="U65" i="3" s="1"/>
  <c r="M113" i="3"/>
  <c r="N113" i="3" s="1"/>
  <c r="O113" i="3" s="1"/>
  <c r="P113" i="3" s="1"/>
  <c r="Q113" i="3" s="1"/>
  <c r="M161" i="3"/>
  <c r="N161" i="3" s="1"/>
  <c r="O161" i="3" s="1"/>
  <c r="P161" i="3" s="1"/>
  <c r="Q161" i="3" s="1"/>
  <c r="S26" i="3"/>
  <c r="T26" i="3" s="1"/>
  <c r="U26" i="3" s="1"/>
  <c r="S21" i="3"/>
  <c r="T21" i="3" s="1"/>
  <c r="U21" i="3" s="1"/>
  <c r="S191" i="3"/>
  <c r="T191" i="3" s="1"/>
  <c r="U191" i="3" s="1"/>
  <c r="S71" i="3"/>
  <c r="T71" i="3" s="1"/>
  <c r="U71" i="3" s="1"/>
  <c r="S159" i="3"/>
  <c r="T159" i="3" s="1"/>
  <c r="U159" i="3" s="1"/>
  <c r="M95" i="3"/>
  <c r="N95" i="3" s="1"/>
  <c r="O95" i="3" s="1"/>
  <c r="P95" i="3" s="1"/>
  <c r="Q95" i="3" s="1"/>
  <c r="S24" i="3"/>
  <c r="T24" i="3" s="1"/>
  <c r="U24" i="3" s="1"/>
  <c r="S198" i="3"/>
  <c r="T198" i="3" s="1"/>
  <c r="U198" i="3" s="1"/>
  <c r="M110" i="3"/>
  <c r="N110" i="3" s="1"/>
  <c r="O110" i="3" s="1"/>
  <c r="P110" i="3" s="1"/>
  <c r="Q110" i="3" s="1"/>
  <c r="M173" i="3"/>
  <c r="N173" i="3" s="1"/>
  <c r="O173" i="3" s="1"/>
  <c r="P173" i="3" s="1"/>
  <c r="Q173" i="3" s="1"/>
  <c r="S9" i="3"/>
  <c r="T9" i="3" s="1"/>
  <c r="U9" i="3" s="1"/>
  <c r="M183" i="3"/>
  <c r="N183" i="3" s="1"/>
  <c r="O183" i="3" s="1"/>
  <c r="P183" i="3" s="1"/>
  <c r="Q183" i="3" s="1"/>
  <c r="S20" i="3"/>
  <c r="T20" i="3" s="1"/>
  <c r="U20" i="3" s="1"/>
  <c r="S168" i="3"/>
  <c r="T168" i="3" s="1"/>
  <c r="U168" i="3" s="1"/>
  <c r="S51" i="3"/>
  <c r="T51" i="3" s="1"/>
  <c r="U51" i="3" s="1"/>
  <c r="R3" i="3"/>
  <c r="S131" i="3"/>
  <c r="T131" i="3" s="1"/>
  <c r="U131" i="3" s="1"/>
  <c r="M159" i="3"/>
  <c r="N159" i="3" s="1"/>
  <c r="O159" i="3" s="1"/>
  <c r="P159" i="3" s="1"/>
  <c r="Q159" i="3" s="1"/>
  <c r="M69" i="3"/>
  <c r="N69" i="3" s="1"/>
  <c r="O69" i="3" s="1"/>
  <c r="P69" i="3" s="1"/>
  <c r="Q69" i="3" s="1"/>
  <c r="M19" i="3"/>
  <c r="N19" i="3" s="1"/>
  <c r="O19" i="3" s="1"/>
  <c r="P19" i="3" s="1"/>
  <c r="Q19" i="3" s="1"/>
  <c r="M16" i="3"/>
  <c r="N16" i="3" s="1"/>
  <c r="O16" i="3" s="1"/>
  <c r="P16" i="3" s="1"/>
  <c r="M141" i="3"/>
  <c r="N141" i="3" s="1"/>
  <c r="O141" i="3" s="1"/>
  <c r="P141" i="3" s="1"/>
  <c r="Q141" i="3" s="1"/>
  <c r="S118" i="3"/>
  <c r="T118" i="3" s="1"/>
  <c r="U118" i="3" s="1"/>
  <c r="S125" i="3"/>
  <c r="T125" i="3" s="1"/>
  <c r="U125" i="3" s="1"/>
  <c r="M130" i="3"/>
  <c r="N130" i="3" s="1"/>
  <c r="O130" i="3" s="1"/>
  <c r="P130" i="3" s="1"/>
  <c r="Q130" i="3" s="1"/>
  <c r="S153" i="3"/>
  <c r="T153" i="3" s="1"/>
  <c r="U153" i="3" s="1"/>
  <c r="M76" i="3"/>
  <c r="N76" i="3" s="1"/>
  <c r="O76" i="3" s="1"/>
  <c r="P76" i="3" s="1"/>
  <c r="Q76" i="3" s="1"/>
  <c r="M169" i="3"/>
  <c r="N169" i="3" s="1"/>
  <c r="O169" i="3" s="1"/>
  <c r="P169" i="3" s="1"/>
  <c r="Q169" i="3" s="1"/>
  <c r="M128" i="3"/>
  <c r="N128" i="3" s="1"/>
  <c r="O128" i="3" s="1"/>
  <c r="P128" i="3" s="1"/>
  <c r="Q128" i="3" s="1"/>
  <c r="S16" i="3"/>
  <c r="T16" i="3" s="1"/>
  <c r="U16" i="3" s="1"/>
  <c r="S66" i="3"/>
  <c r="T66" i="3" s="1"/>
  <c r="U66" i="3" s="1"/>
  <c r="S15" i="3"/>
  <c r="T15" i="3" s="1"/>
  <c r="U15" i="3" s="1"/>
  <c r="M108" i="3"/>
  <c r="N108" i="3" s="1"/>
  <c r="O108" i="3" s="1"/>
  <c r="P108" i="3" s="1"/>
  <c r="Q108" i="3" s="1"/>
  <c r="S142" i="3"/>
  <c r="T142" i="3" s="1"/>
  <c r="U142" i="3" s="1"/>
  <c r="M195" i="3"/>
  <c r="N195" i="3" s="1"/>
  <c r="O195" i="3" s="1"/>
  <c r="P195" i="3" s="1"/>
  <c r="Q195" i="3" s="1"/>
  <c r="S88" i="3"/>
  <c r="T88" i="3" s="1"/>
  <c r="U88" i="3" s="1"/>
  <c r="M153" i="3"/>
  <c r="N153" i="3" s="1"/>
  <c r="O153" i="3" s="1"/>
  <c r="P153" i="3" s="1"/>
  <c r="Q153" i="3" s="1"/>
  <c r="S173" i="3"/>
  <c r="T173" i="3" s="1"/>
  <c r="U173" i="3" s="1"/>
  <c r="S79" i="3"/>
  <c r="T79" i="3" s="1"/>
  <c r="U79" i="3" s="1"/>
  <c r="M101" i="3"/>
  <c r="N101" i="3" s="1"/>
  <c r="O101" i="3" s="1"/>
  <c r="P101" i="3" s="1"/>
  <c r="Q101" i="3" s="1"/>
  <c r="M127" i="3"/>
  <c r="N127" i="3" s="1"/>
  <c r="O127" i="3" s="1"/>
  <c r="P127" i="3" s="1"/>
  <c r="Q127" i="3" s="1"/>
  <c r="S19" i="3"/>
  <c r="T19" i="3" s="1"/>
  <c r="U19" i="3" s="1"/>
  <c r="M102" i="3"/>
  <c r="N102" i="3" s="1"/>
  <c r="O102" i="3" s="1"/>
  <c r="P102" i="3" s="1"/>
  <c r="Q102" i="3" s="1"/>
  <c r="M154" i="3"/>
  <c r="N154" i="3" s="1"/>
  <c r="O154" i="3" s="1"/>
  <c r="P154" i="3" s="1"/>
  <c r="Q154" i="3" s="1"/>
  <c r="M79" i="3"/>
  <c r="N79" i="3" s="1"/>
  <c r="O79" i="3" s="1"/>
  <c r="P79" i="3" s="1"/>
  <c r="Q79" i="3" s="1"/>
  <c r="M92" i="3"/>
  <c r="N92" i="3" s="1"/>
  <c r="O92" i="3" s="1"/>
  <c r="P92" i="3" s="1"/>
  <c r="Q92" i="3" s="1"/>
  <c r="S89" i="3"/>
  <c r="T89" i="3" s="1"/>
  <c r="U89" i="3" s="1"/>
  <c r="S86" i="3"/>
  <c r="T86" i="3" s="1"/>
  <c r="U86" i="3" s="1"/>
  <c r="S144" i="3"/>
  <c r="T144" i="3" s="1"/>
  <c r="U144" i="3" s="1"/>
  <c r="S154" i="3"/>
  <c r="T154" i="3" s="1"/>
  <c r="U154" i="3" s="1"/>
  <c r="S74" i="3"/>
  <c r="T74" i="3" s="1"/>
  <c r="U74" i="3" s="1"/>
  <c r="M198" i="3"/>
  <c r="N198" i="3" s="1"/>
  <c r="O198" i="3" s="1"/>
  <c r="P198" i="3" s="1"/>
  <c r="Q198" i="3" s="1"/>
  <c r="S192" i="3"/>
  <c r="T192" i="3" s="1"/>
  <c r="U192" i="3" s="1"/>
  <c r="M190" i="3"/>
  <c r="N190" i="3" s="1"/>
  <c r="O190" i="3" s="1"/>
  <c r="P190" i="3" s="1"/>
  <c r="Q190" i="3" s="1"/>
  <c r="S194" i="3"/>
  <c r="T194" i="3" s="1"/>
  <c r="U194" i="3" s="1"/>
  <c r="S5" i="3"/>
  <c r="T5" i="3" s="1"/>
  <c r="U5" i="3" s="1"/>
  <c r="M185" i="3"/>
  <c r="N185" i="3" s="1"/>
  <c r="O185" i="3" s="1"/>
  <c r="P185" i="3" s="1"/>
  <c r="Q185" i="3" s="1"/>
  <c r="M168" i="3"/>
  <c r="N168" i="3" s="1"/>
  <c r="O168" i="3" s="1"/>
  <c r="P168" i="3" s="1"/>
  <c r="Q168" i="3" s="1"/>
  <c r="M192" i="3"/>
  <c r="N192" i="3" s="1"/>
  <c r="O192" i="3" s="1"/>
  <c r="P192" i="3" s="1"/>
  <c r="Q192" i="3" s="1"/>
  <c r="M160" i="3"/>
  <c r="N160" i="3" s="1"/>
  <c r="O160" i="3" s="1"/>
  <c r="P160" i="3" s="1"/>
  <c r="Q160" i="3" s="1"/>
  <c r="S104" i="3"/>
  <c r="T104" i="3" s="1"/>
  <c r="U104" i="3" s="1"/>
  <c r="S157" i="3"/>
  <c r="T157" i="3" s="1"/>
  <c r="U157" i="3" s="1"/>
  <c r="S39" i="3"/>
  <c r="T39" i="3" s="1"/>
  <c r="U39" i="3" s="1"/>
  <c r="M137" i="3"/>
  <c r="N137" i="3" s="1"/>
  <c r="O137" i="3" s="1"/>
  <c r="P137" i="3" s="1"/>
  <c r="Q137" i="3" s="1"/>
  <c r="M164" i="3"/>
  <c r="N164" i="3" s="1"/>
  <c r="O164" i="3" s="1"/>
  <c r="P164" i="3" s="1"/>
  <c r="Q164" i="3" s="1"/>
  <c r="S81" i="3"/>
  <c r="T81" i="3" s="1"/>
  <c r="U81" i="3" s="1"/>
  <c r="S72" i="3"/>
  <c r="T72" i="3" s="1"/>
  <c r="U72" i="3" s="1"/>
  <c r="M89" i="3"/>
  <c r="N89" i="3" s="1"/>
  <c r="O89" i="3" s="1"/>
  <c r="P89" i="3" s="1"/>
  <c r="Q89" i="3" s="1"/>
  <c r="M85" i="3"/>
  <c r="N85" i="3" s="1"/>
  <c r="O85" i="3" s="1"/>
  <c r="P85" i="3" s="1"/>
  <c r="Q85" i="3" s="1"/>
  <c r="M105" i="3"/>
  <c r="N105" i="3" s="1"/>
  <c r="O105" i="3" s="1"/>
  <c r="P105" i="3" s="1"/>
  <c r="Q105" i="3" s="1"/>
  <c r="S136" i="3"/>
  <c r="T136" i="3" s="1"/>
  <c r="U136" i="3" s="1"/>
  <c r="S91" i="3"/>
  <c r="T91" i="3" s="1"/>
  <c r="U91" i="3" s="1"/>
  <c r="S107" i="3"/>
  <c r="T107" i="3" s="1"/>
  <c r="U107" i="3" s="1"/>
  <c r="S121" i="3"/>
  <c r="T121" i="3" s="1"/>
  <c r="U121" i="3" s="1"/>
  <c r="S155" i="3"/>
  <c r="T155" i="3" s="1"/>
  <c r="U155" i="3" s="1"/>
  <c r="M31" i="3"/>
  <c r="N31" i="3" s="1"/>
  <c r="S162" i="3"/>
  <c r="T162" i="3" s="1"/>
  <c r="U162" i="3" s="1"/>
  <c r="M42" i="3"/>
  <c r="N42" i="3" s="1"/>
  <c r="O42" i="3" s="1"/>
  <c r="P42" i="3" s="1"/>
  <c r="Q42" i="3" s="1"/>
  <c r="M189" i="3"/>
  <c r="N189" i="3" s="1"/>
  <c r="O189" i="3" s="1"/>
  <c r="P189" i="3" s="1"/>
  <c r="Q189" i="3" s="1"/>
  <c r="S56" i="3"/>
  <c r="T56" i="3" s="1"/>
  <c r="U56" i="3" s="1"/>
  <c r="S123" i="3"/>
  <c r="T123" i="3" s="1"/>
  <c r="U123" i="3" s="1"/>
  <c r="S3" i="3"/>
  <c r="T3" i="3" s="1"/>
  <c r="M155" i="3"/>
  <c r="N155" i="3" s="1"/>
  <c r="O155" i="3" s="1"/>
  <c r="P155" i="3" s="1"/>
  <c r="Q155" i="3" s="1"/>
  <c r="M84" i="3"/>
  <c r="N84" i="3" s="1"/>
  <c r="O84" i="3" s="1"/>
  <c r="P84" i="3" s="1"/>
  <c r="Q84" i="3" s="1"/>
  <c r="M50" i="3"/>
  <c r="N50" i="3" s="1"/>
  <c r="O50" i="3" s="1"/>
  <c r="P50" i="3" s="1"/>
  <c r="Q50" i="3" s="1"/>
  <c r="M9" i="3"/>
  <c r="N9" i="3" s="1"/>
  <c r="O9" i="3" s="1"/>
  <c r="P9" i="3" s="1"/>
  <c r="S50" i="3"/>
  <c r="T50" i="3" s="1"/>
  <c r="U50" i="3" s="1"/>
  <c r="M70" i="3"/>
  <c r="N70" i="3" s="1"/>
  <c r="O70" i="3" s="1"/>
  <c r="P70" i="3" s="1"/>
  <c r="Q70" i="3" s="1"/>
  <c r="S40" i="3"/>
  <c r="T40" i="3" s="1"/>
  <c r="U40" i="3" s="1"/>
  <c r="M68" i="3"/>
  <c r="N68" i="3" s="1"/>
  <c r="O68" i="3" s="1"/>
  <c r="P68" i="3" s="1"/>
  <c r="Q68" i="3" s="1"/>
  <c r="S165" i="3"/>
  <c r="T165" i="3" s="1"/>
  <c r="U165" i="3" s="1"/>
  <c r="M60" i="3"/>
  <c r="N60" i="3" s="1"/>
  <c r="O60" i="3" s="1"/>
  <c r="P60" i="3" s="1"/>
  <c r="Q60" i="3" s="1"/>
  <c r="M132" i="3"/>
  <c r="N132" i="3" s="1"/>
  <c r="O132" i="3" s="1"/>
  <c r="P132" i="3" s="1"/>
  <c r="Q132" i="3" s="1"/>
  <c r="S199" i="3"/>
  <c r="T199" i="3" s="1"/>
  <c r="U199" i="3" s="1"/>
  <c r="M47" i="3"/>
  <c r="N47" i="3" s="1"/>
  <c r="O47" i="3" s="1"/>
  <c r="P47" i="3" s="1"/>
  <c r="Q47" i="3" s="1"/>
  <c r="M167" i="3"/>
  <c r="N167" i="3" s="1"/>
  <c r="O167" i="3" s="1"/>
  <c r="P167" i="3" s="1"/>
  <c r="Q167" i="3" s="1"/>
  <c r="M25" i="3"/>
  <c r="N25" i="3" s="1"/>
  <c r="S135" i="3"/>
  <c r="T135" i="3" s="1"/>
  <c r="U135" i="3" s="1"/>
  <c r="S110" i="3"/>
  <c r="T110" i="3" s="1"/>
  <c r="U110" i="3" s="1"/>
  <c r="S14" i="3"/>
  <c r="T14" i="3" s="1"/>
  <c r="U14" i="3" s="1"/>
  <c r="M7" i="3"/>
  <c r="N7" i="3" s="1"/>
  <c r="O7" i="3" s="1"/>
  <c r="P7" i="3" s="1"/>
  <c r="M107" i="3"/>
  <c r="N107" i="3" s="1"/>
  <c r="O107" i="3" s="1"/>
  <c r="P107" i="3" s="1"/>
  <c r="Q107" i="3" s="1"/>
  <c r="S31" i="3"/>
  <c r="T31" i="3" s="1"/>
  <c r="U31" i="3" s="1"/>
  <c r="S35" i="3"/>
  <c r="T35" i="3" s="1"/>
  <c r="U35" i="3" s="1"/>
  <c r="M133" i="3"/>
  <c r="N133" i="3" s="1"/>
  <c r="O133" i="3" s="1"/>
  <c r="P133" i="3" s="1"/>
  <c r="Q133" i="3" s="1"/>
  <c r="M27" i="3"/>
  <c r="N27" i="3" s="1"/>
  <c r="M6" i="3"/>
  <c r="N6" i="3" s="1"/>
  <c r="O6" i="3" s="1"/>
  <c r="P6" i="3" s="1"/>
  <c r="S45" i="3"/>
  <c r="T45" i="3" s="1"/>
  <c r="U45" i="3" s="1"/>
  <c r="M18" i="3"/>
  <c r="N18" i="3" s="1"/>
  <c r="O18" i="3" s="1"/>
  <c r="P18" i="3" s="1"/>
  <c r="Q18" i="3" s="1"/>
  <c r="S30" i="3"/>
  <c r="T30" i="3" s="1"/>
  <c r="U30" i="3" s="1"/>
  <c r="S8" i="3"/>
  <c r="T8" i="3" s="1"/>
  <c r="U8" i="3" s="1"/>
  <c r="M52" i="3"/>
  <c r="N52" i="3" s="1"/>
  <c r="O52" i="3" s="1"/>
  <c r="P52" i="3" s="1"/>
  <c r="Q52" i="3" s="1"/>
  <c r="M118" i="3"/>
  <c r="N118" i="3" s="1"/>
  <c r="O118" i="3" s="1"/>
  <c r="P118" i="3" s="1"/>
  <c r="Q118" i="3" s="1"/>
  <c r="M39" i="3"/>
  <c r="N39" i="3" s="1"/>
  <c r="O39" i="3" s="1"/>
  <c r="P39" i="3" s="1"/>
  <c r="Q39" i="3" s="1"/>
  <c r="S52" i="3"/>
  <c r="T52" i="3" s="1"/>
  <c r="U52" i="3" s="1"/>
  <c r="S4" i="3"/>
  <c r="T4" i="3" s="1"/>
  <c r="U4" i="3" s="1"/>
  <c r="M178" i="3"/>
  <c r="N178" i="3" s="1"/>
  <c r="O178" i="3" s="1"/>
  <c r="P178" i="3" s="1"/>
  <c r="Q178" i="3" s="1"/>
  <c r="M65" i="3"/>
  <c r="N65" i="3" s="1"/>
  <c r="O65" i="3" s="1"/>
  <c r="P65" i="3" s="1"/>
  <c r="Q65" i="3" s="1"/>
  <c r="S152" i="3"/>
  <c r="T152" i="3" s="1"/>
  <c r="U152" i="3" s="1"/>
  <c r="M114" i="3"/>
  <c r="N114" i="3" s="1"/>
  <c r="O114" i="3" s="1"/>
  <c r="P114" i="3" s="1"/>
  <c r="Q114" i="3" s="1"/>
  <c r="S169" i="3"/>
  <c r="T169" i="3" s="1"/>
  <c r="U169" i="3" s="1"/>
  <c r="M104" i="3"/>
  <c r="N104" i="3" s="1"/>
  <c r="O104" i="3" s="1"/>
  <c r="P104" i="3" s="1"/>
  <c r="Q104" i="3" s="1"/>
  <c r="M77" i="3"/>
  <c r="N77" i="3" s="1"/>
  <c r="O77" i="3" s="1"/>
  <c r="P77" i="3" s="1"/>
  <c r="Q77" i="3" s="1"/>
  <c r="M67" i="3"/>
  <c r="N67" i="3" s="1"/>
  <c r="O67" i="3" s="1"/>
  <c r="P67" i="3" s="1"/>
  <c r="Q67" i="3" s="1"/>
  <c r="S200" i="3"/>
  <c r="T200" i="3" s="1"/>
  <c r="U200" i="3" s="1"/>
  <c r="S189" i="3"/>
  <c r="T189" i="3" s="1"/>
  <c r="U189" i="3" s="1"/>
  <c r="M30" i="3"/>
  <c r="N30" i="3" s="1"/>
  <c r="M34" i="3"/>
  <c r="N34" i="3" s="1"/>
  <c r="O34" i="3" s="1"/>
  <c r="P34" i="3" s="1"/>
  <c r="Q34" i="3" s="1"/>
  <c r="P3" i="3"/>
  <c r="Q3" i="3" s="1"/>
  <c r="S112" i="3"/>
  <c r="T112" i="3" s="1"/>
  <c r="U112" i="3" s="1"/>
  <c r="S42" i="3"/>
  <c r="T42" i="3" s="1"/>
  <c r="U42" i="3" s="1"/>
  <c r="S140" i="3"/>
  <c r="T140" i="3" s="1"/>
  <c r="U140" i="3" s="1"/>
  <c r="M148" i="3"/>
  <c r="N148" i="3" s="1"/>
  <c r="O148" i="3" s="1"/>
  <c r="P148" i="3" s="1"/>
  <c r="Q148" i="3" s="1"/>
  <c r="M124" i="3"/>
  <c r="N124" i="3" s="1"/>
  <c r="O124" i="3" s="1"/>
  <c r="P124" i="3" s="1"/>
  <c r="Q124" i="3" s="1"/>
  <c r="M177" i="3"/>
  <c r="N177" i="3" s="1"/>
  <c r="O177" i="3" s="1"/>
  <c r="P177" i="3" s="1"/>
  <c r="Q177" i="3" s="1"/>
  <c r="S106" i="3"/>
  <c r="T106" i="3" s="1"/>
  <c r="U106" i="3" s="1"/>
  <c r="M122" i="3"/>
  <c r="N122" i="3" s="1"/>
  <c r="O122" i="3" s="1"/>
  <c r="P122" i="3" s="1"/>
  <c r="Q122" i="3" s="1"/>
  <c r="S7" i="3"/>
  <c r="T7" i="3" s="1"/>
  <c r="U7" i="3" s="1"/>
  <c r="S176" i="3"/>
  <c r="T176" i="3" s="1"/>
  <c r="U176" i="3" s="1"/>
  <c r="M103" i="3"/>
  <c r="N103" i="3" s="1"/>
  <c r="O103" i="3" s="1"/>
  <c r="P103" i="3" s="1"/>
  <c r="Q103" i="3" s="1"/>
  <c r="M96" i="3"/>
  <c r="N96" i="3" s="1"/>
  <c r="O96" i="3" s="1"/>
  <c r="P96" i="3" s="1"/>
  <c r="Q96" i="3" s="1"/>
  <c r="M61" i="3"/>
  <c r="N61" i="3" s="1"/>
  <c r="O61" i="3" s="1"/>
  <c r="P61" i="3" s="1"/>
  <c r="Q61" i="3" s="1"/>
  <c r="S167" i="3"/>
  <c r="T167" i="3" s="1"/>
  <c r="U167" i="3" s="1"/>
  <c r="M90" i="3"/>
  <c r="N90" i="3" s="1"/>
  <c r="O90" i="3" s="1"/>
  <c r="P90" i="3" s="1"/>
  <c r="Q90" i="3" s="1"/>
  <c r="M147" i="3"/>
  <c r="N147" i="3" s="1"/>
  <c r="O147" i="3" s="1"/>
  <c r="P147" i="3" s="1"/>
  <c r="Q147" i="3" s="1"/>
  <c r="S13" i="3"/>
  <c r="T13" i="3" s="1"/>
  <c r="U13" i="3" s="1"/>
  <c r="M120" i="3"/>
  <c r="N120" i="3" s="1"/>
  <c r="O120" i="3" s="1"/>
  <c r="P120" i="3" s="1"/>
  <c r="Q120" i="3" s="1"/>
  <c r="S32" i="3"/>
  <c r="T32" i="3" s="1"/>
  <c r="U32" i="3" s="1"/>
  <c r="S160" i="3"/>
  <c r="T160" i="3" s="1"/>
  <c r="U160" i="3" s="1"/>
  <c r="S103" i="3"/>
  <c r="T103" i="3" s="1"/>
  <c r="U103" i="3" s="1"/>
  <c r="S124" i="3"/>
  <c r="T124" i="3" s="1"/>
  <c r="U124" i="3" s="1"/>
  <c r="S122" i="3"/>
  <c r="T122" i="3" s="1"/>
  <c r="U122" i="3" s="1"/>
  <c r="M73" i="3"/>
  <c r="N73" i="3" s="1"/>
  <c r="O73" i="3" s="1"/>
  <c r="P73" i="3" s="1"/>
  <c r="Q73" i="3" s="1"/>
  <c r="S17" i="3"/>
  <c r="T17" i="3" s="1"/>
  <c r="U17" i="3" s="1"/>
  <c r="S105" i="3"/>
  <c r="T105" i="3" s="1"/>
  <c r="U105" i="3" s="1"/>
  <c r="S146" i="3"/>
  <c r="T146" i="3" s="1"/>
  <c r="U146" i="3" s="1"/>
  <c r="S73" i="3"/>
  <c r="T73" i="3" s="1"/>
  <c r="U73" i="3" s="1"/>
  <c r="M158" i="3"/>
  <c r="N158" i="3" s="1"/>
  <c r="O158" i="3" s="1"/>
  <c r="P158" i="3" s="1"/>
  <c r="Q158" i="3" s="1"/>
  <c r="S29" i="3"/>
  <c r="T29" i="3" s="1"/>
  <c r="U29" i="3" s="1"/>
  <c r="M17" i="3"/>
  <c r="N17" i="3" s="1"/>
  <c r="O17" i="3" s="1"/>
  <c r="P17" i="3" s="1"/>
  <c r="Q17" i="3" s="1"/>
  <c r="M139" i="3"/>
  <c r="N139" i="3" s="1"/>
  <c r="O139" i="3" s="1"/>
  <c r="P139" i="3" s="1"/>
  <c r="Q139" i="3" s="1"/>
  <c r="U3" i="3"/>
  <c r="S67" i="3"/>
  <c r="T67" i="3" s="1"/>
  <c r="U67" i="3" s="1"/>
  <c r="M75" i="3"/>
  <c r="N75" i="3" s="1"/>
  <c r="O75" i="3" s="1"/>
  <c r="P75" i="3" s="1"/>
  <c r="Q75" i="3" s="1"/>
  <c r="S69" i="3"/>
  <c r="T69" i="3" s="1"/>
  <c r="U69" i="3" s="1"/>
  <c r="S97" i="3"/>
  <c r="T97" i="3" s="1"/>
  <c r="U97" i="3" s="1"/>
  <c r="M88" i="3"/>
  <c r="N88" i="3" s="1"/>
  <c r="O88" i="3" s="1"/>
  <c r="P88" i="3" s="1"/>
  <c r="Q88" i="3" s="1"/>
  <c r="S68" i="3"/>
  <c r="T68" i="3" s="1"/>
  <c r="U68" i="3" s="1"/>
  <c r="S190" i="3"/>
  <c r="T190" i="3" s="1"/>
  <c r="U190" i="3" s="1"/>
  <c r="M106" i="3"/>
  <c r="N106" i="3" s="1"/>
  <c r="O106" i="3" s="1"/>
  <c r="P106" i="3" s="1"/>
  <c r="Q106" i="3" s="1"/>
  <c r="S63" i="3"/>
  <c r="T63" i="3" s="1"/>
  <c r="U63" i="3" s="1"/>
  <c r="S180" i="3"/>
  <c r="T180" i="3" s="1"/>
  <c r="U180" i="3" s="1"/>
  <c r="M3" i="3"/>
  <c r="S11" i="3"/>
  <c r="T11" i="3" s="1"/>
  <c r="U11" i="3" s="1"/>
  <c r="M29" i="3"/>
  <c r="N29" i="3" s="1"/>
  <c r="S174" i="3"/>
  <c r="T174" i="3" s="1"/>
  <c r="U174" i="3" s="1"/>
  <c r="M143" i="3"/>
  <c r="N143" i="3" s="1"/>
  <c r="O143" i="3" s="1"/>
  <c r="P143" i="3" s="1"/>
  <c r="Q143" i="3" s="1"/>
  <c r="M123" i="3"/>
  <c r="N123" i="3" s="1"/>
  <c r="O123" i="3" s="1"/>
  <c r="P123" i="3" s="1"/>
  <c r="Q123" i="3" s="1"/>
  <c r="S93" i="3"/>
  <c r="T93" i="3" s="1"/>
  <c r="U93" i="3" s="1"/>
  <c r="S102" i="3"/>
  <c r="T102" i="3" s="1"/>
  <c r="U102" i="3" s="1"/>
  <c r="S137" i="3"/>
  <c r="T137" i="3" s="1"/>
  <c r="U137" i="3" s="1"/>
  <c r="S147" i="3"/>
  <c r="T147" i="3" s="1"/>
  <c r="U147" i="3" s="1"/>
  <c r="S138" i="3"/>
  <c r="T138" i="3" s="1"/>
  <c r="U138" i="3" s="1"/>
  <c r="S120" i="3"/>
  <c r="T120" i="3" s="1"/>
  <c r="U120" i="3" s="1"/>
  <c r="S172" i="3"/>
  <c r="T172" i="3" s="1"/>
  <c r="U172" i="3" s="1"/>
  <c r="S187" i="3"/>
  <c r="T187" i="3" s="1"/>
  <c r="U187" i="3" s="1"/>
  <c r="S84" i="3"/>
  <c r="T84" i="3" s="1"/>
  <c r="U84" i="3" s="1"/>
  <c r="M5" i="3"/>
  <c r="N5" i="3" s="1"/>
  <c r="M94" i="3"/>
  <c r="N94" i="3" s="1"/>
  <c r="O94" i="3" s="1"/>
  <c r="P94" i="3" s="1"/>
  <c r="Q94" i="3" s="1"/>
  <c r="M200" i="3"/>
  <c r="N200" i="3" s="1"/>
  <c r="O200" i="3" s="1"/>
  <c r="P200" i="3" s="1"/>
  <c r="Q200" i="3" s="1"/>
  <c r="M191" i="3"/>
  <c r="N191" i="3" s="1"/>
  <c r="O191" i="3" s="1"/>
  <c r="P191" i="3" s="1"/>
  <c r="Q191" i="3" s="1"/>
  <c r="M20" i="3"/>
  <c r="N20" i="3" s="1"/>
  <c r="O20" i="3" s="1"/>
  <c r="P20" i="3" s="1"/>
  <c r="S134" i="3"/>
  <c r="T134" i="3" s="1"/>
  <c r="U134" i="3" s="1"/>
  <c r="S129" i="3"/>
  <c r="T129" i="3" s="1"/>
  <c r="U129" i="3" s="1"/>
  <c r="M58" i="3"/>
  <c r="N58" i="3" s="1"/>
  <c r="O58" i="3" s="1"/>
  <c r="P58" i="3" s="1"/>
  <c r="Q58" i="3" s="1"/>
  <c r="M59" i="3"/>
  <c r="N59" i="3" s="1"/>
  <c r="O59" i="3" s="1"/>
  <c r="P59" i="3" s="1"/>
  <c r="Q59" i="3" s="1"/>
  <c r="M163" i="3"/>
  <c r="N163" i="3" s="1"/>
  <c r="O163" i="3" s="1"/>
  <c r="P163" i="3" s="1"/>
  <c r="Q163" i="3" s="1"/>
  <c r="M97" i="3"/>
  <c r="N97" i="3" s="1"/>
  <c r="O97" i="3" s="1"/>
  <c r="P97" i="3" s="1"/>
  <c r="Q97" i="3" s="1"/>
  <c r="M63" i="3"/>
  <c r="N63" i="3" s="1"/>
  <c r="O63" i="3" s="1"/>
  <c r="P63" i="3" s="1"/>
  <c r="Q63" i="3" s="1"/>
  <c r="S185" i="3"/>
  <c r="T185" i="3" s="1"/>
  <c r="U185" i="3" s="1"/>
  <c r="M111" i="3"/>
  <c r="N111" i="3" s="1"/>
  <c r="O111" i="3" s="1"/>
  <c r="P111" i="3" s="1"/>
  <c r="Q111" i="3" s="1"/>
  <c r="S12" i="3"/>
  <c r="T12" i="3" s="1"/>
  <c r="U12" i="3" s="1"/>
  <c r="M129" i="3"/>
  <c r="N129" i="3" s="1"/>
  <c r="O129" i="3" s="1"/>
  <c r="P129" i="3" s="1"/>
  <c r="Q129" i="3" s="1"/>
  <c r="S184" i="3"/>
  <c r="T184" i="3" s="1"/>
  <c r="U184" i="3" s="1"/>
  <c r="S109" i="3"/>
  <c r="T109" i="3" s="1"/>
  <c r="U109" i="3" s="1"/>
  <c r="M125" i="3"/>
  <c r="N125" i="3" s="1"/>
  <c r="O125" i="3" s="1"/>
  <c r="P125" i="3" s="1"/>
  <c r="Q125" i="3" s="1"/>
  <c r="S115" i="3"/>
  <c r="T115" i="3" s="1"/>
  <c r="U115" i="3" s="1"/>
  <c r="M11" i="3"/>
  <c r="N11" i="3" s="1"/>
  <c r="O11" i="3" s="1"/>
  <c r="P11" i="3" s="1"/>
  <c r="Q11" i="3" s="1"/>
  <c r="M33" i="3"/>
  <c r="N33" i="3" s="1"/>
  <c r="O33" i="3" s="1"/>
  <c r="P33" i="3" s="1"/>
  <c r="Q33" i="3" s="1"/>
  <c r="M44" i="3"/>
  <c r="N44" i="3" s="1"/>
  <c r="O44" i="3" s="1"/>
  <c r="P44" i="3" s="1"/>
  <c r="Q44" i="3" s="1"/>
  <c r="S27" i="3"/>
  <c r="T27" i="3" s="1"/>
  <c r="U27" i="3" s="1"/>
  <c r="M24" i="3"/>
  <c r="N24" i="3" s="1"/>
  <c r="M162" i="3"/>
  <c r="N162" i="3" s="1"/>
  <c r="O162" i="3" s="1"/>
  <c r="P162" i="3" s="1"/>
  <c r="Q162" i="3" s="1"/>
  <c r="M181" i="3"/>
  <c r="N181" i="3" s="1"/>
  <c r="O181" i="3" s="1"/>
  <c r="P181" i="3" s="1"/>
  <c r="Q181" i="3" s="1"/>
  <c r="S116" i="3"/>
  <c r="T116" i="3" s="1"/>
  <c r="U116" i="3" s="1"/>
  <c r="S87" i="3"/>
  <c r="T87" i="3" s="1"/>
  <c r="U87" i="3" s="1"/>
  <c r="S196" i="3"/>
  <c r="T196" i="3" s="1"/>
  <c r="U196" i="3" s="1"/>
  <c r="M100" i="3"/>
  <c r="N100" i="3" s="1"/>
  <c r="O100" i="3" s="1"/>
  <c r="P100" i="3" s="1"/>
  <c r="Q100" i="3" s="1"/>
  <c r="S43" i="3"/>
  <c r="T43" i="3" s="1"/>
  <c r="U43" i="3" s="1"/>
  <c r="S101" i="3"/>
  <c r="T101" i="3" s="1"/>
  <c r="U101" i="3" s="1"/>
  <c r="S100" i="3"/>
  <c r="T100" i="3" s="1"/>
  <c r="U100" i="3" s="1"/>
  <c r="S178" i="3"/>
  <c r="T178" i="3" s="1"/>
  <c r="U178" i="3" s="1"/>
  <c r="M74" i="3"/>
  <c r="N74" i="3" s="1"/>
  <c r="O74" i="3" s="1"/>
  <c r="P74" i="3" s="1"/>
  <c r="Q74" i="3" s="1"/>
  <c r="M140" i="3"/>
  <c r="N140" i="3" s="1"/>
  <c r="O140" i="3" s="1"/>
  <c r="P140" i="3" s="1"/>
  <c r="Q140" i="3" s="1"/>
  <c r="S143" i="3"/>
  <c r="T143" i="3" s="1"/>
  <c r="U143" i="3" s="1"/>
  <c r="M12" i="3"/>
  <c r="N12" i="3" s="1"/>
  <c r="O12" i="3" s="1"/>
  <c r="P12" i="3" s="1"/>
  <c r="Q12" i="3" s="1"/>
  <c r="M35" i="3"/>
  <c r="N35" i="3" s="1"/>
  <c r="O35" i="3" s="1"/>
  <c r="P35" i="3" s="1"/>
  <c r="Q35" i="3" s="1"/>
  <c r="M66" i="3"/>
  <c r="N66" i="3" s="1"/>
  <c r="O66" i="3" s="1"/>
  <c r="P66" i="3" s="1"/>
  <c r="Q66" i="3" s="1"/>
  <c r="M184" i="3"/>
  <c r="N184" i="3" s="1"/>
  <c r="O184" i="3" s="1"/>
  <c r="P184" i="3" s="1"/>
  <c r="Q184" i="3" s="1"/>
  <c r="S108" i="3"/>
  <c r="T108" i="3" s="1"/>
  <c r="U108" i="3" s="1"/>
  <c r="M43" i="3"/>
  <c r="N43" i="3" s="1"/>
  <c r="O43" i="3" s="1"/>
  <c r="P43" i="3" s="1"/>
  <c r="Q43" i="3" s="1"/>
  <c r="M54" i="3"/>
  <c r="N54" i="3" s="1"/>
  <c r="O54" i="3" s="1"/>
  <c r="P54" i="3" s="1"/>
  <c r="Q54" i="3" s="1"/>
  <c r="M138" i="3"/>
  <c r="N138" i="3" s="1"/>
  <c r="O138" i="3" s="1"/>
  <c r="P138" i="3" s="1"/>
  <c r="Q138" i="3" s="1"/>
  <c r="S181" i="3"/>
  <c r="T181" i="3" s="1"/>
  <c r="U181" i="3" s="1"/>
  <c r="S60" i="3"/>
  <c r="T60" i="3" s="1"/>
  <c r="U60" i="3" s="1"/>
  <c r="M131" i="3"/>
  <c r="N131" i="3" s="1"/>
  <c r="O131" i="3" s="1"/>
  <c r="P131" i="3" s="1"/>
  <c r="Q131" i="3" s="1"/>
  <c r="M121" i="3"/>
  <c r="N121" i="3" s="1"/>
  <c r="O121" i="3" s="1"/>
  <c r="P121" i="3" s="1"/>
  <c r="Q121" i="3" s="1"/>
  <c r="M57" i="3"/>
  <c r="N57" i="3" s="1"/>
  <c r="O57" i="3" s="1"/>
  <c r="P57" i="3" s="1"/>
  <c r="Q57" i="3" s="1"/>
  <c r="M14" i="3"/>
  <c r="N14" i="3" s="1"/>
  <c r="O14" i="3" s="1"/>
  <c r="P14" i="3" s="1"/>
  <c r="Q14" i="3" s="1"/>
  <c r="M38" i="3"/>
  <c r="N38" i="3" s="1"/>
  <c r="O38" i="3" s="1"/>
  <c r="P38" i="3" s="1"/>
  <c r="Q38" i="3" s="1"/>
  <c r="M45" i="3"/>
  <c r="N45" i="3" s="1"/>
  <c r="O45" i="3" s="1"/>
  <c r="P45" i="3" s="1"/>
  <c r="Q45" i="3" s="1"/>
  <c r="S37" i="3"/>
  <c r="T37" i="3" s="1"/>
  <c r="U37" i="3" s="1"/>
  <c r="M144" i="3"/>
  <c r="N144" i="3" s="1"/>
  <c r="O144" i="3" s="1"/>
  <c r="P144" i="3" s="1"/>
  <c r="Q144" i="3" s="1"/>
  <c r="S111" i="3"/>
  <c r="T111" i="3" s="1"/>
  <c r="U111" i="3" s="1"/>
  <c r="M82" i="3"/>
  <c r="N82" i="3" s="1"/>
  <c r="O82" i="3" s="1"/>
  <c r="P82" i="3" s="1"/>
  <c r="Q82" i="3" s="1"/>
  <c r="S90" i="3"/>
  <c r="T90" i="3" s="1"/>
  <c r="U90" i="3" s="1"/>
  <c r="M174" i="3"/>
  <c r="N174" i="3" s="1"/>
  <c r="O174" i="3" s="1"/>
  <c r="P174" i="3" s="1"/>
  <c r="Q174" i="3" s="1"/>
  <c r="M72" i="3"/>
  <c r="N72" i="3" s="1"/>
  <c r="O72" i="3" s="1"/>
  <c r="P72" i="3" s="1"/>
  <c r="Q72" i="3" s="1"/>
  <c r="M37" i="3"/>
  <c r="N37" i="3" s="1"/>
  <c r="O37" i="3" s="1"/>
  <c r="P37" i="3" s="1"/>
  <c r="Q37" i="3" s="1"/>
  <c r="M15" i="3"/>
  <c r="N15" i="3" s="1"/>
  <c r="O15" i="3" s="1"/>
  <c r="P15" i="3" s="1"/>
  <c r="Q15" i="3" s="1"/>
  <c r="S183" i="3"/>
  <c r="T183" i="3" s="1"/>
  <c r="U183" i="3" s="1"/>
  <c r="M26" i="3"/>
  <c r="N26" i="3" s="1"/>
  <c r="M10" i="3"/>
  <c r="N10" i="3" s="1"/>
  <c r="O10" i="3" s="1"/>
  <c r="P10" i="3" s="1"/>
  <c r="Q10" i="3" s="1"/>
  <c r="S149" i="3"/>
  <c r="T149" i="3" s="1"/>
  <c r="U149" i="3" s="1"/>
  <c r="M41" i="3"/>
  <c r="N41" i="3" s="1"/>
  <c r="O41" i="3" s="1"/>
  <c r="P41" i="3" s="1"/>
  <c r="Q41" i="3" s="1"/>
  <c r="S41" i="3"/>
  <c r="T41" i="3" s="1"/>
  <c r="U41" i="3" s="1"/>
  <c r="M48" i="3"/>
  <c r="N48" i="3" s="1"/>
  <c r="O48" i="3" s="1"/>
  <c r="P48" i="3" s="1"/>
  <c r="Q48" i="3" s="1"/>
  <c r="M197" i="3"/>
  <c r="N197" i="3" s="1"/>
  <c r="O197" i="3" s="1"/>
  <c r="P197" i="3" s="1"/>
  <c r="Q197" i="3" s="1"/>
  <c r="S195" i="3"/>
  <c r="T195" i="3" s="1"/>
  <c r="U195" i="3" s="1"/>
  <c r="M36" i="3"/>
  <c r="N36" i="3" s="1"/>
  <c r="O36" i="3" s="1"/>
  <c r="P36" i="3" s="1"/>
  <c r="Q36" i="3" s="1"/>
  <c r="S161" i="3"/>
  <c r="T161" i="3" s="1"/>
  <c r="U161" i="3" s="1"/>
  <c r="S25" i="3"/>
  <c r="T25" i="3" s="1"/>
  <c r="U25" i="3" s="1"/>
  <c r="M188" i="3"/>
  <c r="N188" i="3" s="1"/>
  <c r="O188" i="3" s="1"/>
  <c r="P188" i="3" s="1"/>
  <c r="Q188" i="3" s="1"/>
  <c r="M136" i="3"/>
  <c r="N136" i="3" s="1"/>
  <c r="O136" i="3" s="1"/>
  <c r="P136" i="3" s="1"/>
  <c r="Q136" i="3" s="1"/>
  <c r="M170" i="3"/>
  <c r="N170" i="3" s="1"/>
  <c r="O170" i="3" s="1"/>
  <c r="P170" i="3" s="1"/>
  <c r="Q170" i="3" s="1"/>
  <c r="M83" i="3"/>
  <c r="N83" i="3" s="1"/>
  <c r="O83" i="3" s="1"/>
  <c r="P83" i="3" s="1"/>
  <c r="Q83" i="3" s="1"/>
  <c r="S128" i="3"/>
  <c r="T128" i="3" s="1"/>
  <c r="U128" i="3" s="1"/>
  <c r="S171" i="3"/>
  <c r="T171" i="3" s="1"/>
  <c r="U171" i="3" s="1"/>
  <c r="M86" i="3"/>
  <c r="N86" i="3" s="1"/>
  <c r="O86" i="3" s="1"/>
  <c r="P86" i="3" s="1"/>
  <c r="Q86" i="3" s="1"/>
  <c r="M145" i="3"/>
  <c r="N145" i="3" s="1"/>
  <c r="O145" i="3" s="1"/>
  <c r="P145" i="3" s="1"/>
  <c r="Q145" i="3" s="1"/>
  <c r="S6" i="3"/>
  <c r="T6" i="3" s="1"/>
  <c r="U6" i="3" s="1"/>
  <c r="M135" i="3"/>
  <c r="N135" i="3" s="1"/>
  <c r="O135" i="3" s="1"/>
  <c r="P135" i="3" s="1"/>
  <c r="Q135" i="3" s="1"/>
  <c r="S114" i="3"/>
  <c r="T114" i="3" s="1"/>
  <c r="U114" i="3" s="1"/>
  <c r="S99" i="3"/>
  <c r="T99" i="3" s="1"/>
  <c r="U99" i="3" s="1"/>
  <c r="S54" i="3"/>
  <c r="T54" i="3" s="1"/>
  <c r="U54" i="3" s="1"/>
  <c r="S188" i="3"/>
  <c r="T188" i="3" s="1"/>
  <c r="U188" i="3" s="1"/>
  <c r="S145" i="3"/>
  <c r="T145" i="3" s="1"/>
  <c r="U145" i="3" s="1"/>
  <c r="S57" i="3"/>
  <c r="T57" i="3" s="1"/>
  <c r="U57" i="3" s="1"/>
  <c r="M115" i="3"/>
  <c r="N115" i="3" s="1"/>
  <c r="O115" i="3" s="1"/>
  <c r="P115" i="3" s="1"/>
  <c r="Q115" i="3" s="1"/>
  <c r="M87" i="3"/>
  <c r="N87" i="3" s="1"/>
  <c r="O87" i="3" s="1"/>
  <c r="P87" i="3" s="1"/>
  <c r="Q87" i="3" s="1"/>
  <c r="S38" i="3"/>
  <c r="T38" i="3" s="1"/>
  <c r="U38" i="3" s="1"/>
  <c r="S78" i="3"/>
  <c r="T78" i="3" s="1"/>
  <c r="U78" i="3" s="1"/>
  <c r="M56" i="3"/>
  <c r="N56" i="3" s="1"/>
  <c r="O56" i="3" s="1"/>
  <c r="P56" i="3" s="1"/>
  <c r="Q56" i="3" s="1"/>
  <c r="O3" i="3"/>
  <c r="M4" i="3"/>
  <c r="N4" i="3" s="1"/>
  <c r="O4" i="3" s="1"/>
  <c r="P4" i="3" s="1"/>
  <c r="M199" i="3"/>
  <c r="N199" i="3" s="1"/>
  <c r="O199" i="3" s="1"/>
  <c r="P199" i="3" s="1"/>
  <c r="Q199" i="3" s="1"/>
  <c r="M196" i="3"/>
  <c r="N196" i="3" s="1"/>
  <c r="O196" i="3" s="1"/>
  <c r="P196" i="3" s="1"/>
  <c r="Q196" i="3" s="1"/>
  <c r="S82" i="3"/>
  <c r="T82" i="3" s="1"/>
  <c r="U82" i="3" s="1"/>
  <c r="M166" i="3"/>
  <c r="N166" i="3" s="1"/>
  <c r="O166" i="3" s="1"/>
  <c r="P166" i="3" s="1"/>
  <c r="Q166" i="3" s="1"/>
  <c r="S98" i="3"/>
  <c r="T98" i="3" s="1"/>
  <c r="U98" i="3" s="1"/>
  <c r="M81" i="3"/>
  <c r="N81" i="3" s="1"/>
  <c r="O81" i="3" s="1"/>
  <c r="P81" i="3" s="1"/>
  <c r="Q81" i="3" s="1"/>
  <c r="S130" i="3"/>
  <c r="T130" i="3" s="1"/>
  <c r="U130" i="3" s="1"/>
  <c r="M179" i="3"/>
  <c r="N179" i="3" s="1"/>
  <c r="O179" i="3" s="1"/>
  <c r="P179" i="3" s="1"/>
  <c r="Q179" i="3" s="1"/>
  <c r="S58" i="3"/>
  <c r="T58" i="3" s="1"/>
  <c r="U58" i="3" s="1"/>
  <c r="S119" i="3"/>
  <c r="T119" i="3" s="1"/>
  <c r="U119" i="3" s="1"/>
  <c r="M93" i="3"/>
  <c r="N93" i="3" s="1"/>
  <c r="O93" i="3" s="1"/>
  <c r="P93" i="3" s="1"/>
  <c r="Q93" i="3" s="1"/>
  <c r="M109" i="3"/>
  <c r="N109" i="3" s="1"/>
  <c r="O109" i="3" s="1"/>
  <c r="P109" i="3" s="1"/>
  <c r="Q109" i="3" s="1"/>
  <c r="M116" i="3"/>
  <c r="N116" i="3" s="1"/>
  <c r="O116" i="3" s="1"/>
  <c r="P116" i="3" s="1"/>
  <c r="Q116" i="3" s="1"/>
  <c r="S55" i="3"/>
  <c r="T55" i="3" s="1"/>
  <c r="U55" i="3" s="1"/>
  <c r="S139" i="3"/>
  <c r="T139" i="3" s="1"/>
  <c r="U139" i="3" s="1"/>
  <c r="S193" i="3"/>
  <c r="T193" i="3" s="1"/>
  <c r="U193" i="3" s="1"/>
  <c r="M80" i="3"/>
  <c r="N80" i="3" s="1"/>
  <c r="O80" i="3" s="1"/>
  <c r="P80" i="3" s="1"/>
  <c r="Q80" i="3" s="1"/>
  <c r="S22" i="3"/>
  <c r="T22" i="3" s="1"/>
  <c r="U22" i="3" s="1"/>
  <c r="S70" i="3"/>
  <c r="T70" i="3" s="1"/>
  <c r="U70" i="3" s="1"/>
  <c r="R171" i="3"/>
  <c r="M46" i="3"/>
  <c r="N46" i="3" s="1"/>
  <c r="O46" i="3" s="1"/>
  <c r="P46" i="3" s="1"/>
  <c r="Q46" i="3" s="1"/>
  <c r="S166" i="3"/>
  <c r="T166" i="3" s="1"/>
  <c r="U166" i="3" s="1"/>
  <c r="S197" i="3"/>
  <c r="T197" i="3" s="1"/>
  <c r="U197" i="3" s="1"/>
  <c r="S170" i="3"/>
  <c r="T170" i="3" s="1"/>
  <c r="U170" i="3" s="1"/>
  <c r="S48" i="3"/>
  <c r="T48" i="3" s="1"/>
  <c r="U48" i="3" s="1"/>
  <c r="M21" i="3"/>
  <c r="N21" i="3" s="1"/>
  <c r="O21" i="3" s="1"/>
  <c r="P21" i="3" s="1"/>
  <c r="Q21" i="3" s="1"/>
  <c r="M134" i="3"/>
  <c r="N134" i="3" s="1"/>
  <c r="O134" i="3" s="1"/>
  <c r="P134" i="3" s="1"/>
  <c r="Q134" i="3" s="1"/>
  <c r="M91" i="3"/>
  <c r="N91" i="3" s="1"/>
  <c r="O91" i="3" s="1"/>
  <c r="P91" i="3" s="1"/>
  <c r="Q91" i="3" s="1"/>
  <c r="M22" i="3"/>
  <c r="N22" i="3" s="1"/>
  <c r="O22" i="3" s="1"/>
  <c r="P22" i="3" s="1"/>
  <c r="M180" i="3"/>
  <c r="N180" i="3" s="1"/>
  <c r="O180" i="3" s="1"/>
  <c r="P180" i="3" s="1"/>
  <c r="Q180" i="3" s="1"/>
  <c r="S94" i="3"/>
  <c r="T94" i="3" s="1"/>
  <c r="U94" i="3" s="1"/>
  <c r="M64" i="3"/>
  <c r="N64" i="3" s="1"/>
  <c r="O64" i="3" s="1"/>
  <c r="P64" i="3" s="1"/>
  <c r="Q64" i="3" s="1"/>
  <c r="M98" i="3"/>
  <c r="N98" i="3" s="1"/>
  <c r="O98" i="3" s="1"/>
  <c r="P98" i="3" s="1"/>
  <c r="Q98" i="3" s="1"/>
  <c r="S156" i="3"/>
  <c r="T156" i="3" s="1"/>
  <c r="U156" i="3" s="1"/>
  <c r="S127" i="3"/>
  <c r="T127" i="3" s="1"/>
  <c r="U127" i="3" s="1"/>
  <c r="S47" i="3"/>
  <c r="T47" i="3" s="1"/>
  <c r="U47" i="3" s="1"/>
  <c r="M156" i="3"/>
  <c r="N156" i="3" s="1"/>
  <c r="O156" i="3" s="1"/>
  <c r="P156" i="3" s="1"/>
  <c r="Q156" i="3" s="1"/>
  <c r="S113" i="3"/>
  <c r="T113" i="3" s="1"/>
  <c r="U113" i="3" s="1"/>
  <c r="M149" i="3"/>
  <c r="N149" i="3" s="1"/>
  <c r="O149" i="3" s="1"/>
  <c r="P149" i="3" s="1"/>
  <c r="Q149" i="3" s="1"/>
  <c r="S83" i="3"/>
  <c r="T83" i="3" s="1"/>
  <c r="U83" i="3" s="1"/>
  <c r="M55" i="3"/>
  <c r="N55" i="3" s="1"/>
  <c r="O55" i="3" s="1"/>
  <c r="P55" i="3" s="1"/>
  <c r="Q55" i="3" s="1"/>
  <c r="M165" i="3"/>
  <c r="N165" i="3" s="1"/>
  <c r="O165" i="3" s="1"/>
  <c r="P165" i="3" s="1"/>
  <c r="Q165" i="3" s="1"/>
  <c r="S49" i="3"/>
  <c r="T49" i="3" s="1"/>
  <c r="U49" i="3" s="1"/>
  <c r="M62" i="3"/>
  <c r="N62" i="3" s="1"/>
  <c r="O62" i="3" s="1"/>
  <c r="P62" i="3" s="1"/>
  <c r="Q62" i="3" s="1"/>
  <c r="M150" i="3"/>
  <c r="N150" i="3" s="1"/>
  <c r="O150" i="3" s="1"/>
  <c r="P150" i="3" s="1"/>
  <c r="Q150" i="3" s="1"/>
  <c r="S141" i="3"/>
  <c r="T141" i="3" s="1"/>
  <c r="U141" i="3" s="1"/>
  <c r="S148" i="3"/>
  <c r="T148" i="3" s="1"/>
  <c r="U148" i="3" s="1"/>
  <c r="S164" i="3"/>
  <c r="T164" i="3" s="1"/>
  <c r="U164" i="3" s="1"/>
  <c r="O5" i="3"/>
  <c r="P5" i="3" s="1"/>
  <c r="Q5" i="3" s="1"/>
  <c r="S85" i="3"/>
  <c r="T85" i="3" s="1"/>
  <c r="U85" i="3" s="1"/>
  <c r="S36" i="3"/>
  <c r="T36" i="3" s="1"/>
  <c r="U36" i="3" s="1"/>
  <c r="M193" i="3"/>
  <c r="N193" i="3" s="1"/>
  <c r="O193" i="3" s="1"/>
  <c r="P193" i="3" s="1"/>
  <c r="Q193" i="3" s="1"/>
  <c r="S186" i="3"/>
  <c r="T186" i="3" s="1"/>
  <c r="U186" i="3" s="1"/>
  <c r="S75" i="3"/>
  <c r="T75" i="3" s="1"/>
  <c r="U75" i="3" s="1"/>
  <c r="M172" i="3"/>
  <c r="N172" i="3" s="1"/>
  <c r="O172" i="3" s="1"/>
  <c r="P172" i="3" s="1"/>
  <c r="Q172" i="3" s="1"/>
  <c r="S33" i="3"/>
  <c r="T33" i="3" s="1"/>
  <c r="U33" i="3" s="1"/>
  <c r="M13" i="3"/>
  <c r="N13" i="3" s="1"/>
  <c r="O13" i="3" s="1"/>
  <c r="P13" i="3" s="1"/>
  <c r="C50" i="1"/>
  <c r="R183" i="3" l="1"/>
  <c r="R76" i="3"/>
  <c r="R49" i="3"/>
  <c r="R112" i="3"/>
  <c r="R175" i="3"/>
  <c r="R47" i="3"/>
  <c r="Q6" i="3"/>
  <c r="R6" i="3"/>
  <c r="Q4" i="3"/>
  <c r="R4" i="3"/>
  <c r="Q8" i="3"/>
  <c r="R8" i="3"/>
  <c r="Q7" i="3"/>
  <c r="R7" i="3"/>
  <c r="R5" i="3"/>
  <c r="R48" i="3"/>
  <c r="R34" i="3"/>
  <c r="R192" i="3"/>
  <c r="R78" i="3"/>
  <c r="R132" i="3"/>
  <c r="R151" i="3"/>
  <c r="R129" i="3"/>
  <c r="R84" i="3"/>
  <c r="R50" i="3"/>
  <c r="R10" i="3"/>
  <c r="R103" i="3"/>
  <c r="R169" i="3"/>
  <c r="R193" i="3"/>
  <c r="R184" i="3"/>
  <c r="R89" i="3"/>
  <c r="R60" i="3"/>
  <c r="R158" i="3"/>
  <c r="R157" i="3"/>
  <c r="R92" i="3"/>
  <c r="R137" i="3"/>
  <c r="R199" i="3"/>
  <c r="R70" i="3"/>
  <c r="R114" i="3"/>
  <c r="R71" i="3"/>
  <c r="R72" i="3"/>
  <c r="R40" i="3"/>
  <c r="Q9" i="3"/>
  <c r="R9" i="3"/>
  <c r="Q13" i="3"/>
  <c r="R13" i="3"/>
  <c r="R182" i="3"/>
  <c r="R152" i="3"/>
  <c r="R12" i="3"/>
  <c r="R159" i="3"/>
  <c r="R96" i="3"/>
  <c r="R15" i="3"/>
  <c r="R14" i="3"/>
  <c r="R106" i="3"/>
  <c r="R61" i="3"/>
  <c r="R94" i="3"/>
  <c r="R11" i="3"/>
  <c r="R99" i="3"/>
  <c r="R73" i="3"/>
  <c r="R153" i="3"/>
  <c r="R63" i="3"/>
  <c r="R77" i="3"/>
  <c r="R136" i="3"/>
  <c r="R110" i="3"/>
  <c r="R46" i="3"/>
  <c r="R83" i="3"/>
  <c r="R173" i="3"/>
  <c r="R98" i="3"/>
  <c r="R69" i="3"/>
  <c r="R176" i="3"/>
  <c r="R59" i="3"/>
  <c r="R167" i="3"/>
  <c r="R108" i="3"/>
  <c r="R93" i="3"/>
  <c r="R128" i="3"/>
  <c r="R66" i="3"/>
  <c r="R38" i="3"/>
  <c r="R146" i="3"/>
  <c r="R187" i="3"/>
  <c r="R104" i="3"/>
  <c r="R127" i="3"/>
  <c r="R126" i="3"/>
  <c r="R42" i="3"/>
  <c r="R51" i="3"/>
  <c r="R101" i="3"/>
  <c r="R102" i="3" s="1"/>
  <c r="R177" i="3"/>
  <c r="R64" i="3"/>
  <c r="R142" i="3"/>
  <c r="R113" i="3"/>
  <c r="R109" i="3"/>
  <c r="R161" i="3"/>
  <c r="R33" i="3"/>
  <c r="R52" i="3"/>
  <c r="R58" i="3"/>
  <c r="R143" i="3"/>
  <c r="R53" i="3"/>
  <c r="R186" i="3"/>
  <c r="R56" i="3"/>
  <c r="R95" i="3"/>
  <c r="R165" i="3"/>
  <c r="R45" i="3"/>
  <c r="R62" i="3"/>
  <c r="R197" i="3"/>
  <c r="R139" i="3"/>
  <c r="R105" i="3"/>
  <c r="R107" i="3"/>
  <c r="R79" i="3"/>
  <c r="R134" i="3"/>
  <c r="R117" i="3"/>
  <c r="R111" i="3"/>
  <c r="R85" i="3"/>
  <c r="R185" i="3"/>
  <c r="R160" i="3"/>
  <c r="R145" i="3"/>
  <c r="R57" i="3"/>
  <c r="R163" i="3"/>
  <c r="R55" i="3"/>
  <c r="R68" i="3"/>
  <c r="R130" i="3"/>
  <c r="R118" i="3"/>
  <c r="R75" i="3"/>
  <c r="R141" i="3"/>
  <c r="R124" i="3"/>
  <c r="R82" i="3"/>
  <c r="Q16" i="3"/>
  <c r="R16" i="3"/>
  <c r="Q22" i="3"/>
  <c r="R22" i="3"/>
  <c r="Q20" i="3"/>
  <c r="R20" i="3"/>
  <c r="R144" i="3"/>
  <c r="R138" i="3"/>
  <c r="R168" i="3"/>
  <c r="R19" i="3"/>
  <c r="R43" i="3"/>
  <c r="R36" i="3"/>
  <c r="R80" i="3"/>
  <c r="R154" i="3"/>
  <c r="R90" i="3"/>
  <c r="R67" i="3"/>
  <c r="R122" i="3"/>
  <c r="R41" i="3"/>
  <c r="R116" i="3"/>
  <c r="R88" i="3"/>
  <c r="R35" i="3"/>
  <c r="R54" i="3"/>
  <c r="R164" i="3"/>
  <c r="R37" i="3"/>
  <c r="R170" i="3"/>
  <c r="R191" i="3"/>
  <c r="R87" i="3"/>
  <c r="R115" i="3"/>
  <c r="R81" i="3"/>
  <c r="R74" i="3"/>
  <c r="R190" i="3"/>
  <c r="R17" i="3"/>
  <c r="R100" i="3"/>
  <c r="R97" i="3"/>
  <c r="R91" i="3"/>
  <c r="R44" i="3"/>
  <c r="R39" i="3"/>
  <c r="R188" i="3"/>
  <c r="R65" i="3"/>
  <c r="R179" i="3"/>
  <c r="R135" i="3"/>
  <c r="R18" i="3"/>
  <c r="R194" i="3"/>
  <c r="R86" i="3"/>
  <c r="R21" i="3"/>
  <c r="R189" i="3"/>
  <c r="O25" i="3"/>
  <c r="P25" i="3" s="1"/>
  <c r="R200" i="3"/>
  <c r="R148" i="3"/>
  <c r="R156" i="3"/>
  <c r="A11" i="5"/>
  <c r="O30" i="3"/>
  <c r="P30" i="3" s="1"/>
  <c r="R181" i="3"/>
  <c r="O32" i="3"/>
  <c r="P32" i="3" s="1"/>
  <c r="O26" i="3"/>
  <c r="P26" i="3" s="1"/>
  <c r="O31" i="3"/>
  <c r="P31" i="3" s="1"/>
  <c r="R120" i="3"/>
  <c r="R172" i="3"/>
  <c r="R147" i="3"/>
  <c r="R162" i="3"/>
  <c r="R196" i="3"/>
  <c r="O23" i="3"/>
  <c r="P23" i="3" s="1"/>
  <c r="R125" i="3"/>
  <c r="R155" i="3"/>
  <c r="R149" i="3"/>
  <c r="O24" i="3"/>
  <c r="P24" i="3" s="1"/>
  <c r="O27" i="3"/>
  <c r="P27" i="3" s="1"/>
  <c r="R150" i="3"/>
  <c r="R119" i="3"/>
  <c r="R121" i="3"/>
  <c r="R178" i="3"/>
  <c r="R180" i="3"/>
  <c r="R195" i="3"/>
  <c r="R166" i="3"/>
  <c r="R133" i="3"/>
  <c r="C51" i="1"/>
  <c r="R198" i="3"/>
  <c r="O28" i="3"/>
  <c r="P28" i="3" s="1"/>
  <c r="R140" i="3"/>
  <c r="R174" i="3"/>
  <c r="R123" i="3"/>
  <c r="R131" i="3"/>
  <c r="O29" i="3"/>
  <c r="P29" i="3" s="1"/>
  <c r="C12" i="5" a="1"/>
  <c r="Q29" i="3" l="1"/>
  <c r="R29" i="3"/>
  <c r="Q25" i="3"/>
  <c r="R25" i="3"/>
  <c r="Q31" i="3"/>
  <c r="R31" i="3"/>
  <c r="Q27" i="3"/>
  <c r="R27" i="3"/>
  <c r="Q26" i="3"/>
  <c r="R26" i="3"/>
  <c r="Q28" i="3"/>
  <c r="R28" i="3"/>
  <c r="Q24" i="3"/>
  <c r="R24" i="3"/>
  <c r="Q32" i="3"/>
  <c r="R32" i="3"/>
  <c r="Q30" i="3"/>
  <c r="R30" i="3"/>
  <c r="Q23" i="3"/>
  <c r="R23" i="3"/>
  <c r="C12" i="5"/>
  <c r="C52" i="1"/>
  <c r="C13" i="5" a="1"/>
  <c r="C13" i="5" l="1"/>
  <c r="C53" i="1"/>
  <c r="C54" i="1" s="1"/>
  <c r="C14" i="5" a="1"/>
  <c r="C14" i="5" l="1"/>
  <c r="C55" i="1"/>
  <c r="C56" i="1" s="1"/>
  <c r="C15" i="5" a="1"/>
  <c r="C15" i="5" l="1"/>
  <c r="C57" i="1"/>
  <c r="C58" i="1" s="1"/>
  <c r="C59" i="1" s="1"/>
  <c r="C60" i="1" s="1"/>
  <c r="C61" i="1" s="1"/>
  <c r="C62" i="1" s="1"/>
  <c r="C63" i="1" s="1"/>
  <c r="C64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3" i="1" s="1"/>
  <c r="C16" i="5" a="1"/>
  <c r="C16" i="5" l="1"/>
  <c r="H196" i="3"/>
  <c r="I196" i="3" s="1"/>
  <c r="J196" i="3" s="1"/>
  <c r="H84" i="3"/>
  <c r="I84" i="3" s="1"/>
  <c r="J84" i="3" s="1"/>
  <c r="B69" i="3"/>
  <c r="C69" i="3" s="1"/>
  <c r="K69" i="3" s="1"/>
  <c r="B146" i="3"/>
  <c r="C146" i="3" s="1"/>
  <c r="K146" i="3" s="1"/>
  <c r="H101" i="3"/>
  <c r="I101" i="3" s="1"/>
  <c r="J101" i="3" s="1"/>
  <c r="B84" i="3"/>
  <c r="C84" i="3" s="1"/>
  <c r="K84" i="3" s="1"/>
  <c r="B64" i="3"/>
  <c r="C64" i="3" s="1"/>
  <c r="K64" i="3" s="1"/>
  <c r="H60" i="3"/>
  <c r="I60" i="3" s="1"/>
  <c r="J60" i="3" s="1"/>
  <c r="H132" i="3"/>
  <c r="I132" i="3" s="1"/>
  <c r="J132" i="3" s="1"/>
  <c r="B184" i="3"/>
  <c r="C184" i="3" s="1"/>
  <c r="K184" i="3" s="1"/>
  <c r="B51" i="3"/>
  <c r="C51" i="3" s="1"/>
  <c r="K51" i="3" s="1"/>
  <c r="B161" i="3"/>
  <c r="C161" i="3" s="1"/>
  <c r="K161" i="3" s="1"/>
  <c r="H156" i="3"/>
  <c r="I156" i="3" s="1"/>
  <c r="J156" i="3" s="1"/>
  <c r="B54" i="3"/>
  <c r="C54" i="3" s="1"/>
  <c r="K54" i="3" s="1"/>
  <c r="B21" i="3"/>
  <c r="C21" i="3" s="1"/>
  <c r="D21" i="3" s="1"/>
  <c r="E21" i="3" s="1"/>
  <c r="F21" i="3" s="1"/>
  <c r="B35" i="3"/>
  <c r="C35" i="3" s="1"/>
  <c r="K35" i="3" s="1"/>
  <c r="B185" i="3"/>
  <c r="C185" i="3" s="1"/>
  <c r="K185" i="3" s="1"/>
  <c r="H127" i="3"/>
  <c r="I127" i="3" s="1"/>
  <c r="J127" i="3" s="1"/>
  <c r="H58" i="3"/>
  <c r="I58" i="3" s="1"/>
  <c r="J58" i="3" s="1"/>
  <c r="H28" i="3"/>
  <c r="I28" i="3" s="1"/>
  <c r="J28" i="3" s="1"/>
  <c r="H76" i="3"/>
  <c r="I76" i="3" s="1"/>
  <c r="J76" i="3" s="1"/>
  <c r="B86" i="3"/>
  <c r="C86" i="3" s="1"/>
  <c r="H157" i="3"/>
  <c r="I157" i="3" s="1"/>
  <c r="J157" i="3" s="1"/>
  <c r="H27" i="3"/>
  <c r="I27" i="3" s="1"/>
  <c r="J27" i="3" s="1"/>
  <c r="B196" i="3"/>
  <c r="C196" i="3" s="1"/>
  <c r="K196" i="3" s="1"/>
  <c r="B105" i="3"/>
  <c r="C105" i="3" s="1"/>
  <c r="K105" i="3" s="1"/>
  <c r="B16" i="3"/>
  <c r="C16" i="3" s="1"/>
  <c r="D16" i="3" s="1"/>
  <c r="E16" i="3" s="1"/>
  <c r="B58" i="3"/>
  <c r="C58" i="3" s="1"/>
  <c r="K58" i="3" s="1"/>
  <c r="H129" i="3"/>
  <c r="I129" i="3" s="1"/>
  <c r="J129" i="3" s="1"/>
  <c r="H89" i="3"/>
  <c r="I89" i="3" s="1"/>
  <c r="J89" i="3" s="1"/>
  <c r="B59" i="3"/>
  <c r="C59" i="3" s="1"/>
  <c r="K59" i="3" s="1"/>
  <c r="B13" i="3"/>
  <c r="C13" i="3" s="1"/>
  <c r="D13" i="3" s="1"/>
  <c r="E13" i="3" s="1"/>
  <c r="B79" i="3"/>
  <c r="C79" i="3" s="1"/>
  <c r="K79" i="3" s="1"/>
  <c r="B126" i="3"/>
  <c r="C126" i="3" s="1"/>
  <c r="K126" i="3" s="1"/>
  <c r="H56" i="3"/>
  <c r="I56" i="3" s="1"/>
  <c r="J56" i="3" s="1"/>
  <c r="H134" i="3"/>
  <c r="I134" i="3" s="1"/>
  <c r="J134" i="3" s="1"/>
  <c r="H25" i="3"/>
  <c r="I25" i="3" s="1"/>
  <c r="J25" i="3" s="1"/>
  <c r="B180" i="3"/>
  <c r="C180" i="3" s="1"/>
  <c r="K180" i="3" s="1"/>
  <c r="H29" i="3"/>
  <c r="I29" i="3" s="1"/>
  <c r="J29" i="3" s="1"/>
  <c r="H149" i="3"/>
  <c r="I149" i="3" s="1"/>
  <c r="J149" i="3" s="1"/>
  <c r="H142" i="3"/>
  <c r="I142" i="3" s="1"/>
  <c r="J142" i="3" s="1"/>
  <c r="B147" i="3"/>
  <c r="C147" i="3" s="1"/>
  <c r="K147" i="3" s="1"/>
  <c r="H128" i="3"/>
  <c r="I128" i="3" s="1"/>
  <c r="J128" i="3" s="1"/>
  <c r="B17" i="3"/>
  <c r="C17" i="3" s="1"/>
  <c r="D17" i="3" s="1"/>
  <c r="E17" i="3" s="1"/>
  <c r="F17" i="3" s="1"/>
  <c r="H176" i="3"/>
  <c r="I176" i="3" s="1"/>
  <c r="J176" i="3" s="1"/>
  <c r="H152" i="3"/>
  <c r="I152" i="3" s="1"/>
  <c r="J152" i="3" s="1"/>
  <c r="H3" i="3"/>
  <c r="I3" i="3" s="1"/>
  <c r="J3" i="3" s="1"/>
  <c r="H182" i="3"/>
  <c r="I182" i="3" s="1"/>
  <c r="J182" i="3" s="1"/>
  <c r="B158" i="3"/>
  <c r="C158" i="3" s="1"/>
  <c r="K158" i="3" s="1"/>
  <c r="H86" i="3"/>
  <c r="I86" i="3" s="1"/>
  <c r="J86" i="3" s="1"/>
  <c r="H174" i="3"/>
  <c r="I174" i="3" s="1"/>
  <c r="J174" i="3" s="1"/>
  <c r="B154" i="3"/>
  <c r="C154" i="3" s="1"/>
  <c r="K154" i="3" s="1"/>
  <c r="H32" i="3"/>
  <c r="I32" i="3" s="1"/>
  <c r="J32" i="3" s="1"/>
  <c r="H67" i="3"/>
  <c r="I67" i="3" s="1"/>
  <c r="J67" i="3" s="1"/>
  <c r="H158" i="3"/>
  <c r="I158" i="3" s="1"/>
  <c r="J158" i="3" s="1"/>
  <c r="H121" i="3"/>
  <c r="I121" i="3" s="1"/>
  <c r="J121" i="3" s="1"/>
  <c r="B72" i="3"/>
  <c r="C72" i="3" s="1"/>
  <c r="K72" i="3" s="1"/>
  <c r="H192" i="3"/>
  <c r="I192" i="3" s="1"/>
  <c r="J192" i="3" s="1"/>
  <c r="H162" i="3"/>
  <c r="I162" i="3" s="1"/>
  <c r="J162" i="3" s="1"/>
  <c r="H125" i="3"/>
  <c r="I125" i="3" s="1"/>
  <c r="J125" i="3" s="1"/>
  <c r="B44" i="3"/>
  <c r="C44" i="3" s="1"/>
  <c r="K44" i="3" s="1"/>
  <c r="B60" i="3"/>
  <c r="C60" i="3" s="1"/>
  <c r="K60" i="3" s="1"/>
  <c r="H148" i="3"/>
  <c r="I148" i="3" s="1"/>
  <c r="J148" i="3" s="1"/>
  <c r="H165" i="3"/>
  <c r="I165" i="3" s="1"/>
  <c r="J165" i="3" s="1"/>
  <c r="B114" i="3"/>
  <c r="C114" i="3" s="1"/>
  <c r="K114" i="3" s="1"/>
  <c r="H108" i="3"/>
  <c r="I108" i="3" s="1"/>
  <c r="J108" i="3" s="1"/>
  <c r="H45" i="3"/>
  <c r="I45" i="3" s="1"/>
  <c r="J45" i="3" s="1"/>
  <c r="B32" i="3"/>
  <c r="C32" i="3" s="1"/>
  <c r="D32" i="3" s="1"/>
  <c r="E32" i="3" s="1"/>
  <c r="F32" i="3" s="1"/>
  <c r="H43" i="3"/>
  <c r="I43" i="3" s="1"/>
  <c r="J43" i="3" s="1"/>
  <c r="H183" i="3"/>
  <c r="I183" i="3" s="1"/>
  <c r="J183" i="3" s="1"/>
  <c r="B166" i="3"/>
  <c r="C166" i="3" s="1"/>
  <c r="K166" i="3" s="1"/>
  <c r="B122" i="3"/>
  <c r="C122" i="3" s="1"/>
  <c r="K122" i="3" s="1"/>
  <c r="H31" i="3"/>
  <c r="I31" i="3" s="1"/>
  <c r="J31" i="3" s="1"/>
  <c r="H124" i="3"/>
  <c r="I124" i="3" s="1"/>
  <c r="J124" i="3" s="1"/>
  <c r="B144" i="3"/>
  <c r="C144" i="3" s="1"/>
  <c r="K144" i="3" s="1"/>
  <c r="H144" i="3"/>
  <c r="I144" i="3" s="1"/>
  <c r="J144" i="3" s="1"/>
  <c r="B155" i="3"/>
  <c r="C155" i="3" s="1"/>
  <c r="K155" i="3" s="1"/>
  <c r="B30" i="3"/>
  <c r="C30" i="3" s="1"/>
  <c r="D30" i="3" s="1"/>
  <c r="E30" i="3" s="1"/>
  <c r="F30" i="3" s="1"/>
  <c r="H187" i="3"/>
  <c r="I187" i="3" s="1"/>
  <c r="J187" i="3" s="1"/>
  <c r="B74" i="3"/>
  <c r="C74" i="3" s="1"/>
  <c r="K74" i="3" s="1"/>
  <c r="B190" i="3"/>
  <c r="C190" i="3" s="1"/>
  <c r="K190" i="3" s="1"/>
  <c r="B42" i="3"/>
  <c r="C42" i="3" s="1"/>
  <c r="K42" i="3" s="1"/>
  <c r="H153" i="3"/>
  <c r="I153" i="3" s="1"/>
  <c r="J153" i="3" s="1"/>
  <c r="H122" i="3"/>
  <c r="I122" i="3" s="1"/>
  <c r="J122" i="3" s="1"/>
  <c r="H4" i="3"/>
  <c r="I4" i="3" s="1"/>
  <c r="J4" i="3" s="1"/>
  <c r="H30" i="3"/>
  <c r="I30" i="3" s="1"/>
  <c r="J30" i="3" s="1"/>
  <c r="B52" i="3"/>
  <c r="C52" i="3" s="1"/>
  <c r="K52" i="3" s="1"/>
  <c r="B14" i="3"/>
  <c r="C14" i="3" s="1"/>
  <c r="D14" i="3" s="1"/>
  <c r="E14" i="3" s="1"/>
  <c r="F14" i="3" s="1"/>
  <c r="B168" i="3"/>
  <c r="C168" i="3" s="1"/>
  <c r="H133" i="3"/>
  <c r="I133" i="3" s="1"/>
  <c r="J133" i="3" s="1"/>
  <c r="B175" i="3"/>
  <c r="C175" i="3" s="1"/>
  <c r="K175" i="3" s="1"/>
  <c r="B31" i="3"/>
  <c r="C31" i="3" s="1"/>
  <c r="D31" i="3" s="1"/>
  <c r="E31" i="3" s="1"/>
  <c r="F31" i="3" s="1"/>
  <c r="H82" i="3"/>
  <c r="I82" i="3" s="1"/>
  <c r="J82" i="3" s="1"/>
  <c r="B182" i="3"/>
  <c r="C182" i="3" s="1"/>
  <c r="K182" i="3" s="1"/>
  <c r="B145" i="3"/>
  <c r="C145" i="3" s="1"/>
  <c r="K145" i="3" s="1"/>
  <c r="H14" i="3"/>
  <c r="I14" i="3" s="1"/>
  <c r="J14" i="3" s="1"/>
  <c r="B37" i="3"/>
  <c r="C37" i="3" s="1"/>
  <c r="K37" i="3" s="1"/>
  <c r="H36" i="3"/>
  <c r="I36" i="3" s="1"/>
  <c r="J36" i="3" s="1"/>
  <c r="H57" i="3"/>
  <c r="I57" i="3" s="1"/>
  <c r="J57" i="3" s="1"/>
  <c r="H111" i="3"/>
  <c r="I111" i="3" s="1"/>
  <c r="J111" i="3" s="1"/>
  <c r="B131" i="3"/>
  <c r="C131" i="3" s="1"/>
  <c r="K131" i="3" s="1"/>
  <c r="B75" i="3"/>
  <c r="C75" i="3" s="1"/>
  <c r="K75" i="3" s="1"/>
  <c r="H74" i="3"/>
  <c r="I74" i="3" s="1"/>
  <c r="J74" i="3" s="1"/>
  <c r="H163" i="3"/>
  <c r="I163" i="3" s="1"/>
  <c r="J163" i="3" s="1"/>
  <c r="B130" i="3"/>
  <c r="C130" i="3" s="1"/>
  <c r="K130" i="3" s="1"/>
  <c r="H139" i="3"/>
  <c r="I139" i="3" s="1"/>
  <c r="J139" i="3" s="1"/>
  <c r="B7" i="3"/>
  <c r="C7" i="3" s="1"/>
  <c r="D7" i="3" s="1"/>
  <c r="E7" i="3" s="1"/>
  <c r="B169" i="3"/>
  <c r="C169" i="3" s="1"/>
  <c r="K169" i="3" s="1"/>
  <c r="H175" i="3"/>
  <c r="I175" i="3" s="1"/>
  <c r="J175" i="3" s="1"/>
  <c r="B150" i="3"/>
  <c r="C150" i="3" s="1"/>
  <c r="K150" i="3" s="1"/>
  <c r="H106" i="3"/>
  <c r="I106" i="3" s="1"/>
  <c r="J106" i="3" s="1"/>
  <c r="B97" i="3"/>
  <c r="C97" i="3" s="1"/>
  <c r="K97" i="3" s="1"/>
  <c r="H22" i="3"/>
  <c r="I22" i="3" s="1"/>
  <c r="J22" i="3" s="1"/>
  <c r="B63" i="3"/>
  <c r="C63" i="3" s="1"/>
  <c r="K63" i="3" s="1"/>
  <c r="B22" i="3"/>
  <c r="C22" i="3" s="1"/>
  <c r="D22" i="3" s="1"/>
  <c r="E22" i="3" s="1"/>
  <c r="H147" i="3"/>
  <c r="I147" i="3" s="1"/>
  <c r="J147" i="3" s="1"/>
  <c r="B163" i="3"/>
  <c r="C163" i="3" s="1"/>
  <c r="K163" i="3" s="1"/>
  <c r="B81" i="3"/>
  <c r="C81" i="3" s="1"/>
  <c r="K81" i="3" s="1"/>
  <c r="B45" i="3"/>
  <c r="C45" i="3" s="1"/>
  <c r="K45" i="3" s="1"/>
  <c r="H52" i="3"/>
  <c r="I52" i="3" s="1"/>
  <c r="J52" i="3" s="1"/>
  <c r="H185" i="3"/>
  <c r="I185" i="3" s="1"/>
  <c r="J185" i="3" s="1"/>
  <c r="B157" i="3"/>
  <c r="C157" i="3" s="1"/>
  <c r="K157" i="3" s="1"/>
  <c r="B111" i="3"/>
  <c r="C111" i="3" s="1"/>
  <c r="K111" i="3" s="1"/>
  <c r="B53" i="3"/>
  <c r="C53" i="3" s="1"/>
  <c r="K53" i="3" s="1"/>
  <c r="B199" i="3"/>
  <c r="C199" i="3" s="1"/>
  <c r="K199" i="3" s="1"/>
  <c r="B23" i="3"/>
  <c r="C23" i="3" s="1"/>
  <c r="D23" i="3" s="1"/>
  <c r="E23" i="3" s="1"/>
  <c r="H87" i="3"/>
  <c r="I87" i="3" s="1"/>
  <c r="J87" i="3" s="1"/>
  <c r="B136" i="3"/>
  <c r="C136" i="3" s="1"/>
  <c r="K136" i="3" s="1"/>
  <c r="H48" i="3"/>
  <c r="I48" i="3" s="1"/>
  <c r="J48" i="3" s="1"/>
  <c r="H145" i="3"/>
  <c r="I145" i="3" s="1"/>
  <c r="J145" i="3" s="1"/>
  <c r="B159" i="3"/>
  <c r="C159" i="3" s="1"/>
  <c r="K159" i="3" s="1"/>
  <c r="H105" i="3"/>
  <c r="I105" i="3" s="1"/>
  <c r="J105" i="3" s="1"/>
  <c r="B115" i="3"/>
  <c r="C115" i="3" s="1"/>
  <c r="K115" i="3" s="1"/>
  <c r="B134" i="3"/>
  <c r="C134" i="3" s="1"/>
  <c r="K134" i="3" s="1"/>
  <c r="B123" i="3"/>
  <c r="C123" i="3" s="1"/>
  <c r="K123" i="3" s="1"/>
  <c r="B117" i="3"/>
  <c r="C117" i="3" s="1"/>
  <c r="K117" i="3" s="1"/>
  <c r="H98" i="3"/>
  <c r="I98" i="3" s="1"/>
  <c r="J98" i="3" s="1"/>
  <c r="B160" i="3"/>
  <c r="C160" i="3" s="1"/>
  <c r="K160" i="3" s="1"/>
  <c r="B49" i="3"/>
  <c r="C49" i="3" s="1"/>
  <c r="K49" i="3" s="1"/>
  <c r="B95" i="3"/>
  <c r="C95" i="3" s="1"/>
  <c r="K95" i="3" s="1"/>
  <c r="H146" i="3"/>
  <c r="I146" i="3" s="1"/>
  <c r="J146" i="3" s="1"/>
  <c r="H71" i="3"/>
  <c r="I71" i="3" s="1"/>
  <c r="J71" i="3" s="1"/>
  <c r="H41" i="3"/>
  <c r="I41" i="3" s="1"/>
  <c r="J41" i="3" s="1"/>
  <c r="B193" i="3"/>
  <c r="C193" i="3" s="1"/>
  <c r="K193" i="3" s="1"/>
  <c r="B162" i="3"/>
  <c r="C162" i="3" s="1"/>
  <c r="K162" i="3" s="1"/>
  <c r="B167" i="3"/>
  <c r="C167" i="3" s="1"/>
  <c r="K167" i="3" s="1"/>
  <c r="H75" i="3"/>
  <c r="I75" i="3" s="1"/>
  <c r="J75" i="3" s="1"/>
  <c r="B90" i="3"/>
  <c r="C90" i="3" s="1"/>
  <c r="K90" i="3" s="1"/>
  <c r="H194" i="3"/>
  <c r="I194" i="3" s="1"/>
  <c r="J194" i="3" s="1"/>
  <c r="H26" i="3"/>
  <c r="I26" i="3" s="1"/>
  <c r="J26" i="3" s="1"/>
  <c r="B26" i="3"/>
  <c r="C26" i="3" s="1"/>
  <c r="D26" i="3" s="1"/>
  <c r="E26" i="3" s="1"/>
  <c r="H143" i="3"/>
  <c r="I143" i="3" s="1"/>
  <c r="J143" i="3" s="1"/>
  <c r="B200" i="3"/>
  <c r="C200" i="3" s="1"/>
  <c r="K200" i="3" s="1"/>
  <c r="B172" i="3"/>
  <c r="C172" i="3" s="1"/>
  <c r="K172" i="3" s="1"/>
  <c r="H37" i="3"/>
  <c r="I37" i="3" s="1"/>
  <c r="J37" i="3" s="1"/>
  <c r="B183" i="3"/>
  <c r="C183" i="3" s="1"/>
  <c r="K183" i="3" s="1"/>
  <c r="H15" i="3"/>
  <c r="I15" i="3" s="1"/>
  <c r="J15" i="3" s="1"/>
  <c r="B119" i="3"/>
  <c r="C119" i="3" s="1"/>
  <c r="K119" i="3" s="1"/>
  <c r="G3" i="3"/>
  <c r="H172" i="3"/>
  <c r="I172" i="3" s="1"/>
  <c r="J172" i="3" s="1"/>
  <c r="H93" i="3"/>
  <c r="I93" i="3" s="1"/>
  <c r="J93" i="3" s="1"/>
  <c r="B139" i="3"/>
  <c r="C139" i="3" s="1"/>
  <c r="K139" i="3" s="1"/>
  <c r="B179" i="3"/>
  <c r="C179" i="3" s="1"/>
  <c r="K179" i="3" s="1"/>
  <c r="B112" i="3"/>
  <c r="C112" i="3" s="1"/>
  <c r="K112" i="3" s="1"/>
  <c r="H140" i="3"/>
  <c r="I140" i="3" s="1"/>
  <c r="J140" i="3" s="1"/>
  <c r="H11" i="3"/>
  <c r="I11" i="3" s="1"/>
  <c r="J11" i="3" s="1"/>
  <c r="B83" i="3"/>
  <c r="C83" i="3" s="1"/>
  <c r="K83" i="3" s="1"/>
  <c r="H68" i="3"/>
  <c r="I68" i="3" s="1"/>
  <c r="J68" i="3" s="1"/>
  <c r="H177" i="3"/>
  <c r="I177" i="3" s="1"/>
  <c r="J177" i="3" s="1"/>
  <c r="H154" i="3"/>
  <c r="I154" i="3" s="1"/>
  <c r="J154" i="3" s="1"/>
  <c r="B57" i="3"/>
  <c r="C57" i="3" s="1"/>
  <c r="K57" i="3" s="1"/>
  <c r="H35" i="3"/>
  <c r="I35" i="3" s="1"/>
  <c r="J35" i="3" s="1"/>
  <c r="B106" i="3"/>
  <c r="C106" i="3" s="1"/>
  <c r="K106" i="3" s="1"/>
  <c r="B165" i="3"/>
  <c r="C165" i="3" s="1"/>
  <c r="K165" i="3" s="1"/>
  <c r="B88" i="3"/>
  <c r="C88" i="3" s="1"/>
  <c r="K88" i="3" s="1"/>
  <c r="H189" i="3"/>
  <c r="I189" i="3" s="1"/>
  <c r="J189" i="3" s="1"/>
  <c r="H12" i="3"/>
  <c r="I12" i="3" s="1"/>
  <c r="J12" i="3" s="1"/>
  <c r="B6" i="3"/>
  <c r="C6" i="3" s="1"/>
  <c r="D6" i="3" s="1"/>
  <c r="E6" i="3" s="1"/>
  <c r="H96" i="3"/>
  <c r="I96" i="3" s="1"/>
  <c r="J96" i="3" s="1"/>
  <c r="H167" i="3"/>
  <c r="I167" i="3" s="1"/>
  <c r="J167" i="3" s="1"/>
  <c r="B107" i="3"/>
  <c r="C107" i="3" s="1"/>
  <c r="K107" i="3" s="1"/>
  <c r="H95" i="3"/>
  <c r="I95" i="3" s="1"/>
  <c r="J95" i="3" s="1"/>
  <c r="H184" i="3"/>
  <c r="I184" i="3" s="1"/>
  <c r="J184" i="3" s="1"/>
  <c r="B100" i="3"/>
  <c r="C100" i="3" s="1"/>
  <c r="K100" i="3" s="1"/>
  <c r="H171" i="3"/>
  <c r="I171" i="3" s="1"/>
  <c r="J171" i="3" s="1"/>
  <c r="B173" i="3"/>
  <c r="C173" i="3" s="1"/>
  <c r="K173" i="3" s="1"/>
  <c r="B140" i="3"/>
  <c r="C140" i="3" s="1"/>
  <c r="K140" i="3" s="1"/>
  <c r="H62" i="3"/>
  <c r="I62" i="3" s="1"/>
  <c r="J62" i="3" s="1"/>
  <c r="E3" i="3"/>
  <c r="F3" i="3" s="1"/>
  <c r="H123" i="3"/>
  <c r="I123" i="3" s="1"/>
  <c r="J123" i="3" s="1"/>
  <c r="H109" i="3"/>
  <c r="I109" i="3" s="1"/>
  <c r="J109" i="3" s="1"/>
  <c r="B125" i="3"/>
  <c r="C125" i="3" s="1"/>
  <c r="K125" i="3" s="1"/>
  <c r="B47" i="3"/>
  <c r="C47" i="3" s="1"/>
  <c r="K47" i="3" s="1"/>
  <c r="B10" i="3"/>
  <c r="C10" i="3" s="1"/>
  <c r="D10" i="3" s="1"/>
  <c r="E10" i="3" s="1"/>
  <c r="B174" i="3"/>
  <c r="C174" i="3" s="1"/>
  <c r="K174" i="3" s="1"/>
  <c r="H61" i="3"/>
  <c r="I61" i="3" s="1"/>
  <c r="J61" i="3" s="1"/>
  <c r="H17" i="3"/>
  <c r="I17" i="3" s="1"/>
  <c r="J17" i="3" s="1"/>
  <c r="B142" i="3"/>
  <c r="C142" i="3" s="1"/>
  <c r="K142" i="3" s="1"/>
  <c r="H169" i="3"/>
  <c r="I169" i="3" s="1"/>
  <c r="J169" i="3" s="1"/>
  <c r="B36" i="3"/>
  <c r="C36" i="3" s="1"/>
  <c r="K36" i="3" s="1"/>
  <c r="H44" i="3"/>
  <c r="I44" i="3" s="1"/>
  <c r="J44" i="3" s="1"/>
  <c r="H13" i="3"/>
  <c r="I13" i="3" s="1"/>
  <c r="J13" i="3" s="1"/>
  <c r="B85" i="3"/>
  <c r="C85" i="3" s="1"/>
  <c r="K85" i="3" s="1"/>
  <c r="H20" i="3"/>
  <c r="I20" i="3" s="1"/>
  <c r="J20" i="3" s="1"/>
  <c r="B121" i="3"/>
  <c r="C121" i="3" s="1"/>
  <c r="K121" i="3" s="1"/>
  <c r="B108" i="3"/>
  <c r="C108" i="3" s="1"/>
  <c r="K108" i="3" s="1"/>
  <c r="H69" i="3"/>
  <c r="I69" i="3" s="1"/>
  <c r="J69" i="3" s="1"/>
  <c r="B20" i="3"/>
  <c r="C20" i="3" s="1"/>
  <c r="D20" i="3" s="1"/>
  <c r="E20" i="3" s="1"/>
  <c r="B141" i="3"/>
  <c r="C141" i="3" s="1"/>
  <c r="K141" i="3" s="1"/>
  <c r="H113" i="3"/>
  <c r="I113" i="3" s="1"/>
  <c r="J113" i="3" s="1"/>
  <c r="B143" i="3"/>
  <c r="C143" i="3" s="1"/>
  <c r="K143" i="3" s="1"/>
  <c r="B102" i="3"/>
  <c r="C102" i="3" s="1"/>
  <c r="K102" i="3" s="1"/>
  <c r="H70" i="3"/>
  <c r="I70" i="3" s="1"/>
  <c r="J70" i="3" s="1"/>
  <c r="B76" i="3"/>
  <c r="C76" i="3" s="1"/>
  <c r="K76" i="3" s="1"/>
  <c r="B67" i="3"/>
  <c r="C67" i="3" s="1"/>
  <c r="K67" i="3" s="1"/>
  <c r="B65" i="3"/>
  <c r="C65" i="3" s="1"/>
  <c r="K65" i="3" s="1"/>
  <c r="B50" i="3"/>
  <c r="C50" i="3" s="1"/>
  <c r="K50" i="3" s="1"/>
  <c r="H200" i="3"/>
  <c r="I200" i="3" s="1"/>
  <c r="J200" i="3" s="1"/>
  <c r="H160" i="3"/>
  <c r="I160" i="3" s="1"/>
  <c r="J160" i="3" s="1"/>
  <c r="H159" i="3"/>
  <c r="I159" i="3" s="1"/>
  <c r="J159" i="3" s="1"/>
  <c r="B178" i="3"/>
  <c r="C178" i="3" s="1"/>
  <c r="K178" i="3" s="1"/>
  <c r="H117" i="3"/>
  <c r="I117" i="3" s="1"/>
  <c r="J117" i="3" s="1"/>
  <c r="H34" i="3"/>
  <c r="I34" i="3" s="1"/>
  <c r="J34" i="3" s="1"/>
  <c r="H179" i="3"/>
  <c r="I179" i="3" s="1"/>
  <c r="J179" i="3" s="1"/>
  <c r="B27" i="3"/>
  <c r="C27" i="3" s="1"/>
  <c r="D27" i="3" s="1"/>
  <c r="E27" i="3" s="1"/>
  <c r="B24" i="3"/>
  <c r="C24" i="3" s="1"/>
  <c r="D24" i="3" s="1"/>
  <c r="E24" i="3" s="1"/>
  <c r="H161" i="3"/>
  <c r="I161" i="3" s="1"/>
  <c r="J161" i="3" s="1"/>
  <c r="H39" i="3"/>
  <c r="I39" i="3" s="1"/>
  <c r="J39" i="3" s="1"/>
  <c r="B186" i="3"/>
  <c r="C186" i="3" s="1"/>
  <c r="K186" i="3" s="1"/>
  <c r="B92" i="3"/>
  <c r="C92" i="3" s="1"/>
  <c r="K92" i="3" s="1"/>
  <c r="B128" i="3"/>
  <c r="C128" i="3" s="1"/>
  <c r="K128" i="3" s="1"/>
  <c r="H38" i="3"/>
  <c r="I38" i="3" s="1"/>
  <c r="J38" i="3" s="1"/>
  <c r="B93" i="3"/>
  <c r="C93" i="3" s="1"/>
  <c r="K93" i="3" s="1"/>
  <c r="H10" i="3"/>
  <c r="I10" i="3" s="1"/>
  <c r="J10" i="3" s="1"/>
  <c r="B40" i="3"/>
  <c r="C40" i="3" s="1"/>
  <c r="K40" i="3" s="1"/>
  <c r="B38" i="3"/>
  <c r="C38" i="3" s="1"/>
  <c r="K38" i="3" s="1"/>
  <c r="H141" i="3"/>
  <c r="I141" i="3" s="1"/>
  <c r="J141" i="3" s="1"/>
  <c r="B55" i="3"/>
  <c r="C55" i="3" s="1"/>
  <c r="K55" i="3" s="1"/>
  <c r="B66" i="3"/>
  <c r="C66" i="3" s="1"/>
  <c r="H51" i="3"/>
  <c r="I51" i="3" s="1"/>
  <c r="J51" i="3" s="1"/>
  <c r="H46" i="3"/>
  <c r="I46" i="3" s="1"/>
  <c r="J46" i="3" s="1"/>
  <c r="B12" i="3"/>
  <c r="C12" i="3" s="1"/>
  <c r="D12" i="3" s="1"/>
  <c r="E12" i="3" s="1"/>
  <c r="B109" i="3"/>
  <c r="C109" i="3" s="1"/>
  <c r="K109" i="3" s="1"/>
  <c r="H7" i="3"/>
  <c r="I7" i="3" s="1"/>
  <c r="J7" i="3" s="1"/>
  <c r="H114" i="3"/>
  <c r="I114" i="3" s="1"/>
  <c r="J114" i="3" s="1"/>
  <c r="B3" i="3"/>
  <c r="B191" i="3"/>
  <c r="C191" i="3" s="1"/>
  <c r="K191" i="3" s="1"/>
  <c r="H85" i="3"/>
  <c r="I85" i="3" s="1"/>
  <c r="J85" i="3" s="1"/>
  <c r="B15" i="3"/>
  <c r="C15" i="3" s="1"/>
  <c r="D15" i="3" s="1"/>
  <c r="E15" i="3" s="1"/>
  <c r="H88" i="3"/>
  <c r="I88" i="3" s="1"/>
  <c r="J88" i="3" s="1"/>
  <c r="H59" i="3"/>
  <c r="I59" i="3" s="1"/>
  <c r="J59" i="3" s="1"/>
  <c r="H199" i="3"/>
  <c r="I199" i="3" s="1"/>
  <c r="J199" i="3" s="1"/>
  <c r="H19" i="3"/>
  <c r="I19" i="3" s="1"/>
  <c r="J19" i="3" s="1"/>
  <c r="H112" i="3"/>
  <c r="I112" i="3" s="1"/>
  <c r="J112" i="3" s="1"/>
  <c r="H130" i="3"/>
  <c r="I130" i="3" s="1"/>
  <c r="J130" i="3" s="1"/>
  <c r="H77" i="3"/>
  <c r="I77" i="3" s="1"/>
  <c r="J77" i="3" s="1"/>
  <c r="H66" i="3"/>
  <c r="I66" i="3" s="1"/>
  <c r="J66" i="3" s="1"/>
  <c r="B194" i="3"/>
  <c r="C194" i="3" s="1"/>
  <c r="K194" i="3" s="1"/>
  <c r="H173" i="3"/>
  <c r="I173" i="3" s="1"/>
  <c r="J173" i="3" s="1"/>
  <c r="H42" i="3"/>
  <c r="I42" i="3" s="1"/>
  <c r="J42" i="3" s="1"/>
  <c r="H116" i="3"/>
  <c r="I116" i="3" s="1"/>
  <c r="J116" i="3" s="1"/>
  <c r="B29" i="3"/>
  <c r="C29" i="3" s="1"/>
  <c r="D29" i="3" s="1"/>
  <c r="E29" i="3" s="1"/>
  <c r="B101" i="3"/>
  <c r="C101" i="3" s="1"/>
  <c r="K101" i="3" s="1"/>
  <c r="B135" i="3"/>
  <c r="C135" i="3" s="1"/>
  <c r="K135" i="3" s="1"/>
  <c r="B176" i="3"/>
  <c r="C176" i="3" s="1"/>
  <c r="K176" i="3" s="1"/>
  <c r="H138" i="3"/>
  <c r="I138" i="3" s="1"/>
  <c r="J138" i="3" s="1"/>
  <c r="B197" i="3"/>
  <c r="C197" i="3" s="1"/>
  <c r="B152" i="3"/>
  <c r="C152" i="3" s="1"/>
  <c r="H166" i="3"/>
  <c r="I166" i="3" s="1"/>
  <c r="J166" i="3" s="1"/>
  <c r="B80" i="3"/>
  <c r="C80" i="3" s="1"/>
  <c r="K80" i="3" s="1"/>
  <c r="H97" i="3"/>
  <c r="I97" i="3" s="1"/>
  <c r="J97" i="3" s="1"/>
  <c r="B77" i="3"/>
  <c r="C77" i="3" s="1"/>
  <c r="K77" i="3" s="1"/>
  <c r="B94" i="3"/>
  <c r="C94" i="3" s="1"/>
  <c r="K94" i="3" s="1"/>
  <c r="H170" i="3"/>
  <c r="I170" i="3" s="1"/>
  <c r="J170" i="3" s="1"/>
  <c r="H151" i="3"/>
  <c r="I151" i="3" s="1"/>
  <c r="J151" i="3" s="1"/>
  <c r="H168" i="3"/>
  <c r="I168" i="3" s="1"/>
  <c r="J168" i="3" s="1"/>
  <c r="H126" i="3"/>
  <c r="I126" i="3" s="1"/>
  <c r="J126" i="3" s="1"/>
  <c r="B148" i="3"/>
  <c r="C148" i="3" s="1"/>
  <c r="K148" i="3" s="1"/>
  <c r="B62" i="3"/>
  <c r="C62" i="3" s="1"/>
  <c r="K62" i="3" s="1"/>
  <c r="H137" i="3"/>
  <c r="I137" i="3" s="1"/>
  <c r="J137" i="3" s="1"/>
  <c r="H190" i="3"/>
  <c r="I190" i="3" s="1"/>
  <c r="J190" i="3" s="1"/>
  <c r="B137" i="3"/>
  <c r="C137" i="3" s="1"/>
  <c r="K137" i="3" s="1"/>
  <c r="H120" i="3"/>
  <c r="I120" i="3" s="1"/>
  <c r="J120" i="3" s="1"/>
  <c r="H80" i="3"/>
  <c r="I80" i="3" s="1"/>
  <c r="J80" i="3" s="1"/>
  <c r="B149" i="3"/>
  <c r="C149" i="3" s="1"/>
  <c r="K149" i="3" s="1"/>
  <c r="H155" i="3"/>
  <c r="I155" i="3" s="1"/>
  <c r="J155" i="3" s="1"/>
  <c r="H92" i="3"/>
  <c r="I92" i="3" s="1"/>
  <c r="J92" i="3" s="1"/>
  <c r="B103" i="3"/>
  <c r="C103" i="3" s="1"/>
  <c r="K103" i="3" s="1"/>
  <c r="B189" i="3"/>
  <c r="C189" i="3" s="1"/>
  <c r="K189" i="3" s="1"/>
  <c r="C3" i="3"/>
  <c r="B120" i="3"/>
  <c r="C120" i="3" s="1"/>
  <c r="K120" i="3" s="1"/>
  <c r="H91" i="3"/>
  <c r="I91" i="3" s="1"/>
  <c r="J91" i="3" s="1"/>
  <c r="B156" i="3"/>
  <c r="C156" i="3" s="1"/>
  <c r="K156" i="3" s="1"/>
  <c r="B164" i="3"/>
  <c r="C164" i="3" s="1"/>
  <c r="K164" i="3" s="1"/>
  <c r="B116" i="3"/>
  <c r="C116" i="3" s="1"/>
  <c r="K116" i="3" s="1"/>
  <c r="B104" i="3"/>
  <c r="C104" i="3" s="1"/>
  <c r="K104" i="3" s="1"/>
  <c r="B124" i="3"/>
  <c r="C124" i="3" s="1"/>
  <c r="K124" i="3" s="1"/>
  <c r="B198" i="3"/>
  <c r="C198" i="3" s="1"/>
  <c r="K198" i="3" s="1"/>
  <c r="B56" i="3"/>
  <c r="C56" i="3" s="1"/>
  <c r="K56" i="3" s="1"/>
  <c r="B39" i="3"/>
  <c r="C39" i="3" s="1"/>
  <c r="K39" i="3" s="1"/>
  <c r="H24" i="3"/>
  <c r="I24" i="3" s="1"/>
  <c r="J24" i="3" s="1"/>
  <c r="B153" i="3"/>
  <c r="C153" i="3" s="1"/>
  <c r="K153" i="3" s="1"/>
  <c r="H83" i="3"/>
  <c r="I83" i="3" s="1"/>
  <c r="J83" i="3" s="1"/>
  <c r="B4" i="3"/>
  <c r="C4" i="3" s="1"/>
  <c r="D4" i="3" s="1"/>
  <c r="E4" i="3" s="1"/>
  <c r="H103" i="3"/>
  <c r="I103" i="3" s="1"/>
  <c r="J103" i="3" s="1"/>
  <c r="H131" i="3"/>
  <c r="I131" i="3" s="1"/>
  <c r="J131" i="3" s="1"/>
  <c r="B25" i="3"/>
  <c r="C25" i="3" s="1"/>
  <c r="D25" i="3" s="1"/>
  <c r="E25" i="3" s="1"/>
  <c r="H94" i="3"/>
  <c r="I94" i="3" s="1"/>
  <c r="J94" i="3" s="1"/>
  <c r="B61" i="3"/>
  <c r="C61" i="3" s="1"/>
  <c r="K61" i="3" s="1"/>
  <c r="H23" i="3"/>
  <c r="I23" i="3" s="1"/>
  <c r="J23" i="3" s="1"/>
  <c r="B118" i="3"/>
  <c r="C118" i="3" s="1"/>
  <c r="K118" i="3" s="1"/>
  <c r="B132" i="3"/>
  <c r="C132" i="3" s="1"/>
  <c r="K132" i="3" s="1"/>
  <c r="H104" i="3"/>
  <c r="I104" i="3" s="1"/>
  <c r="J104" i="3" s="1"/>
  <c r="B181" i="3"/>
  <c r="C181" i="3" s="1"/>
  <c r="K181" i="3" s="1"/>
  <c r="H6" i="3"/>
  <c r="I6" i="3" s="1"/>
  <c r="J6" i="3" s="1"/>
  <c r="B33" i="3"/>
  <c r="C33" i="3" s="1"/>
  <c r="K33" i="3" s="1"/>
  <c r="H54" i="3"/>
  <c r="I54" i="3" s="1"/>
  <c r="J54" i="3" s="1"/>
  <c r="B129" i="3"/>
  <c r="C129" i="3" s="1"/>
  <c r="K129" i="3" s="1"/>
  <c r="H191" i="3"/>
  <c r="I191" i="3" s="1"/>
  <c r="J191" i="3" s="1"/>
  <c r="H119" i="3"/>
  <c r="I119" i="3" s="1"/>
  <c r="J119" i="3" s="1"/>
  <c r="B82" i="3"/>
  <c r="C82" i="3" s="1"/>
  <c r="K82" i="3" s="1"/>
  <c r="H150" i="3"/>
  <c r="I150" i="3" s="1"/>
  <c r="J150" i="3" s="1"/>
  <c r="H110" i="3"/>
  <c r="I110" i="3" s="1"/>
  <c r="J110" i="3" s="1"/>
  <c r="B41" i="3"/>
  <c r="C41" i="3" s="1"/>
  <c r="K41" i="3" s="1"/>
  <c r="H188" i="3"/>
  <c r="I188" i="3" s="1"/>
  <c r="J188" i="3" s="1"/>
  <c r="B46" i="3"/>
  <c r="C46" i="3" s="1"/>
  <c r="K46" i="3" s="1"/>
  <c r="B48" i="3"/>
  <c r="C48" i="3" s="1"/>
  <c r="K48" i="3" s="1"/>
  <c r="H50" i="3"/>
  <c r="I50" i="3" s="1"/>
  <c r="J50" i="3" s="1"/>
  <c r="H186" i="3"/>
  <c r="I186" i="3" s="1"/>
  <c r="J186" i="3" s="1"/>
  <c r="H18" i="3"/>
  <c r="I18" i="3" s="1"/>
  <c r="J18" i="3" s="1"/>
  <c r="B113" i="3"/>
  <c r="C113" i="3" s="1"/>
  <c r="H49" i="3"/>
  <c r="I49" i="3" s="1"/>
  <c r="J49" i="3" s="1"/>
  <c r="H53" i="3"/>
  <c r="I53" i="3" s="1"/>
  <c r="J53" i="3" s="1"/>
  <c r="H164" i="3"/>
  <c r="I164" i="3" s="1"/>
  <c r="J164" i="3" s="1"/>
  <c r="H135" i="3"/>
  <c r="I135" i="3" s="1"/>
  <c r="J135" i="3" s="1"/>
  <c r="H197" i="3"/>
  <c r="I197" i="3" s="1"/>
  <c r="J197" i="3" s="1"/>
  <c r="B99" i="3"/>
  <c r="C99" i="3" s="1"/>
  <c r="K99" i="3" s="1"/>
  <c r="B98" i="3"/>
  <c r="C98" i="3" s="1"/>
  <c r="K98" i="3" s="1"/>
  <c r="H102" i="3"/>
  <c r="I102" i="3" s="1"/>
  <c r="J102" i="3" s="1"/>
  <c r="H72" i="3"/>
  <c r="I72" i="3" s="1"/>
  <c r="J72" i="3" s="1"/>
  <c r="B133" i="3"/>
  <c r="C133" i="3" s="1"/>
  <c r="K133" i="3" s="1"/>
  <c r="H65" i="3"/>
  <c r="I65" i="3" s="1"/>
  <c r="J65" i="3" s="1"/>
  <c r="D3" i="3"/>
  <c r="H47" i="3"/>
  <c r="I47" i="3" s="1"/>
  <c r="J47" i="3" s="1"/>
  <c r="H193" i="3"/>
  <c r="I193" i="3" s="1"/>
  <c r="J193" i="3" s="1"/>
  <c r="B195" i="3"/>
  <c r="C195" i="3" s="1"/>
  <c r="K195" i="3" s="1"/>
  <c r="B138" i="3"/>
  <c r="C138" i="3" s="1"/>
  <c r="K138" i="3" s="1"/>
  <c r="H107" i="3"/>
  <c r="I107" i="3" s="1"/>
  <c r="J107" i="3" s="1"/>
  <c r="B170" i="3"/>
  <c r="C170" i="3" s="1"/>
  <c r="K170" i="3" s="1"/>
  <c r="H180" i="3"/>
  <c r="I180" i="3" s="1"/>
  <c r="J180" i="3" s="1"/>
  <c r="B188" i="3"/>
  <c r="C188" i="3" s="1"/>
  <c r="K188" i="3" s="1"/>
  <c r="H5" i="3"/>
  <c r="I5" i="3" s="1"/>
  <c r="J5" i="3" s="1"/>
  <c r="B96" i="3"/>
  <c r="C96" i="3" s="1"/>
  <c r="K96" i="3" s="1"/>
  <c r="H8" i="3"/>
  <c r="I8" i="3" s="1"/>
  <c r="J8" i="3" s="1"/>
  <c r="B19" i="3"/>
  <c r="C19" i="3" s="1"/>
  <c r="D19" i="3" s="1"/>
  <c r="E19" i="3" s="1"/>
  <c r="H63" i="3"/>
  <c r="I63" i="3" s="1"/>
  <c r="J63" i="3" s="1"/>
  <c r="H181" i="3"/>
  <c r="I181" i="3" s="1"/>
  <c r="J181" i="3" s="1"/>
  <c r="H79" i="3"/>
  <c r="I79" i="3" s="1"/>
  <c r="J79" i="3" s="1"/>
  <c r="H16" i="3"/>
  <c r="I16" i="3" s="1"/>
  <c r="J16" i="3" s="1"/>
  <c r="B43" i="3"/>
  <c r="C43" i="3" s="1"/>
  <c r="K43" i="3" s="1"/>
  <c r="H195" i="3"/>
  <c r="I195" i="3" s="1"/>
  <c r="J195" i="3" s="1"/>
  <c r="H90" i="3"/>
  <c r="I90" i="3" s="1"/>
  <c r="J90" i="3" s="1"/>
  <c r="B87" i="3"/>
  <c r="C87" i="3" s="1"/>
  <c r="K87" i="3" s="1"/>
  <c r="B68" i="3"/>
  <c r="C68" i="3" s="1"/>
  <c r="K68" i="3" s="1"/>
  <c r="H99" i="3"/>
  <c r="I99" i="3" s="1"/>
  <c r="J99" i="3" s="1"/>
  <c r="H55" i="3"/>
  <c r="I55" i="3" s="1"/>
  <c r="J55" i="3" s="1"/>
  <c r="B91" i="3"/>
  <c r="C91" i="3" s="1"/>
  <c r="K91" i="3" s="1"/>
  <c r="H115" i="3"/>
  <c r="I115" i="3" s="1"/>
  <c r="J115" i="3" s="1"/>
  <c r="B71" i="3"/>
  <c r="C71" i="3" s="1"/>
  <c r="K71" i="3" s="1"/>
  <c r="B70" i="3"/>
  <c r="C70" i="3" s="1"/>
  <c r="K70" i="3" s="1"/>
  <c r="D196" i="3"/>
  <c r="E196" i="3" s="1"/>
  <c r="F196" i="3" s="1"/>
  <c r="H100" i="3"/>
  <c r="I100" i="3" s="1"/>
  <c r="J100" i="3" s="1"/>
  <c r="H40" i="3"/>
  <c r="I40" i="3" s="1"/>
  <c r="J40" i="3" s="1"/>
  <c r="B187" i="3"/>
  <c r="C187" i="3" s="1"/>
  <c r="K187" i="3" s="1"/>
  <c r="H64" i="3"/>
  <c r="I64" i="3" s="1"/>
  <c r="J64" i="3" s="1"/>
  <c r="B28" i="3"/>
  <c r="C28" i="3" s="1"/>
  <c r="D28" i="3" s="1"/>
  <c r="E28" i="3" s="1"/>
  <c r="F28" i="3" s="1"/>
  <c r="H73" i="3"/>
  <c r="I73" i="3" s="1"/>
  <c r="J73" i="3" s="1"/>
  <c r="B9" i="3"/>
  <c r="C9" i="3" s="1"/>
  <c r="D9" i="3" s="1"/>
  <c r="E9" i="3" s="1"/>
  <c r="H136" i="3"/>
  <c r="I136" i="3" s="1"/>
  <c r="J136" i="3" s="1"/>
  <c r="B192" i="3"/>
  <c r="C192" i="3" s="1"/>
  <c r="K192" i="3" s="1"/>
  <c r="B151" i="3"/>
  <c r="C151" i="3" s="1"/>
  <c r="K151" i="3" s="1"/>
  <c r="B34" i="3"/>
  <c r="C34" i="3" s="1"/>
  <c r="K34" i="3" s="1"/>
  <c r="H178" i="3"/>
  <c r="I178" i="3" s="1"/>
  <c r="J178" i="3" s="1"/>
  <c r="B18" i="3"/>
  <c r="C18" i="3" s="1"/>
  <c r="D18" i="3" s="1"/>
  <c r="E18" i="3" s="1"/>
  <c r="B11" i="3"/>
  <c r="C11" i="3" s="1"/>
  <c r="D11" i="3" s="1"/>
  <c r="E11" i="3" s="1"/>
  <c r="F11" i="3" s="1"/>
  <c r="H21" i="3"/>
  <c r="I21" i="3" s="1"/>
  <c r="J21" i="3" s="1"/>
  <c r="B127" i="3"/>
  <c r="C127" i="3" s="1"/>
  <c r="K127" i="3" s="1"/>
  <c r="B89" i="3"/>
  <c r="C89" i="3" s="1"/>
  <c r="K89" i="3" s="1"/>
  <c r="B8" i="3"/>
  <c r="C8" i="3" s="1"/>
  <c r="D8" i="3" s="1"/>
  <c r="E8" i="3" s="1"/>
  <c r="B5" i="3"/>
  <c r="C5" i="3" s="1"/>
  <c r="D5" i="3" s="1"/>
  <c r="E5" i="3" s="1"/>
  <c r="H9" i="3"/>
  <c r="I9" i="3" s="1"/>
  <c r="J9" i="3" s="1"/>
  <c r="B171" i="3"/>
  <c r="C171" i="3" s="1"/>
  <c r="K171" i="3" s="1"/>
  <c r="H81" i="3"/>
  <c r="I81" i="3" s="1"/>
  <c r="J81" i="3" s="1"/>
  <c r="B78" i="3"/>
  <c r="C78" i="3" s="1"/>
  <c r="K78" i="3" s="1"/>
  <c r="H118" i="3"/>
  <c r="I118" i="3" s="1"/>
  <c r="J118" i="3" s="1"/>
  <c r="B73" i="3"/>
  <c r="C73" i="3" s="1"/>
  <c r="K73" i="3" s="1"/>
  <c r="H198" i="3"/>
  <c r="I198" i="3" s="1"/>
  <c r="J198" i="3" s="1"/>
  <c r="B110" i="3"/>
  <c r="C110" i="3" s="1"/>
  <c r="K110" i="3" s="1"/>
  <c r="H78" i="3"/>
  <c r="I78" i="3" s="1"/>
  <c r="J78" i="3" s="1"/>
  <c r="H33" i="3"/>
  <c r="I33" i="3" s="1"/>
  <c r="J33" i="3" s="1"/>
  <c r="B177" i="3"/>
  <c r="C177" i="3" s="1"/>
  <c r="K177" i="3" s="1"/>
  <c r="C17" i="5" a="1"/>
  <c r="D54" i="3" l="1"/>
  <c r="E54" i="3" s="1"/>
  <c r="F54" i="3" s="1"/>
  <c r="D166" i="3"/>
  <c r="E166" i="3" s="1"/>
  <c r="F166" i="3" s="1"/>
  <c r="C17" i="5"/>
  <c r="F4" i="3"/>
  <c r="G4" i="3"/>
  <c r="F7" i="3"/>
  <c r="G7" i="3"/>
  <c r="F8" i="3"/>
  <c r="G8" i="3"/>
  <c r="F6" i="3"/>
  <c r="G6" i="3"/>
  <c r="F5" i="3"/>
  <c r="G5" i="3"/>
  <c r="D60" i="3"/>
  <c r="E60" i="3" s="1"/>
  <c r="F60" i="3" s="1"/>
  <c r="D73" i="3"/>
  <c r="E73" i="3" s="1"/>
  <c r="F73" i="3" s="1"/>
  <c r="D132" i="3"/>
  <c r="E132" i="3" s="1"/>
  <c r="F132" i="3" s="1"/>
  <c r="D167" i="3"/>
  <c r="E167" i="3" s="1"/>
  <c r="F167" i="3" s="1"/>
  <c r="D163" i="3"/>
  <c r="E163" i="3" s="1"/>
  <c r="F163" i="3" s="1"/>
  <c r="D130" i="3"/>
  <c r="E130" i="3" s="1"/>
  <c r="F130" i="3" s="1"/>
  <c r="D160" i="3"/>
  <c r="E160" i="3" s="1"/>
  <c r="F160" i="3" s="1"/>
  <c r="D42" i="3"/>
  <c r="E42" i="3" s="1"/>
  <c r="F42" i="3" s="1"/>
  <c r="D109" i="3"/>
  <c r="E109" i="3" s="1"/>
  <c r="F109" i="3" s="1"/>
  <c r="D108" i="3"/>
  <c r="E108" i="3" s="1"/>
  <c r="F108" i="3" s="1"/>
  <c r="D57" i="3"/>
  <c r="E57" i="3" s="1"/>
  <c r="F57" i="3" s="1"/>
  <c r="D125" i="3"/>
  <c r="E125" i="3" s="1"/>
  <c r="F125" i="3" s="1"/>
  <c r="D111" i="3"/>
  <c r="E111" i="3" s="1"/>
  <c r="F111" i="3" s="1"/>
  <c r="D51" i="3"/>
  <c r="E51" i="3" s="1"/>
  <c r="F51" i="3" s="1"/>
  <c r="D72" i="3"/>
  <c r="E72" i="3" s="1"/>
  <c r="F72" i="3" s="1"/>
  <c r="D134" i="3"/>
  <c r="E134" i="3" s="1"/>
  <c r="F134" i="3" s="1"/>
  <c r="D79" i="3"/>
  <c r="E79" i="3" s="1"/>
  <c r="D123" i="3"/>
  <c r="E123" i="3" s="1"/>
  <c r="F123" i="3" s="1"/>
  <c r="D52" i="3"/>
  <c r="E52" i="3" s="1"/>
  <c r="F52" i="3" s="1"/>
  <c r="D103" i="3"/>
  <c r="E103" i="3" s="1"/>
  <c r="F103" i="3" s="1"/>
  <c r="D83" i="3"/>
  <c r="E83" i="3" s="1"/>
  <c r="F83" i="3" s="1"/>
  <c r="D126" i="3"/>
  <c r="E126" i="3" s="1"/>
  <c r="F126" i="3" s="1"/>
  <c r="F12" i="3"/>
  <c r="G12" i="3"/>
  <c r="F13" i="3"/>
  <c r="G13" i="3"/>
  <c r="F10" i="3"/>
  <c r="G10" i="3"/>
  <c r="F9" i="3"/>
  <c r="G9" i="3"/>
  <c r="F15" i="3"/>
  <c r="G15" i="3"/>
  <c r="D49" i="3"/>
  <c r="E49" i="3" s="1"/>
  <c r="F49" i="3" s="1"/>
  <c r="D69" i="3"/>
  <c r="E69" i="3" s="1"/>
  <c r="F69" i="3" s="1"/>
  <c r="D44" i="3"/>
  <c r="E44" i="3" s="1"/>
  <c r="F44" i="3" s="1"/>
  <c r="D141" i="3"/>
  <c r="E141" i="3" s="1"/>
  <c r="F141" i="3" s="1"/>
  <c r="D156" i="3"/>
  <c r="E156" i="3" s="1"/>
  <c r="F156" i="3" s="1"/>
  <c r="G14" i="3"/>
  <c r="D81" i="3"/>
  <c r="E81" i="3" s="1"/>
  <c r="F81" i="3" s="1"/>
  <c r="G11" i="3"/>
  <c r="D38" i="3"/>
  <c r="E38" i="3" s="1"/>
  <c r="F38" i="3" s="1"/>
  <c r="D48" i="3"/>
  <c r="E48" i="3" s="1"/>
  <c r="F48" i="3" s="1"/>
  <c r="D104" i="3"/>
  <c r="E104" i="3" s="1"/>
  <c r="F104" i="3" s="1"/>
  <c r="D82" i="3"/>
  <c r="E82" i="3" s="1"/>
  <c r="D80" i="3"/>
  <c r="E80" i="3" s="1"/>
  <c r="F80" i="3" s="1"/>
  <c r="D186" i="3"/>
  <c r="E186" i="3" s="1"/>
  <c r="F186" i="3" s="1"/>
  <c r="D195" i="3"/>
  <c r="E195" i="3" s="1"/>
  <c r="F195" i="3" s="1"/>
  <c r="G196" i="3"/>
  <c r="D199" i="3"/>
  <c r="E199" i="3" s="1"/>
  <c r="F199" i="3" s="1"/>
  <c r="D94" i="3"/>
  <c r="E94" i="3" s="1"/>
  <c r="F94" i="3" s="1"/>
  <c r="D183" i="3"/>
  <c r="E183" i="3" s="1"/>
  <c r="F183" i="3" s="1"/>
  <c r="D45" i="3"/>
  <c r="E45" i="3" s="1"/>
  <c r="F45" i="3" s="1"/>
  <c r="D92" i="3"/>
  <c r="E92" i="3" s="1"/>
  <c r="F92" i="3" s="1"/>
  <c r="D161" i="3"/>
  <c r="E161" i="3" s="1"/>
  <c r="F161" i="3" s="1"/>
  <c r="D145" i="3"/>
  <c r="E145" i="3" s="1"/>
  <c r="F145" i="3" s="1"/>
  <c r="D107" i="3"/>
  <c r="E107" i="3" s="1"/>
  <c r="F107" i="3" s="1"/>
  <c r="D101" i="3"/>
  <c r="E101" i="3" s="1"/>
  <c r="F101" i="3" s="1"/>
  <c r="D43" i="3"/>
  <c r="E43" i="3" s="1"/>
  <c r="F43" i="3" s="1"/>
  <c r="D84" i="3"/>
  <c r="E84" i="3" s="1"/>
  <c r="F84" i="3" s="1"/>
  <c r="D162" i="3"/>
  <c r="E162" i="3" s="1"/>
  <c r="F162" i="3" s="1"/>
  <c r="D154" i="3"/>
  <c r="E154" i="3" s="1"/>
  <c r="F154" i="3" s="1"/>
  <c r="D89" i="3"/>
  <c r="E89" i="3" s="1"/>
  <c r="F89" i="3" s="1"/>
  <c r="D47" i="3"/>
  <c r="E47" i="3" s="1"/>
  <c r="F47" i="3" s="1"/>
  <c r="D119" i="3"/>
  <c r="E119" i="3" s="1"/>
  <c r="F119" i="3" s="1"/>
  <c r="D65" i="3"/>
  <c r="E65" i="3" s="1"/>
  <c r="F65" i="3" s="1"/>
  <c r="D117" i="3"/>
  <c r="E117" i="3" s="1"/>
  <c r="F117" i="3" s="1"/>
  <c r="D90" i="3"/>
  <c r="E90" i="3" s="1"/>
  <c r="F90" i="3" s="1"/>
  <c r="D91" i="3"/>
  <c r="E91" i="3" s="1"/>
  <c r="D135" i="3"/>
  <c r="E135" i="3" s="1"/>
  <c r="F135" i="3" s="1"/>
  <c r="D76" i="3"/>
  <c r="E76" i="3" s="1"/>
  <c r="F76" i="3" s="1"/>
  <c r="K197" i="3"/>
  <c r="D197" i="3"/>
  <c r="E197" i="3" s="1"/>
  <c r="F197" i="3" s="1"/>
  <c r="D102" i="3"/>
  <c r="E102" i="3" s="1"/>
  <c r="F102" i="3" s="1"/>
  <c r="D140" i="3"/>
  <c r="E140" i="3" s="1"/>
  <c r="F140" i="3" s="1"/>
  <c r="D165" i="3"/>
  <c r="E165" i="3" s="1"/>
  <c r="F165" i="3" s="1"/>
  <c r="D85" i="3"/>
  <c r="E85" i="3" s="1"/>
  <c r="D74" i="3"/>
  <c r="E74" i="3" s="1"/>
  <c r="F74" i="3" s="1"/>
  <c r="D169" i="3"/>
  <c r="E169" i="3" s="1"/>
  <c r="D99" i="3"/>
  <c r="E99" i="3" s="1"/>
  <c r="D112" i="3"/>
  <c r="E112" i="3" s="1"/>
  <c r="F112" i="3" s="1"/>
  <c r="D171" i="3"/>
  <c r="E171" i="3" s="1"/>
  <c r="D118" i="3"/>
  <c r="E118" i="3" s="1"/>
  <c r="F118" i="3" s="1"/>
  <c r="D77" i="3"/>
  <c r="E77" i="3" s="1"/>
  <c r="F77" i="3" s="1"/>
  <c r="D155" i="3"/>
  <c r="E155" i="3" s="1"/>
  <c r="F155" i="3" s="1"/>
  <c r="D106" i="3"/>
  <c r="E106" i="3" s="1"/>
  <c r="F106" i="3" s="1"/>
  <c r="D170" i="3"/>
  <c r="E170" i="3" s="1"/>
  <c r="D39" i="3"/>
  <c r="E39" i="3" s="1"/>
  <c r="F39" i="3" s="1"/>
  <c r="D62" i="3"/>
  <c r="E62" i="3" s="1"/>
  <c r="D78" i="3"/>
  <c r="E78" i="3" s="1"/>
  <c r="F78" i="3" s="1"/>
  <c r="D129" i="3"/>
  <c r="E129" i="3" s="1"/>
  <c r="F129" i="3" s="1"/>
  <c r="D68" i="3"/>
  <c r="E68" i="3" s="1"/>
  <c r="D172" i="3"/>
  <c r="E172" i="3" s="1"/>
  <c r="F172" i="3" s="1"/>
  <c r="D59" i="3"/>
  <c r="E59" i="3" s="1"/>
  <c r="F59" i="3" s="1"/>
  <c r="D93" i="3"/>
  <c r="E93" i="3" s="1"/>
  <c r="F93" i="3" s="1"/>
  <c r="D181" i="3"/>
  <c r="E181" i="3" s="1"/>
  <c r="F181" i="3" s="1"/>
  <c r="D37" i="3"/>
  <c r="E37" i="3" s="1"/>
  <c r="F37" i="3" s="1"/>
  <c r="D33" i="3"/>
  <c r="E33" i="3" s="1"/>
  <c r="F33" i="3" s="1"/>
  <c r="D189" i="3"/>
  <c r="E189" i="3" s="1"/>
  <c r="F189" i="3" s="1"/>
  <c r="D87" i="3"/>
  <c r="E87" i="3" s="1"/>
  <c r="F87" i="3" s="1"/>
  <c r="D36" i="3"/>
  <c r="E36" i="3" s="1"/>
  <c r="D124" i="3"/>
  <c r="E124" i="3" s="1"/>
  <c r="F124" i="3" s="1"/>
  <c r="D127" i="3"/>
  <c r="E127" i="3" s="1"/>
  <c r="F127" i="3" s="1"/>
  <c r="D136" i="3"/>
  <c r="E136" i="3" s="1"/>
  <c r="F19" i="3"/>
  <c r="G19" i="3"/>
  <c r="K86" i="3"/>
  <c r="D86" i="3"/>
  <c r="E86" i="3" s="1"/>
  <c r="K66" i="3"/>
  <c r="D66" i="3"/>
  <c r="E66" i="3" s="1"/>
  <c r="F16" i="3"/>
  <c r="G16" i="3"/>
  <c r="F29" i="3"/>
  <c r="G29" i="3"/>
  <c r="F18" i="3"/>
  <c r="G18" i="3"/>
  <c r="F27" i="3"/>
  <c r="G27" i="3"/>
  <c r="F20" i="3"/>
  <c r="G20" i="3"/>
  <c r="K168" i="3"/>
  <c r="D168" i="3"/>
  <c r="E168" i="3" s="1"/>
  <c r="D34" i="3"/>
  <c r="E34" i="3" s="1"/>
  <c r="D175" i="3"/>
  <c r="E175" i="3" s="1"/>
  <c r="F175" i="3" s="1"/>
  <c r="D35" i="3"/>
  <c r="E35" i="3" s="1"/>
  <c r="G30" i="3"/>
  <c r="D120" i="3"/>
  <c r="E120" i="3" s="1"/>
  <c r="D55" i="3"/>
  <c r="E55" i="3" s="1"/>
  <c r="D138" i="3"/>
  <c r="E138" i="3" s="1"/>
  <c r="F138" i="3" s="1"/>
  <c r="D187" i="3"/>
  <c r="E187" i="3" s="1"/>
  <c r="F187" i="3" s="1"/>
  <c r="D114" i="3"/>
  <c r="E114" i="3" s="1"/>
  <c r="D182" i="3"/>
  <c r="E182" i="3" s="1"/>
  <c r="G32" i="3"/>
  <c r="D137" i="3"/>
  <c r="E137" i="3" s="1"/>
  <c r="F137" i="3" s="1"/>
  <c r="D115" i="3"/>
  <c r="E115" i="3" s="1"/>
  <c r="D97" i="3"/>
  <c r="E97" i="3" s="1"/>
  <c r="D105" i="3"/>
  <c r="E105" i="3" s="1"/>
  <c r="D157" i="3"/>
  <c r="E157" i="3" s="1"/>
  <c r="D71" i="3"/>
  <c r="E71" i="3" s="1"/>
  <c r="D158" i="3"/>
  <c r="E158" i="3" s="1"/>
  <c r="F158" i="3" s="1"/>
  <c r="D184" i="3"/>
  <c r="E184" i="3" s="1"/>
  <c r="F184" i="3" s="1"/>
  <c r="D142" i="3"/>
  <c r="E142" i="3" s="1"/>
  <c r="F142" i="3" s="1"/>
  <c r="D121" i="3"/>
  <c r="E121" i="3" s="1"/>
  <c r="D200" i="3"/>
  <c r="E200" i="3" s="1"/>
  <c r="G31" i="3"/>
  <c r="D64" i="3"/>
  <c r="E64" i="3" s="1"/>
  <c r="D164" i="3"/>
  <c r="E164" i="3" s="1"/>
  <c r="F164" i="3" s="1"/>
  <c r="D95" i="3"/>
  <c r="E95" i="3" s="1"/>
  <c r="D150" i="3"/>
  <c r="E150" i="3" s="1"/>
  <c r="D61" i="3"/>
  <c r="E61" i="3" s="1"/>
  <c r="D193" i="3"/>
  <c r="E193" i="3" s="1"/>
  <c r="D144" i="3"/>
  <c r="E144" i="3" s="1"/>
  <c r="F144" i="3" s="1"/>
  <c r="D173" i="3"/>
  <c r="E173" i="3" s="1"/>
  <c r="G17" i="3"/>
  <c r="D63" i="3"/>
  <c r="E63" i="3" s="1"/>
  <c r="D174" i="3"/>
  <c r="E174" i="3" s="1"/>
  <c r="D70" i="3"/>
  <c r="E70" i="3" s="1"/>
  <c r="D147" i="3"/>
  <c r="E147" i="3" s="1"/>
  <c r="F147" i="3" s="1"/>
  <c r="D53" i="3"/>
  <c r="E53" i="3" s="1"/>
  <c r="D98" i="3"/>
  <c r="E98" i="3" s="1"/>
  <c r="D153" i="3"/>
  <c r="E153" i="3" s="1"/>
  <c r="F153" i="3" s="1"/>
  <c r="D100" i="3"/>
  <c r="E100" i="3" s="1"/>
  <c r="D88" i="3"/>
  <c r="E88" i="3" s="1"/>
  <c r="D41" i="3"/>
  <c r="E41" i="3" s="1"/>
  <c r="D46" i="3"/>
  <c r="E46" i="3" s="1"/>
  <c r="D58" i="3"/>
  <c r="E58" i="3" s="1"/>
  <c r="D133" i="3"/>
  <c r="E133" i="3" s="1"/>
  <c r="F133" i="3" s="1"/>
  <c r="G21" i="3"/>
  <c r="D40" i="3"/>
  <c r="E40" i="3" s="1"/>
  <c r="D149" i="3"/>
  <c r="E149" i="3" s="1"/>
  <c r="D176" i="3"/>
  <c r="E176" i="3" s="1"/>
  <c r="F176" i="3" s="1"/>
  <c r="G28" i="3"/>
  <c r="D67" i="3"/>
  <c r="E67" i="3" s="1"/>
  <c r="D56" i="3"/>
  <c r="E56" i="3" s="1"/>
  <c r="D110" i="3"/>
  <c r="E110" i="3" s="1"/>
  <c r="D50" i="3"/>
  <c r="E50" i="3" s="1"/>
  <c r="D146" i="3"/>
  <c r="E146" i="3" s="1"/>
  <c r="D96" i="3"/>
  <c r="E96" i="3" s="1"/>
  <c r="D75" i="3"/>
  <c r="E75" i="3" s="1"/>
  <c r="D198" i="3"/>
  <c r="E198" i="3" s="1"/>
  <c r="K113" i="3"/>
  <c r="D113" i="3"/>
  <c r="E113" i="3" s="1"/>
  <c r="K152" i="3"/>
  <c r="D152" i="3"/>
  <c r="E152" i="3" s="1"/>
  <c r="G26" i="3"/>
  <c r="F26" i="3"/>
  <c r="D139" i="3"/>
  <c r="E139" i="3" s="1"/>
  <c r="G25" i="3"/>
  <c r="F25" i="3"/>
  <c r="A12" i="4"/>
  <c r="K26" i="3"/>
  <c r="G22" i="3"/>
  <c r="F22" i="3"/>
  <c r="D177" i="3"/>
  <c r="E177" i="3" s="1"/>
  <c r="D159" i="3"/>
  <c r="E159" i="3" s="1"/>
  <c r="D148" i="3"/>
  <c r="E148" i="3" s="1"/>
  <c r="K4" i="3"/>
  <c r="D151" i="3"/>
  <c r="E151" i="3" s="1"/>
  <c r="K14" i="3"/>
  <c r="D179" i="3"/>
  <c r="E179" i="3" s="1"/>
  <c r="D131" i="3"/>
  <c r="E131" i="3" s="1"/>
  <c r="K16" i="3"/>
  <c r="K27" i="3"/>
  <c r="G23" i="3"/>
  <c r="F23" i="3"/>
  <c r="K9" i="3"/>
  <c r="K30" i="3"/>
  <c r="D194" i="3"/>
  <c r="E194" i="3" s="1"/>
  <c r="K6" i="3"/>
  <c r="K32" i="3"/>
  <c r="K28" i="3"/>
  <c r="K19" i="3"/>
  <c r="D185" i="3"/>
  <c r="E185" i="3" s="1"/>
  <c r="K12" i="3"/>
  <c r="K23" i="3"/>
  <c r="K7" i="3"/>
  <c r="K21" i="3"/>
  <c r="D180" i="3"/>
  <c r="E180" i="3" s="1"/>
  <c r="D188" i="3"/>
  <c r="E188" i="3" s="1"/>
  <c r="D178" i="3"/>
  <c r="E178" i="3" s="1"/>
  <c r="D128" i="3"/>
  <c r="E128" i="3" s="1"/>
  <c r="D143" i="3"/>
  <c r="E143" i="3" s="1"/>
  <c r="D122" i="3"/>
  <c r="E122" i="3" s="1"/>
  <c r="K17" i="3"/>
  <c r="D190" i="3"/>
  <c r="E190" i="3" s="1"/>
  <c r="K29" i="3"/>
  <c r="K20" i="3"/>
  <c r="K8" i="3"/>
  <c r="G24" i="3"/>
  <c r="F24" i="3"/>
  <c r="K25" i="3"/>
  <c r="K10" i="3"/>
  <c r="K3" i="3"/>
  <c r="K22" i="3"/>
  <c r="D116" i="3"/>
  <c r="E116" i="3" s="1"/>
  <c r="K5" i="3"/>
  <c r="D191" i="3"/>
  <c r="E191" i="3" s="1"/>
  <c r="K31" i="3"/>
  <c r="K13" i="3"/>
  <c r="K18" i="3"/>
  <c r="D192" i="3"/>
  <c r="E192" i="3" s="1"/>
  <c r="K15" i="3"/>
  <c r="K24" i="3"/>
  <c r="K11" i="3"/>
  <c r="C18" i="5" a="1"/>
  <c r="C13" i="4" a="1"/>
  <c r="G73" i="3" l="1"/>
  <c r="G156" i="3"/>
  <c r="G54" i="3"/>
  <c r="G166" i="3"/>
  <c r="G51" i="3"/>
  <c r="G132" i="3"/>
  <c r="G167" i="3"/>
  <c r="G197" i="3"/>
  <c r="G81" i="3"/>
  <c r="G141" i="3"/>
  <c r="G181" i="3"/>
  <c r="G162" i="3"/>
  <c r="C18" i="5"/>
  <c r="G60" i="3"/>
  <c r="G42" i="3"/>
  <c r="G160" i="3"/>
  <c r="G47" i="3"/>
  <c r="G130" i="3"/>
  <c r="G163" i="3"/>
  <c r="G109" i="3"/>
  <c r="G78" i="3"/>
  <c r="G108" i="3"/>
  <c r="G69" i="3"/>
  <c r="G186" i="3"/>
  <c r="G134" i="3"/>
  <c r="G57" i="3"/>
  <c r="G84" i="3"/>
  <c r="G44" i="3"/>
  <c r="G129" i="3"/>
  <c r="G135" i="3"/>
  <c r="G87" i="3"/>
  <c r="G195" i="3"/>
  <c r="G111" i="3"/>
  <c r="F79" i="3"/>
  <c r="G79" i="3"/>
  <c r="G76" i="3"/>
  <c r="G74" i="3"/>
  <c r="G124" i="3"/>
  <c r="G125" i="3"/>
  <c r="G52" i="3"/>
  <c r="G103" i="3"/>
  <c r="G83" i="3"/>
  <c r="G72" i="3"/>
  <c r="G126" i="3"/>
  <c r="G123" i="3"/>
  <c r="G138" i="3"/>
  <c r="G147" i="3"/>
  <c r="G38" i="3"/>
  <c r="G48" i="3"/>
  <c r="G90" i="3"/>
  <c r="G89" i="3"/>
  <c r="G107" i="3"/>
  <c r="G104" i="3"/>
  <c r="G199" i="3"/>
  <c r="G145" i="3"/>
  <c r="G154" i="3"/>
  <c r="G119" i="3"/>
  <c r="G49" i="3"/>
  <c r="G92" i="3"/>
  <c r="G117" i="3"/>
  <c r="G140" i="3"/>
  <c r="G112" i="3"/>
  <c r="G118" i="3"/>
  <c r="G127" i="3"/>
  <c r="G175" i="3"/>
  <c r="G183" i="3"/>
  <c r="G101" i="3"/>
  <c r="G43" i="3"/>
  <c r="G93" i="3"/>
  <c r="G102" i="3"/>
  <c r="G77" i="3"/>
  <c r="G172" i="3"/>
  <c r="G65" i="3"/>
  <c r="G80" i="3"/>
  <c r="F91" i="3"/>
  <c r="G91" i="3"/>
  <c r="F82" i="3"/>
  <c r="G82" i="3"/>
  <c r="G161" i="3"/>
  <c r="G45" i="3"/>
  <c r="G94" i="3"/>
  <c r="F170" i="3"/>
  <c r="G170" i="3"/>
  <c r="F136" i="3"/>
  <c r="G136" i="3"/>
  <c r="F169" i="3"/>
  <c r="G169" i="3"/>
  <c r="G189" i="3"/>
  <c r="G165" i="3"/>
  <c r="G187" i="3"/>
  <c r="G106" i="3"/>
  <c r="G59" i="3"/>
  <c r="G33" i="3"/>
  <c r="F68" i="3"/>
  <c r="G68" i="3"/>
  <c r="F171" i="3"/>
  <c r="G171" i="3"/>
  <c r="G155" i="3"/>
  <c r="G39" i="3"/>
  <c r="F85" i="3"/>
  <c r="G85" i="3"/>
  <c r="F36" i="3"/>
  <c r="G36" i="3"/>
  <c r="F99" i="3"/>
  <c r="G99" i="3"/>
  <c r="G37" i="3"/>
  <c r="G164" i="3"/>
  <c r="F62" i="3"/>
  <c r="G62" i="3"/>
  <c r="F64" i="3"/>
  <c r="G64" i="3"/>
  <c r="F97" i="3"/>
  <c r="G97" i="3"/>
  <c r="F55" i="3"/>
  <c r="G55" i="3"/>
  <c r="F67" i="3"/>
  <c r="G67" i="3"/>
  <c r="F58" i="3"/>
  <c r="G58" i="3"/>
  <c r="F173" i="3"/>
  <c r="G173" i="3"/>
  <c r="F115" i="3"/>
  <c r="G115" i="3"/>
  <c r="F120" i="3"/>
  <c r="G120" i="3"/>
  <c r="F46" i="3"/>
  <c r="G46" i="3"/>
  <c r="F53" i="3"/>
  <c r="G53" i="3"/>
  <c r="F198" i="3"/>
  <c r="G198" i="3"/>
  <c r="F70" i="3"/>
  <c r="G70" i="3"/>
  <c r="F193" i="3"/>
  <c r="G193" i="3"/>
  <c r="G144" i="3"/>
  <c r="F66" i="3"/>
  <c r="G66" i="3"/>
  <c r="F96" i="3"/>
  <c r="G96" i="3"/>
  <c r="F61" i="3"/>
  <c r="G61" i="3"/>
  <c r="F182" i="3"/>
  <c r="G182" i="3"/>
  <c r="F35" i="3"/>
  <c r="G35" i="3"/>
  <c r="G142" i="3"/>
  <c r="F146" i="3"/>
  <c r="G146" i="3"/>
  <c r="F149" i="3"/>
  <c r="G149" i="3"/>
  <c r="F150" i="3"/>
  <c r="G150" i="3"/>
  <c r="F86" i="3"/>
  <c r="G86" i="3"/>
  <c r="F50" i="3"/>
  <c r="G50" i="3"/>
  <c r="F98" i="3"/>
  <c r="G98" i="3"/>
  <c r="F174" i="3"/>
  <c r="G174" i="3"/>
  <c r="F95" i="3"/>
  <c r="G95" i="3"/>
  <c r="F200" i="3"/>
  <c r="G200" i="3"/>
  <c r="F71" i="3"/>
  <c r="G71" i="3"/>
  <c r="F114" i="3"/>
  <c r="G114" i="3"/>
  <c r="G133" i="3"/>
  <c r="F41" i="3"/>
  <c r="G41" i="3"/>
  <c r="F34" i="3"/>
  <c r="G34" i="3"/>
  <c r="F100" i="3"/>
  <c r="G100" i="3"/>
  <c r="G153" i="3"/>
  <c r="F63" i="3"/>
  <c r="G63" i="3"/>
  <c r="F88" i="3"/>
  <c r="G88" i="3"/>
  <c r="F110" i="3"/>
  <c r="G110" i="3"/>
  <c r="G176" i="3"/>
  <c r="F157" i="3"/>
  <c r="G157" i="3"/>
  <c r="F75" i="3"/>
  <c r="G75" i="3"/>
  <c r="F168" i="3"/>
  <c r="G168" i="3"/>
  <c r="G184" i="3"/>
  <c r="F40" i="3"/>
  <c r="G40" i="3"/>
  <c r="F56" i="3"/>
  <c r="G56" i="3"/>
  <c r="G137" i="3"/>
  <c r="G158" i="3"/>
  <c r="F121" i="3"/>
  <c r="G121" i="3"/>
  <c r="F105" i="3"/>
  <c r="G105" i="3"/>
  <c r="C13" i="4"/>
  <c r="F179" i="3"/>
  <c r="G179" i="3"/>
  <c r="F143" i="3"/>
  <c r="G143" i="3"/>
  <c r="F151" i="3"/>
  <c r="G151" i="3"/>
  <c r="F194" i="3"/>
  <c r="G194" i="3"/>
  <c r="F185" i="3"/>
  <c r="G185" i="3"/>
  <c r="F148" i="3"/>
  <c r="G148" i="3"/>
  <c r="F192" i="3"/>
  <c r="G192" i="3"/>
  <c r="F128" i="3"/>
  <c r="G128" i="3"/>
  <c r="F159" i="3"/>
  <c r="G159" i="3"/>
  <c r="F139" i="3"/>
  <c r="G139" i="3"/>
  <c r="F178" i="3"/>
  <c r="G178" i="3"/>
  <c r="F188" i="3"/>
  <c r="G188" i="3"/>
  <c r="F152" i="3"/>
  <c r="G152" i="3"/>
  <c r="F177" i="3"/>
  <c r="G177" i="3"/>
  <c r="F191" i="3"/>
  <c r="G191" i="3"/>
  <c r="F180" i="3"/>
  <c r="G180" i="3"/>
  <c r="F116" i="3"/>
  <c r="G116" i="3"/>
  <c r="F190" i="3"/>
  <c r="G190" i="3"/>
  <c r="F113" i="3"/>
  <c r="G113" i="3"/>
  <c r="F122" i="3"/>
  <c r="G122" i="3"/>
  <c r="F131" i="3"/>
  <c r="G131" i="3"/>
  <c r="C14" i="4" a="1"/>
  <c r="C19" i="5" a="1"/>
  <c r="C14" i="4" l="1"/>
  <c r="C19" i="5"/>
  <c r="C20" i="5" a="1"/>
  <c r="C15" i="4" a="1"/>
  <c r="C20" i="5" l="1"/>
  <c r="C15" i="4"/>
  <c r="C16" i="4" a="1"/>
  <c r="C21" i="5" a="1"/>
  <c r="C16" i="4" l="1"/>
  <c r="C21" i="5"/>
  <c r="C17" i="4" a="1"/>
  <c r="C22" i="5" a="1"/>
  <c r="C22" i="5" l="1"/>
  <c r="C17" i="4"/>
  <c r="C18" i="4" a="1"/>
  <c r="C23" i="5" a="1"/>
  <c r="C18" i="4" l="1"/>
  <c r="C23" i="5"/>
  <c r="C19" i="4" a="1"/>
  <c r="C24" i="5" a="1"/>
  <c r="C24" i="5" l="1"/>
  <c r="C19" i="4"/>
  <c r="C20" i="4" a="1"/>
  <c r="C25" i="5" a="1"/>
  <c r="C20" i="4" l="1"/>
  <c r="C25" i="5"/>
  <c r="C21" i="4" a="1"/>
  <c r="C26" i="5" a="1"/>
  <c r="C26" i="5" l="1"/>
  <c r="C21" i="4"/>
  <c r="C22" i="4" a="1"/>
  <c r="C27" i="5" a="1"/>
  <c r="C22" i="4" l="1"/>
  <c r="C27" i="5"/>
  <c r="C28" i="5" a="1"/>
  <c r="C23" i="4" a="1"/>
  <c r="C28" i="5" l="1"/>
  <c r="C23" i="4"/>
  <c r="C24" i="4" a="1"/>
  <c r="C29" i="5" a="1"/>
  <c r="C24" i="4" l="1"/>
  <c r="C29" i="5"/>
  <c r="C30" i="5" a="1"/>
  <c r="C25" i="4" a="1"/>
  <c r="C30" i="5" l="1"/>
  <c r="C25" i="4"/>
  <c r="C31" i="5" a="1"/>
  <c r="C26" i="4" a="1"/>
  <c r="C26" i="4" l="1"/>
  <c r="C31" i="5"/>
  <c r="C32" i="5" a="1"/>
  <c r="C27" i="4" a="1"/>
  <c r="C32" i="5" l="1"/>
  <c r="C27" i="4"/>
  <c r="C33" i="5" a="1"/>
  <c r="C28" i="4" a="1"/>
  <c r="C28" i="4" l="1"/>
  <c r="C33" i="5"/>
  <c r="C29" i="4" a="1"/>
  <c r="C34" i="5" a="1"/>
  <c r="C34" i="5" l="1"/>
  <c r="C29" i="4"/>
  <c r="C35" i="5" a="1"/>
  <c r="C30" i="4" a="1"/>
  <c r="C30" i="4" l="1"/>
  <c r="C35" i="5"/>
  <c r="C36" i="5" a="1"/>
  <c r="C31" i="4" a="1"/>
  <c r="C36" i="5" l="1"/>
  <c r="C31" i="4"/>
  <c r="C37" i="5" a="1"/>
  <c r="C32" i="4" a="1"/>
  <c r="C32" i="4" l="1"/>
  <c r="C37" i="5"/>
  <c r="C38" i="5" a="1"/>
  <c r="C33" i="4" a="1"/>
  <c r="C38" i="5" l="1"/>
  <c r="C33" i="4"/>
  <c r="C34" i="4" a="1"/>
  <c r="C39" i="5" a="1"/>
  <c r="C34" i="4" l="1"/>
  <c r="C39" i="5"/>
  <c r="C35" i="4" a="1"/>
  <c r="C40" i="5" a="1"/>
  <c r="C40" i="5" l="1"/>
  <c r="C35" i="4"/>
  <c r="C36" i="4" a="1"/>
  <c r="C41" i="5" a="1"/>
  <c r="C36" i="4" l="1"/>
  <c r="C41" i="5"/>
  <c r="C42" i="5" a="1"/>
  <c r="C37" i="4" a="1"/>
  <c r="C42" i="5" l="1"/>
  <c r="C37" i="4"/>
  <c r="C43" i="5" a="1"/>
  <c r="C38" i="4" a="1"/>
  <c r="C38" i="4" l="1"/>
  <c r="C43" i="5"/>
  <c r="C39" i="4" a="1"/>
  <c r="C44" i="5" a="1"/>
  <c r="C44" i="5" l="1"/>
  <c r="C39" i="4"/>
  <c r="C45" i="5" a="1"/>
  <c r="C40" i="4" a="1"/>
  <c r="C40" i="4" l="1"/>
  <c r="C45" i="5"/>
  <c r="C41" i="4" a="1"/>
  <c r="C46" i="5" a="1"/>
  <c r="C46" i="5" l="1"/>
  <c r="C41" i="4"/>
  <c r="C47" i="5" a="1"/>
  <c r="C42" i="4" a="1"/>
  <c r="C42" i="4" l="1"/>
  <c r="C47" i="5"/>
  <c r="C43" i="4" a="1"/>
  <c r="C48" i="5" a="1"/>
  <c r="C48" i="5" l="1"/>
  <c r="C43" i="4"/>
  <c r="C49" i="5" a="1"/>
  <c r="C44" i="4" a="1"/>
  <c r="C44" i="4" l="1"/>
  <c r="C49" i="5"/>
  <c r="C50" i="5" a="1"/>
  <c r="C45" i="4" a="1"/>
  <c r="C50" i="5" l="1"/>
  <c r="C45" i="4"/>
  <c r="C46" i="4" a="1"/>
  <c r="C51" i="5" a="1"/>
  <c r="C46" i="4" l="1"/>
  <c r="C51" i="5"/>
  <c r="C52" i="5" a="1"/>
  <c r="C47" i="4" a="1"/>
  <c r="C52" i="5" l="1"/>
  <c r="C47" i="4"/>
  <c r="C48" i="4" a="1"/>
  <c r="C53" i="5" a="1"/>
  <c r="C48" i="4" l="1"/>
  <c r="C53" i="5"/>
  <c r="C49" i="4" a="1"/>
  <c r="C54" i="5" a="1"/>
  <c r="C54" i="5" l="1"/>
  <c r="C49" i="4"/>
  <c r="C55" i="5" a="1"/>
  <c r="C50" i="4" a="1"/>
  <c r="C50" i="4" l="1"/>
  <c r="C55" i="5"/>
  <c r="C56" i="5" a="1"/>
  <c r="C51" i="4" a="1"/>
  <c r="C56" i="5" l="1"/>
  <c r="C51" i="4"/>
  <c r="C57" i="5" a="1"/>
  <c r="C52" i="4" a="1"/>
  <c r="C52" i="4" l="1"/>
  <c r="C57" i="5"/>
  <c r="C53" i="4" a="1"/>
  <c r="C58" i="5" a="1"/>
  <c r="C58" i="5" l="1"/>
  <c r="C53" i="4"/>
  <c r="C54" i="4" a="1"/>
  <c r="C59" i="5" a="1"/>
  <c r="C54" i="4" l="1"/>
  <c r="C59" i="5"/>
  <c r="C60" i="5" a="1"/>
  <c r="C55" i="4" a="1"/>
  <c r="C60" i="5" l="1"/>
  <c r="C55" i="4"/>
  <c r="C61" i="5" a="1"/>
  <c r="C56" i="4" a="1"/>
  <c r="C56" i="4" l="1"/>
  <c r="C61" i="5"/>
  <c r="C57" i="4" a="1"/>
  <c r="C62" i="5" a="1"/>
  <c r="C62" i="5" l="1"/>
  <c r="C57" i="4"/>
  <c r="C58" i="4" a="1"/>
  <c r="C63" i="5" a="1"/>
  <c r="C58" i="4" l="1"/>
  <c r="C63" i="5"/>
  <c r="C64" i="5" a="1"/>
  <c r="C59" i="4" a="1"/>
  <c r="C64" i="5" l="1"/>
  <c r="C59" i="4"/>
  <c r="C60" i="4" a="1"/>
  <c r="C65" i="5" a="1"/>
  <c r="C60" i="4" l="1"/>
  <c r="C65" i="5"/>
  <c r="C66" i="5" a="1"/>
  <c r="C61" i="4" a="1"/>
  <c r="C66" i="5" l="1"/>
  <c r="C61" i="4"/>
  <c r="C62" i="4" a="1"/>
  <c r="C67" i="5" a="1"/>
  <c r="C62" i="4" l="1"/>
  <c r="C67" i="5"/>
  <c r="C63" i="4" a="1"/>
  <c r="C68" i="5" a="1"/>
  <c r="C63" i="4" l="1"/>
  <c r="C68" i="5"/>
  <c r="C69" i="5" a="1"/>
  <c r="C64" i="4" a="1"/>
  <c r="C69" i="5" l="1"/>
  <c r="C64" i="4"/>
  <c r="C65" i="4" a="1"/>
  <c r="C70" i="5" a="1"/>
  <c r="C65" i="4" l="1"/>
  <c r="C70" i="5"/>
  <c r="C71" i="5" a="1"/>
  <c r="C66" i="4" a="1"/>
  <c r="C71" i="5" l="1"/>
  <c r="C66" i="4"/>
  <c r="C67" i="4" a="1"/>
  <c r="C72" i="5" a="1"/>
  <c r="C67" i="4" l="1"/>
  <c r="C72" i="5"/>
  <c r="C73" i="5" a="1"/>
  <c r="C68" i="4" a="1"/>
  <c r="C73" i="5" l="1"/>
  <c r="C68" i="4"/>
  <c r="C74" i="5" a="1"/>
  <c r="C69" i="4" a="1"/>
  <c r="C69" i="4" l="1"/>
  <c r="C74" i="5"/>
  <c r="C75" i="5" a="1"/>
  <c r="C70" i="4" a="1"/>
  <c r="C70" i="4" l="1"/>
  <c r="C75" i="5"/>
  <c r="C71" i="4" a="1"/>
  <c r="C76" i="5" a="1"/>
  <c r="C76" i="5" l="1"/>
  <c r="C71" i="4"/>
  <c r="C77" i="5" a="1"/>
  <c r="C72" i="4" a="1"/>
  <c r="C72" i="4" l="1"/>
  <c r="C77" i="5"/>
  <c r="C73" i="4" a="1"/>
  <c r="C78" i="5" a="1"/>
  <c r="C78" i="5" l="1"/>
  <c r="C73" i="4"/>
  <c r="C79" i="5" a="1"/>
  <c r="C74" i="4" a="1"/>
  <c r="C74" i="4" l="1"/>
  <c r="C79" i="5"/>
  <c r="C75" i="4" a="1"/>
  <c r="C80" i="5" a="1"/>
  <c r="C75" i="4" l="1"/>
  <c r="C80" i="5"/>
  <c r="C76" i="4" a="1"/>
  <c r="C81" i="5" a="1"/>
  <c r="C81" i="5" l="1"/>
  <c r="C76" i="4"/>
  <c r="C77" i="4" a="1"/>
  <c r="C82" i="5" a="1"/>
  <c r="C77" i="4" l="1"/>
  <c r="C82" i="5"/>
  <c r="C83" i="5" a="1"/>
  <c r="C78" i="4" a="1"/>
  <c r="C83" i="5" l="1"/>
  <c r="C78" i="4"/>
  <c r="C79" i="4" a="1"/>
  <c r="C84" i="5" a="1"/>
  <c r="C79" i="4" l="1"/>
  <c r="C84" i="5"/>
  <c r="C80" i="4" a="1"/>
  <c r="C85" i="5" a="1"/>
  <c r="C85" i="5" l="1"/>
  <c r="C80" i="4"/>
  <c r="C81" i="4" a="1"/>
  <c r="C86" i="5" a="1"/>
  <c r="C86" i="5" l="1"/>
  <c r="C81" i="4"/>
  <c r="C87" i="5" a="1"/>
  <c r="C82" i="4" a="1"/>
  <c r="C82" i="4" l="1"/>
  <c r="C87" i="5"/>
  <c r="C83" i="4" a="1"/>
  <c r="C88" i="5" a="1"/>
  <c r="C88" i="5" l="1"/>
  <c r="C83" i="4"/>
  <c r="C84" i="4" a="1"/>
  <c r="C89" i="5" a="1"/>
  <c r="C84" i="4" l="1"/>
  <c r="C89" i="5"/>
  <c r="C90" i="5" a="1"/>
  <c r="C85" i="4" a="1"/>
  <c r="C90" i="5" l="1"/>
  <c r="C85" i="4"/>
  <c r="C86" i="4" a="1"/>
  <c r="C91" i="5" a="1"/>
  <c r="C91" i="5" l="1"/>
  <c r="C86" i="4"/>
  <c r="C87" i="4" a="1"/>
  <c r="C92" i="5" a="1"/>
  <c r="C87" i="4" l="1"/>
  <c r="C92" i="5"/>
  <c r="C93" i="5" a="1"/>
  <c r="C88" i="4" a="1"/>
  <c r="C93" i="5" l="1"/>
  <c r="C88" i="4"/>
  <c r="C94" i="5" a="1"/>
  <c r="C89" i="4" a="1"/>
  <c r="C89" i="4" l="1"/>
  <c r="C94" i="5"/>
  <c r="C95" i="5" a="1"/>
  <c r="C90" i="4" a="1"/>
  <c r="C95" i="5" l="1"/>
  <c r="C90" i="4"/>
  <c r="C96" i="5" a="1"/>
  <c r="C91" i="4" a="1"/>
  <c r="C91" i="4" l="1"/>
  <c r="C96" i="5"/>
  <c r="C97" i="5" a="1"/>
  <c r="C92" i="4" a="1"/>
  <c r="C97" i="5" l="1"/>
  <c r="C92" i="4"/>
  <c r="C98" i="5" a="1"/>
  <c r="C93" i="4" a="1"/>
  <c r="C93" i="4" l="1"/>
  <c r="C98" i="5"/>
  <c r="C94" i="4" a="1"/>
  <c r="C99" i="5" a="1"/>
  <c r="C99" i="5" l="1"/>
  <c r="C94" i="4"/>
  <c r="C100" i="5" a="1"/>
  <c r="C95" i="4" a="1"/>
  <c r="C95" i="4" l="1"/>
  <c r="C100" i="5"/>
  <c r="C101" i="5" a="1"/>
  <c r="C96" i="4" a="1"/>
  <c r="C101" i="5" l="1"/>
  <c r="C96" i="4"/>
  <c r="C102" i="5" a="1"/>
  <c r="C97" i="4" a="1"/>
  <c r="C97" i="4" l="1"/>
  <c r="C102" i="5"/>
  <c r="C103" i="5" a="1"/>
  <c r="C98" i="4" a="1"/>
  <c r="C103" i="5" l="1"/>
  <c r="C98" i="4"/>
  <c r="C104" i="5" a="1"/>
  <c r="C99" i="4" a="1"/>
  <c r="C99" i="4" l="1"/>
  <c r="C104" i="5"/>
  <c r="C105" i="5" a="1"/>
  <c r="C100" i="4" a="1"/>
  <c r="C105" i="5" l="1"/>
  <c r="C100" i="4"/>
  <c r="C101" i="4" a="1"/>
  <c r="C106" i="5" a="1"/>
  <c r="C101" i="4" l="1"/>
  <c r="C106" i="5"/>
  <c r="C102" i="4" a="1"/>
  <c r="C107" i="5" a="1"/>
  <c r="C107" i="5" l="1"/>
  <c r="C102" i="4"/>
  <c r="C103" i="4" a="1"/>
  <c r="C108" i="5" a="1"/>
  <c r="C108" i="5" l="1"/>
  <c r="C103" i="4"/>
  <c r="C104" i="4" a="1"/>
  <c r="C109" i="5" a="1"/>
  <c r="C104" i="4" l="1"/>
  <c r="C109" i="5"/>
  <c r="C110" i="5" a="1"/>
  <c r="C105" i="4" a="1"/>
  <c r="C110" i="5" l="1"/>
  <c r="C105" i="4"/>
  <c r="C106" i="4" a="1"/>
  <c r="C111" i="5" a="1"/>
  <c r="C106" i="4" l="1"/>
  <c r="C111" i="5"/>
  <c r="C107" i="4" a="1"/>
  <c r="C112" i="5" a="1"/>
  <c r="C112" i="5" l="1"/>
  <c r="C107" i="4"/>
  <c r="C113" i="5" a="1"/>
  <c r="C108" i="4" a="1"/>
  <c r="C108" i="4" l="1"/>
  <c r="C113" i="5"/>
  <c r="C114" i="5" a="1"/>
  <c r="C109" i="4" a="1"/>
  <c r="C114" i="5" l="1"/>
  <c r="C109" i="4"/>
  <c r="C115" i="5" a="1"/>
  <c r="C110" i="4" a="1"/>
  <c r="C110" i="4" l="1"/>
  <c r="C115" i="5"/>
  <c r="C116" i="5" a="1"/>
  <c r="C111" i="4" a="1"/>
  <c r="C116" i="5" l="1"/>
  <c r="C111" i="4"/>
  <c r="C117" i="5" a="1"/>
  <c r="C112" i="4" a="1"/>
  <c r="C112" i="4" l="1"/>
  <c r="C117" i="5"/>
  <c r="C113" i="4" a="1"/>
  <c r="C118" i="5" a="1"/>
  <c r="C118" i="5" l="1"/>
  <c r="C113" i="4"/>
  <c r="C119" i="5" a="1"/>
  <c r="C114" i="4" a="1"/>
  <c r="C114" i="4" l="1"/>
  <c r="C119" i="5"/>
  <c r="C120" i="5" a="1"/>
  <c r="C115" i="4" a="1"/>
  <c r="C120" i="5" l="1"/>
  <c r="C115" i="4"/>
  <c r="C121" i="5" a="1"/>
  <c r="C116" i="4" a="1"/>
  <c r="C116" i="4" l="1"/>
  <c r="C121" i="5"/>
  <c r="C122" i="5" a="1"/>
  <c r="C117" i="4" a="1"/>
  <c r="C122" i="5" l="1"/>
  <c r="C117" i="4"/>
  <c r="C123" i="5" a="1"/>
  <c r="C118" i="4" a="1"/>
  <c r="C118" i="4" l="1"/>
  <c r="C123" i="5"/>
  <c r="C124" i="5" a="1"/>
  <c r="C119" i="4" a="1"/>
  <c r="C124" i="5" l="1"/>
  <c r="C119" i="4"/>
  <c r="C125" i="5" a="1"/>
  <c r="C120" i="4" a="1"/>
  <c r="C120" i="4" l="1"/>
  <c r="C125" i="5"/>
  <c r="C121" i="4" a="1"/>
  <c r="C126" i="5" a="1"/>
  <c r="C126" i="5" l="1"/>
  <c r="C121" i="4"/>
  <c r="C127" i="5" a="1"/>
  <c r="C122" i="4" a="1"/>
  <c r="C122" i="4" l="1"/>
  <c r="C127" i="5"/>
  <c r="C128" i="5" a="1"/>
  <c r="C123" i="4" a="1"/>
  <c r="C128" i="5" l="1"/>
  <c r="C123" i="4"/>
  <c r="C129" i="5" a="1"/>
  <c r="C124" i="4" a="1"/>
  <c r="C124" i="4" l="1"/>
  <c r="C129" i="5"/>
  <c r="C125" i="4" a="1"/>
  <c r="C130" i="5" a="1"/>
  <c r="C130" i="5" l="1"/>
  <c r="C125" i="4"/>
  <c r="C131" i="5" a="1"/>
  <c r="C126" i="4" a="1"/>
  <c r="C126" i="4" l="1"/>
  <c r="C131" i="5"/>
  <c r="C127" i="4" a="1"/>
  <c r="C132" i="5" a="1"/>
  <c r="C132" i="5" l="1"/>
  <c r="C127" i="4"/>
  <c r="C133" i="5" a="1"/>
  <c r="C128" i="4" a="1"/>
  <c r="C128" i="4" l="1"/>
  <c r="C133" i="5"/>
  <c r="C129" i="4" a="1"/>
  <c r="C134" i="5" a="1"/>
  <c r="C134" i="5" l="1"/>
  <c r="C129" i="4"/>
  <c r="C135" i="5" a="1"/>
  <c r="C130" i="4" a="1"/>
  <c r="C130" i="4" l="1"/>
  <c r="C135" i="5"/>
  <c r="C136" i="5" a="1"/>
  <c r="C131" i="4" a="1"/>
  <c r="C136" i="5" l="1"/>
  <c r="C131" i="4"/>
  <c r="C137" i="5" a="1"/>
  <c r="C132" i="4" a="1"/>
  <c r="C132" i="4" l="1"/>
  <c r="C137" i="5"/>
  <c r="C138" i="5" a="1"/>
  <c r="C133" i="4" a="1"/>
  <c r="C138" i="5" l="1"/>
  <c r="C133" i="4"/>
  <c r="C139" i="5" a="1"/>
  <c r="C134" i="4" a="1"/>
  <c r="C134" i="4" l="1"/>
  <c r="C139" i="5"/>
  <c r="C140" i="5" a="1"/>
  <c r="C135" i="4" a="1"/>
  <c r="C140" i="5" l="1"/>
  <c r="C135" i="4"/>
  <c r="C136" i="4" a="1"/>
  <c r="C141" i="5" a="1"/>
  <c r="C136" i="4" l="1"/>
  <c r="C141" i="5"/>
  <c r="C142" i="5" a="1"/>
  <c r="C137" i="4" a="1"/>
  <c r="C142" i="5" l="1"/>
  <c r="C137" i="4"/>
  <c r="C138" i="4" a="1"/>
  <c r="C143" i="5" a="1"/>
  <c r="C138" i="4" l="1"/>
  <c r="C143" i="5"/>
  <c r="C139" i="4" a="1"/>
  <c r="C144" i="5" a="1"/>
  <c r="C144" i="5" l="1"/>
  <c r="C139" i="4"/>
  <c r="C140" i="4" a="1"/>
  <c r="C145" i="5" a="1"/>
  <c r="C140" i="4" l="1"/>
  <c r="C145" i="5"/>
  <c r="C141" i="4" a="1"/>
  <c r="C146" i="5" a="1"/>
  <c r="C146" i="5" l="1"/>
  <c r="C141" i="4"/>
  <c r="C147" i="5" a="1"/>
  <c r="C142" i="4" a="1"/>
  <c r="C142" i="4" l="1"/>
  <c r="C147" i="5"/>
  <c r="C143" i="4" a="1"/>
  <c r="C148" i="5" a="1"/>
  <c r="C148" i="5" l="1"/>
  <c r="C143" i="4"/>
  <c r="C144" i="4" a="1"/>
  <c r="C149" i="5" a="1"/>
  <c r="C144" i="4" l="1"/>
  <c r="C149" i="5"/>
  <c r="C150" i="5" a="1"/>
  <c r="C145" i="4" a="1"/>
  <c r="C145" i="4" l="1"/>
  <c r="C150" i="5"/>
  <c r="C146" i="4" a="1"/>
  <c r="C151" i="5" a="1"/>
  <c r="C151" i="5" l="1"/>
  <c r="C146" i="4"/>
  <c r="C152" i="5" a="1"/>
  <c r="C147" i="4" a="1"/>
  <c r="C147" i="4" l="1"/>
  <c r="C152" i="5"/>
  <c r="C148" i="4" a="1"/>
  <c r="C153" i="5" a="1"/>
  <c r="C153" i="5" l="1"/>
  <c r="C148" i="4"/>
  <c r="C149" i="4" a="1"/>
  <c r="C154" i="5" a="1"/>
  <c r="C149" i="4" l="1"/>
  <c r="C154" i="5"/>
  <c r="C155" i="5" a="1"/>
  <c r="C150" i="4" a="1"/>
  <c r="C155" i="5" l="1"/>
  <c r="C150" i="4"/>
  <c r="C156" i="5" a="1"/>
  <c r="C151" i="4" a="1"/>
  <c r="C151" i="4" l="1"/>
  <c r="C156" i="5"/>
  <c r="C152" i="4" a="1"/>
  <c r="C157" i="5" a="1"/>
  <c r="C157" i="5" l="1"/>
  <c r="C152" i="4"/>
  <c r="C153" i="4" a="1"/>
  <c r="C158" i="5" a="1"/>
  <c r="C153" i="4" l="1"/>
  <c r="C158" i="5"/>
  <c r="C159" i="5" a="1"/>
  <c r="C154" i="4" a="1"/>
  <c r="C159" i="5" l="1"/>
  <c r="C154" i="4"/>
  <c r="C155" i="4" a="1"/>
  <c r="C160" i="5" a="1"/>
  <c r="C155" i="4" l="1"/>
  <c r="C160" i="5"/>
  <c r="C156" i="4" a="1"/>
  <c r="C161" i="5" a="1"/>
  <c r="C161" i="5" l="1"/>
  <c r="C156" i="4"/>
  <c r="C157" i="4" a="1"/>
  <c r="C162" i="5" a="1"/>
  <c r="C157" i="4" l="1"/>
  <c r="C162" i="5"/>
  <c r="C163" i="5" a="1"/>
  <c r="C158" i="4" a="1"/>
  <c r="C163" i="5" l="1"/>
  <c r="C158" i="4"/>
  <c r="C159" i="4" a="1"/>
  <c r="C164" i="5" a="1"/>
  <c r="C159" i="4" l="1"/>
  <c r="C164" i="5"/>
  <c r="C165" i="5" a="1"/>
  <c r="C160" i="4" a="1"/>
  <c r="C165" i="5" l="1"/>
  <c r="C160" i="4"/>
  <c r="C166" i="5" a="1"/>
  <c r="C161" i="4" a="1"/>
  <c r="C161" i="4" l="1"/>
  <c r="C166" i="5"/>
  <c r="C167" i="5" a="1"/>
  <c r="C162" i="4" a="1"/>
  <c r="C167" i="5" l="1"/>
  <c r="C162" i="4"/>
  <c r="C168" i="5" a="1"/>
  <c r="C163" i="4" a="1"/>
  <c r="C163" i="4" l="1"/>
  <c r="C168" i="5"/>
  <c r="C169" i="5" a="1"/>
  <c r="C164" i="4" a="1"/>
  <c r="C169" i="5" l="1"/>
  <c r="C164" i="4"/>
  <c r="C165" i="4" a="1"/>
  <c r="C170" i="5" a="1"/>
  <c r="C165" i="4" l="1"/>
  <c r="C170" i="5"/>
  <c r="C171" i="5" a="1"/>
  <c r="C166" i="4" a="1"/>
  <c r="C171" i="5" l="1"/>
  <c r="C166" i="4"/>
  <c r="C167" i="4" a="1"/>
  <c r="C172" i="5" a="1"/>
  <c r="C167" i="4" l="1"/>
  <c r="C172" i="5"/>
  <c r="C173" i="5" a="1"/>
  <c r="C168" i="4" a="1"/>
  <c r="C173" i="5" l="1"/>
  <c r="C168" i="4"/>
  <c r="C174" i="5" a="1"/>
  <c r="C169" i="4" a="1"/>
  <c r="C174" i="5" l="1"/>
  <c r="C169" i="4"/>
  <c r="C170" i="4" a="1"/>
  <c r="C175" i="5" a="1"/>
  <c r="C170" i="4" l="1"/>
  <c r="C175" i="5"/>
  <c r="C171" i="4" a="1"/>
  <c r="C176" i="5" a="1"/>
  <c r="C176" i="5" l="1"/>
  <c r="C171" i="4"/>
  <c r="C172" i="4" a="1"/>
  <c r="C177" i="5" a="1"/>
  <c r="C172" i="4" l="1"/>
  <c r="C177" i="5"/>
  <c r="C178" i="5" a="1"/>
  <c r="C173" i="4" a="1"/>
  <c r="C178" i="5" l="1"/>
  <c r="C173" i="4"/>
  <c r="C174" i="4" a="1"/>
  <c r="C179" i="5" a="1"/>
  <c r="C174" i="4" l="1"/>
  <c r="C179" i="5"/>
  <c r="C180" i="5" a="1"/>
  <c r="C175" i="4" a="1"/>
  <c r="C180" i="5" l="1"/>
  <c r="C175" i="4"/>
  <c r="C176" i="4" a="1"/>
  <c r="C181" i="5" a="1"/>
  <c r="C176" i="4" l="1"/>
  <c r="C181" i="5"/>
  <c r="C182" i="5" a="1"/>
  <c r="C177" i="4" a="1"/>
  <c r="C182" i="5" l="1"/>
  <c r="C177" i="4"/>
  <c r="C183" i="5" a="1"/>
  <c r="C178" i="4" a="1"/>
  <c r="C178" i="4" l="1"/>
  <c r="C183" i="5"/>
  <c r="C184" i="5" a="1"/>
  <c r="C179" i="4" a="1"/>
  <c r="C184" i="5" l="1"/>
  <c r="C179" i="4"/>
  <c r="C180" i="4" a="1"/>
  <c r="C185" i="5" a="1"/>
  <c r="C180" i="4" l="1"/>
  <c r="C185" i="5"/>
  <c r="C186" i="5" a="1"/>
  <c r="C181" i="4" a="1"/>
  <c r="C186" i="5" l="1"/>
  <c r="C181" i="4"/>
  <c r="C182" i="4" a="1"/>
  <c r="C187" i="5" a="1"/>
  <c r="C182" i="4" l="1"/>
  <c r="C187" i="5"/>
  <c r="C188" i="5" a="1"/>
  <c r="C183" i="4" a="1"/>
  <c r="C188" i="5" l="1"/>
  <c r="C183" i="4"/>
  <c r="C189" i="5" a="1"/>
  <c r="C184" i="4" a="1"/>
  <c r="C184" i="4" l="1"/>
  <c r="C189" i="5"/>
  <c r="C190" i="5" a="1"/>
  <c r="C185" i="4" a="1"/>
  <c r="C190" i="5" l="1"/>
  <c r="C185" i="4"/>
  <c r="C191" i="5" a="1"/>
  <c r="C186" i="4" a="1"/>
  <c r="C186" i="4" l="1"/>
  <c r="C191" i="5"/>
  <c r="C187" i="4" a="1"/>
  <c r="C192" i="5" a="1"/>
  <c r="C192" i="5" l="1"/>
  <c r="C187" i="4"/>
  <c r="C193" i="5" a="1"/>
  <c r="C188" i="4" a="1"/>
  <c r="C188" i="4" l="1"/>
  <c r="C193" i="5"/>
  <c r="C194" i="5" a="1"/>
  <c r="C189" i="4" a="1"/>
  <c r="C194" i="5" l="1"/>
  <c r="C189" i="4"/>
  <c r="C190" i="4" a="1"/>
  <c r="C195" i="5" a="1"/>
  <c r="C190" i="4" l="1"/>
  <c r="C195" i="5"/>
  <c r="C196" i="5" a="1"/>
  <c r="C191" i="4" a="1"/>
  <c r="C196" i="5" l="1"/>
  <c r="C191" i="4"/>
  <c r="C192" i="4" a="1"/>
  <c r="C197" i="5" a="1"/>
  <c r="C192" i="4" l="1"/>
  <c r="C197" i="5"/>
  <c r="C193" i="4" a="1"/>
  <c r="C198" i="5" a="1"/>
  <c r="C198" i="5" l="1"/>
  <c r="C193" i="4"/>
  <c r="C199" i="5" a="1"/>
  <c r="C194" i="4" a="1"/>
  <c r="C194" i="4" l="1"/>
  <c r="C199" i="5"/>
  <c r="C195" i="4" a="1"/>
  <c r="C200" i="5" a="1"/>
  <c r="C200" i="5" l="1"/>
  <c r="C195" i="4"/>
  <c r="C196" i="4" a="1"/>
  <c r="C196" i="4" l="1"/>
  <c r="C197" i="4" a="1"/>
  <c r="C197" i="4" l="1"/>
  <c r="C198" i="4" a="1"/>
  <c r="C198" i="4" l="1"/>
  <c r="C199" i="4" a="1"/>
  <c r="C199" i="4" l="1"/>
  <c r="C200" i="4" a="1"/>
  <c r="C200" i="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<sst xmlns="http://schemas.openxmlformats.org/spreadsheetml/2006/main" count="1294" uniqueCount="448">
  <si>
    <t>年代</t>
  </si>
  <si>
    <t>性別</t>
  </si>
  <si>
    <t>居住地</t>
  </si>
  <si>
    <t>職業</t>
  </si>
  <si>
    <t>濃厚接触者</t>
  </si>
  <si>
    <t>現在の状況</t>
  </si>
  <si>
    <t>症状</t>
  </si>
  <si>
    <t xml:space="preserve"> No.</t>
  </si>
  <si>
    <t>発症前２週間
以内の行動歴</t>
    <phoneticPr fontId="1"/>
  </si>
  <si>
    <t>過去事例
との関連</t>
    <phoneticPr fontId="1"/>
  </si>
  <si>
    <t>市？</t>
    <rPh sb="0" eb="1">
      <t>シ</t>
    </rPh>
    <phoneticPr fontId="1"/>
  </si>
  <si>
    <t xml:space="preserve"> 年代
性別</t>
    <phoneticPr fontId="1"/>
  </si>
  <si>
    <t>濃厚接触者
（現時点判明）</t>
    <phoneticPr fontId="1"/>
  </si>
  <si>
    <t>過去事例
との関連</t>
    <phoneticPr fontId="1"/>
  </si>
  <si>
    <t>事例
市
（県）</t>
    <phoneticPr fontId="1"/>
  </si>
  <si>
    <t>行動歴
（発症前
２週間～）</t>
    <phoneticPr fontId="1"/>
  </si>
  <si>
    <t>No.</t>
    <phoneticPr fontId="1"/>
  </si>
  <si>
    <t>年代</t>
    <rPh sb="0" eb="2">
      <t>ネンダイ</t>
    </rPh>
    <phoneticPr fontId="1"/>
  </si>
  <si>
    <t>性別</t>
    <rPh sb="0" eb="2">
      <t>セイベツ</t>
    </rPh>
    <phoneticPr fontId="1"/>
  </si>
  <si>
    <t>居住地</t>
    <rPh sb="0" eb="3">
      <t>キョジュウチ</t>
    </rPh>
    <phoneticPr fontId="1"/>
  </si>
  <si>
    <t>関連</t>
    <rPh sb="0" eb="2">
      <t>カンレン</t>
    </rPh>
    <phoneticPr fontId="1"/>
  </si>
  <si>
    <t>関数コピー済み</t>
    <rPh sb="0" eb="2">
      <t>カンスウ</t>
    </rPh>
    <rPh sb="5" eb="6">
      <t>ズ</t>
    </rPh>
    <phoneticPr fontId="1"/>
  </si>
  <si>
    <t>日付</t>
    <rPh sb="0" eb="2">
      <t>ヒヅケ</t>
    </rPh>
    <phoneticPr fontId="1"/>
  </si>
  <si>
    <t>日付</t>
    <rPh sb="0" eb="2">
      <t>ヒヅケ</t>
    </rPh>
    <phoneticPr fontId="1"/>
  </si>
  <si>
    <t>関連
（対象No）</t>
    <rPh sb="0" eb="2">
      <t>カンレン</t>
    </rPh>
    <rPh sb="4" eb="6">
      <t>タイショウ</t>
    </rPh>
    <phoneticPr fontId="1"/>
  </si>
  <si>
    <t>関連
（関係）</t>
    <rPh sb="0" eb="2">
      <t>カンレン</t>
    </rPh>
    <rPh sb="4" eb="6">
      <t>カンケイ</t>
    </rPh>
    <phoneticPr fontId="1"/>
  </si>
  <si>
    <t>対象No</t>
    <rPh sb="0" eb="2">
      <t>タイショウ</t>
    </rPh>
    <phoneticPr fontId="1"/>
  </si>
  <si>
    <t>関係</t>
    <rPh sb="0" eb="2">
      <t>カンケイ</t>
    </rPh>
    <phoneticPr fontId="1"/>
  </si>
  <si>
    <t>base
index</t>
    <phoneticPr fontId="1"/>
  </si>
  <si>
    <t>関連
index</t>
    <rPh sb="0" eb="2">
      <t>カンレン</t>
    </rPh>
    <phoneticPr fontId="1"/>
  </si>
  <si>
    <t>ベース</t>
    <phoneticPr fontId="1"/>
  </si>
  <si>
    <t>関連</t>
    <rPh sb="0" eb="2">
      <t>カンレン</t>
    </rPh>
    <phoneticPr fontId="1"/>
  </si>
  <si>
    <t>テンプレ</t>
    <phoneticPr fontId="1"/>
  </si>
  <si>
    <t>ルール</t>
    <phoneticPr fontId="1"/>
  </si>
  <si>
    <t>%id%</t>
    <phoneticPr fontId="1"/>
  </si>
  <si>
    <t>%date%</t>
    <phoneticPr fontId="1"/>
  </si>
  <si>
    <t>%city%</t>
    <phoneticPr fontId="1"/>
  </si>
  <si>
    <t>%age%</t>
    <phoneticPr fontId="1"/>
  </si>
  <si>
    <t>%sex_j%</t>
    <phoneticPr fontId="1"/>
  </si>
  <si>
    <t>%sex_e%</t>
    <phoneticPr fontId="1"/>
  </si>
  <si>
    <t>性別（英語）</t>
    <rPh sb="0" eb="2">
      <t>セイベツ</t>
    </rPh>
    <rPh sb="3" eb="5">
      <t>エイゴ</t>
    </rPh>
    <phoneticPr fontId="1"/>
  </si>
  <si>
    <t>最初</t>
    <rPh sb="0" eb="2">
      <t>サイショ</t>
    </rPh>
    <phoneticPr fontId="1"/>
  </si>
  <si>
    <t>%label%</t>
    <phoneticPr fontId="1"/>
  </si>
  <si>
    <t>%id_t%</t>
    <phoneticPr fontId="1"/>
  </si>
  <si>
    <t>%id_s%</t>
    <phoneticPr fontId="1"/>
  </si>
  <si>
    <t xml:space="preserve">    {
        "data": {
            "source": "%id_s%",
            "target": "%id_t%",
            "label": "%label%"
        }
    }</t>
    <phoneticPr fontId="1"/>
  </si>
  <si>
    <t>新庄市</t>
  </si>
  <si>
    <t>オリジナル
No.(市:○)</t>
    <rPh sb="10" eb="11">
      <t>シ</t>
    </rPh>
    <phoneticPr fontId="1"/>
  </si>
  <si>
    <t>関連
（対象県No）</t>
    <rPh sb="0" eb="2">
      <t>カンレン</t>
    </rPh>
    <rPh sb="4" eb="6">
      <t>タイショウ</t>
    </rPh>
    <rPh sb="6" eb="7">
      <t>ケン</t>
    </rPh>
    <phoneticPr fontId="1"/>
  </si>
  <si>
    <t>山形市</t>
    <phoneticPr fontId="1"/>
  </si>
  <si>
    <t>-</t>
    <phoneticPr fontId="1"/>
  </si>
  <si>
    <t>県</t>
    <rPh sb="0" eb="1">
      <t>ケン</t>
    </rPh>
    <phoneticPr fontId="1"/>
  </si>
  <si>
    <t>市</t>
    <rPh sb="0" eb="1">
      <t>シ</t>
    </rPh>
    <phoneticPr fontId="1"/>
  </si>
  <si>
    <t>2/2公表の幼稚園関連</t>
    <phoneticPr fontId="1"/>
  </si>
  <si>
    <t>2/4公表の集団感染関連</t>
    <phoneticPr fontId="1"/>
  </si>
  <si>
    <t>2/5公表の集団感染関連</t>
    <phoneticPr fontId="1"/>
  </si>
  <si>
    <t>2022/02/08公表の保育園関連</t>
    <phoneticPr fontId="1"/>
  </si>
  <si>
    <t>2022/02/08公表の小学校関連</t>
    <phoneticPr fontId="1"/>
  </si>
  <si>
    <t>2/5県公表①集団感染関連</t>
  </si>
  <si>
    <t>2/10の集団感染関連</t>
    <phoneticPr fontId="1"/>
  </si>
  <si>
    <t>8239関連</t>
    <rPh sb="4" eb="6">
      <t>カンレン</t>
    </rPh>
    <phoneticPr fontId="1"/>
  </si>
  <si>
    <t>2/8県公表②集団感染関連</t>
  </si>
  <si>
    <t>2/9県公表③集団感染関連</t>
  </si>
  <si>
    <t>7077関連</t>
    <phoneticPr fontId="1"/>
  </si>
  <si>
    <t>7120関連</t>
    <phoneticPr fontId="1"/>
  </si>
  <si>
    <t>7715小学校関連</t>
    <phoneticPr fontId="1"/>
  </si>
  <si>
    <t>7712保育園関連</t>
    <phoneticPr fontId="1"/>
  </si>
  <si>
    <t>6867幼稚園関連</t>
    <phoneticPr fontId="1"/>
  </si>
  <si>
    <t>2/8県公表①集団感染関連</t>
    <phoneticPr fontId="1"/>
  </si>
  <si>
    <t>7813関連</t>
    <phoneticPr fontId="1"/>
  </si>
  <si>
    <t>7909関連</t>
    <phoneticPr fontId="1"/>
  </si>
  <si>
    <t>8083関連</t>
    <phoneticPr fontId="1"/>
  </si>
  <si>
    <t>8106関連</t>
    <phoneticPr fontId="1"/>
  </si>
  <si>
    <t>2/11県公表①集団感染関連</t>
  </si>
  <si>
    <t>2/11県公表③集団感染関連</t>
  </si>
  <si>
    <t>8542関連</t>
    <phoneticPr fontId="1"/>
  </si>
  <si>
    <t>8568関連</t>
    <phoneticPr fontId="1"/>
  </si>
  <si>
    <t>2/2公表の保育施設関連</t>
    <phoneticPr fontId="1"/>
  </si>
  <si>
    <t>2463保育施設関連</t>
    <phoneticPr fontId="1"/>
  </si>
  <si>
    <t>2/10県公表②集団感染関連</t>
  </si>
  <si>
    <t>8674関連</t>
    <phoneticPr fontId="1"/>
  </si>
  <si>
    <t>2/14県公表①集団感染関連</t>
  </si>
  <si>
    <t>2/14県公表②集団感染関連</t>
  </si>
  <si>
    <t>8923関連</t>
    <phoneticPr fontId="1"/>
  </si>
  <si>
    <t>9039関連</t>
    <phoneticPr fontId="1"/>
  </si>
  <si>
    <t>2022/02/15公表の集団感染関連</t>
    <phoneticPr fontId="1"/>
  </si>
  <si>
    <t>9067関連</t>
    <phoneticPr fontId="1"/>
  </si>
  <si>
    <t>2/16県公表①集団感染関連</t>
  </si>
  <si>
    <t>2/16県公表④集団感染関連</t>
  </si>
  <si>
    <t>2/16県公表③集団感染関連</t>
  </si>
  <si>
    <t>2/16県公表②集団感染関連</t>
  </si>
  <si>
    <t>9481関連</t>
    <phoneticPr fontId="1"/>
  </si>
  <si>
    <t>9490関連</t>
    <phoneticPr fontId="1"/>
  </si>
  <si>
    <t>9510関連</t>
    <phoneticPr fontId="1"/>
  </si>
  <si>
    <t>9514関連</t>
    <phoneticPr fontId="1"/>
  </si>
  <si>
    <t>2/17県公表③集団感染関連</t>
  </si>
  <si>
    <t>2/17県公表①集団感染関連</t>
  </si>
  <si>
    <t>2/17県公表②集団感染関連</t>
  </si>
  <si>
    <t>2/17県公表⑤集団感染関連</t>
  </si>
  <si>
    <t>2/18県公表②集団感染関連</t>
  </si>
  <si>
    <t>9682関連</t>
    <phoneticPr fontId="1"/>
  </si>
  <si>
    <t>9854関連</t>
    <phoneticPr fontId="1"/>
  </si>
  <si>
    <t>9887関連</t>
    <phoneticPr fontId="1"/>
  </si>
  <si>
    <t>9935関連</t>
    <phoneticPr fontId="1"/>
  </si>
  <si>
    <t>9970関連</t>
    <phoneticPr fontId="1"/>
  </si>
  <si>
    <t>10193関連</t>
    <phoneticPr fontId="1"/>
  </si>
  <si>
    <t>2022/2/20公表の集団感染関連</t>
    <phoneticPr fontId="1"/>
  </si>
  <si>
    <t>2/19県公表①集団感染関連</t>
  </si>
  <si>
    <t>2/19県公表②集団感染関連</t>
  </si>
  <si>
    <t>2/19県公表③集団感染関連</t>
  </si>
  <si>
    <t>10033関連</t>
    <phoneticPr fontId="1"/>
  </si>
  <si>
    <t>10086関連</t>
    <phoneticPr fontId="1"/>
  </si>
  <si>
    <t>10272関連</t>
    <phoneticPr fontId="1"/>
  </si>
  <si>
    <t>2022/2/22公表の医療機関関連</t>
    <phoneticPr fontId="1"/>
  </si>
  <si>
    <t>10499医療機関関連</t>
    <phoneticPr fontId="1"/>
  </si>
  <si>
    <t>2/21県公表①集団感染関連</t>
  </si>
  <si>
    <t>10441関連</t>
    <phoneticPr fontId="1"/>
  </si>
  <si>
    <t>2/22県公表①集団感染関連</t>
  </si>
  <si>
    <t>10899関連</t>
    <phoneticPr fontId="1"/>
  </si>
  <si>
    <t>2022/02/24公表の保育施設関連</t>
    <phoneticPr fontId="1"/>
  </si>
  <si>
    <t>2022/02/24公表の刑事施設関連</t>
    <phoneticPr fontId="1"/>
  </si>
  <si>
    <t>2022/02/24公表の介護施設関連</t>
    <phoneticPr fontId="1"/>
  </si>
  <si>
    <t>10912保育施設関連</t>
    <phoneticPr fontId="1"/>
  </si>
  <si>
    <t>10914刑事施設関連</t>
    <phoneticPr fontId="1"/>
  </si>
  <si>
    <t>10916介護施設関連</t>
    <phoneticPr fontId="1"/>
  </si>
  <si>
    <t>2/24県公表①集団感染関連</t>
  </si>
  <si>
    <t>11022関連</t>
    <phoneticPr fontId="1"/>
  </si>
  <si>
    <t>2/23県公表①集団感染関連</t>
  </si>
  <si>
    <t>2/25県公表②集団感染関連</t>
  </si>
  <si>
    <t>2/25県公表③集団感染関連</t>
  </si>
  <si>
    <t>11103関連</t>
    <phoneticPr fontId="1"/>
  </si>
  <si>
    <t>11179関連</t>
    <phoneticPr fontId="1"/>
  </si>
  <si>
    <t>11208関連</t>
    <phoneticPr fontId="1"/>
  </si>
  <si>
    <t>2/25県公表①の集団感染関連</t>
  </si>
  <si>
    <t>2022/02/26公表の事業所関連</t>
    <phoneticPr fontId="1"/>
  </si>
  <si>
    <t>11263事業所関連</t>
    <phoneticPr fontId="1"/>
  </si>
  <si>
    <t>2022/02/26公表の高等学校関連</t>
    <phoneticPr fontId="1"/>
  </si>
  <si>
    <t>11278高等学校関連</t>
    <phoneticPr fontId="1"/>
  </si>
  <si>
    <t>11289関連</t>
    <phoneticPr fontId="1"/>
  </si>
  <si>
    <t>2/26県公表①集団感染関連</t>
  </si>
  <si>
    <t>2/25県公表④集団感染関連</t>
  </si>
  <si>
    <t>2/27県公表③集団感染関連</t>
  </si>
  <si>
    <t>11386関連</t>
    <phoneticPr fontId="1"/>
  </si>
  <si>
    <t>11428関連</t>
    <phoneticPr fontId="1"/>
  </si>
  <si>
    <t>11595関連</t>
    <phoneticPr fontId="1"/>
  </si>
  <si>
    <t>2022/02/28公表の集団感染関連</t>
    <phoneticPr fontId="1"/>
  </si>
  <si>
    <t>11617関連</t>
    <phoneticPr fontId="1"/>
  </si>
  <si>
    <t>2/28公表の小学校関連</t>
    <phoneticPr fontId="1"/>
  </si>
  <si>
    <t>11793小学校関連</t>
    <phoneticPr fontId="1"/>
  </si>
  <si>
    <t>3/1県公表①集団感染関連</t>
  </si>
  <si>
    <t>11875関連</t>
    <phoneticPr fontId="1"/>
  </si>
  <si>
    <t>3/2県公表①集団感染関連</t>
  </si>
  <si>
    <t>2/27県公表④集団感染関連</t>
  </si>
  <si>
    <t>12176関連</t>
    <phoneticPr fontId="1"/>
  </si>
  <si>
    <t>12177関連</t>
    <phoneticPr fontId="1"/>
  </si>
  <si>
    <t>3/3県公表①集団感染関連</t>
  </si>
  <si>
    <t>3/4県公表①集団感染関連</t>
  </si>
  <si>
    <t>3/4県公表②集団感染関連</t>
  </si>
  <si>
    <t>12393関連</t>
    <phoneticPr fontId="1"/>
  </si>
  <si>
    <t>12483関連</t>
    <phoneticPr fontId="1"/>
  </si>
  <si>
    <t>12539関連</t>
    <phoneticPr fontId="1"/>
  </si>
  <si>
    <t>2022/03/05公表の集団感染関連</t>
    <phoneticPr fontId="1"/>
  </si>
  <si>
    <t>12639関連</t>
    <phoneticPr fontId="1"/>
  </si>
  <si>
    <t>3/5県公表①集団感染関連</t>
  </si>
  <si>
    <t>3/4県公表③集団感染関連</t>
  </si>
  <si>
    <t>12699関連</t>
    <phoneticPr fontId="1"/>
  </si>
  <si>
    <t>12757関連</t>
    <phoneticPr fontId="1"/>
  </si>
  <si>
    <t>3/6県公表①集団感染関連</t>
  </si>
  <si>
    <t>12918関連</t>
    <phoneticPr fontId="1"/>
  </si>
  <si>
    <t>12963高等学校関連</t>
    <phoneticPr fontId="1"/>
  </si>
  <si>
    <t>12965保育施設関連</t>
    <phoneticPr fontId="1"/>
  </si>
  <si>
    <t>2022/03/07公表の高等学校関連</t>
    <phoneticPr fontId="1"/>
  </si>
  <si>
    <t>2022/03/07公表の保育施設関連</t>
    <phoneticPr fontId="1"/>
  </si>
  <si>
    <t>3/7山形市公表①集団感染関連</t>
    <phoneticPr fontId="1"/>
  </si>
  <si>
    <t>13132関連</t>
    <phoneticPr fontId="1"/>
  </si>
  <si>
    <t>3/7県公表②集団感染関連</t>
    <phoneticPr fontId="1"/>
  </si>
  <si>
    <t>13166関連</t>
    <phoneticPr fontId="1"/>
  </si>
  <si>
    <t>3/8県公表①集団感染関連</t>
  </si>
  <si>
    <t>3/7県公表①集団感染関連</t>
  </si>
  <si>
    <t>13257関連</t>
    <phoneticPr fontId="1"/>
  </si>
  <si>
    <t>13347関連</t>
    <phoneticPr fontId="1"/>
  </si>
  <si>
    <t>2022/03/09公表の小学校関連</t>
    <phoneticPr fontId="1"/>
  </si>
  <si>
    <t>13467小学校関連</t>
    <phoneticPr fontId="1"/>
  </si>
  <si>
    <t>13479保育施設関連</t>
    <phoneticPr fontId="1"/>
  </si>
  <si>
    <t>2022/03/09公表の保育施設関連</t>
    <phoneticPr fontId="1"/>
  </si>
  <si>
    <t>3/9県公表①集団感染関連</t>
  </si>
  <si>
    <t>3/9県公表②集団感染関連</t>
  </si>
  <si>
    <t>3/9県公表③集団感染関連</t>
  </si>
  <si>
    <t>13591関連</t>
    <phoneticPr fontId="1"/>
  </si>
  <si>
    <t>13639関連</t>
    <phoneticPr fontId="1"/>
  </si>
  <si>
    <t>13675関連</t>
    <phoneticPr fontId="1"/>
  </si>
  <si>
    <t>3/11県公表①集団感染関連</t>
  </si>
  <si>
    <t>3/11県公表②集団感染関連</t>
  </si>
  <si>
    <t>14074関連</t>
    <phoneticPr fontId="1"/>
  </si>
  <si>
    <t>14080関連</t>
    <phoneticPr fontId="1"/>
  </si>
  <si>
    <t>2022/03/12公表の高等学校関連</t>
    <phoneticPr fontId="1"/>
  </si>
  <si>
    <t>14176高等学校関連</t>
    <phoneticPr fontId="1"/>
  </si>
  <si>
    <t>2022/03/12公表の事業所関連</t>
    <phoneticPr fontId="1"/>
  </si>
  <si>
    <t>14180事業所関連</t>
    <phoneticPr fontId="1"/>
  </si>
  <si>
    <t>2022/03/12公表の刑事施設関連</t>
    <phoneticPr fontId="1"/>
  </si>
  <si>
    <t>14236刑事施設関連</t>
    <phoneticPr fontId="1"/>
  </si>
  <si>
    <t>3/12県公表①集団感染関連</t>
  </si>
  <si>
    <t>3/12山形市公表③集団感染関連</t>
    <phoneticPr fontId="1"/>
  </si>
  <si>
    <t>14298関連</t>
    <phoneticPr fontId="1"/>
  </si>
  <si>
    <t>14307関連</t>
    <phoneticPr fontId="1"/>
  </si>
  <si>
    <t>2022/03/14公表の集団感染関連</t>
    <phoneticPr fontId="1"/>
  </si>
  <si>
    <t>14643関連</t>
    <phoneticPr fontId="1"/>
  </si>
  <si>
    <t>3/13県公表②集団感染関連</t>
    <phoneticPr fontId="1"/>
  </si>
  <si>
    <t>14781関連</t>
    <phoneticPr fontId="1"/>
  </si>
  <si>
    <t>2022/03/15公表の集団感染関連</t>
    <phoneticPr fontId="1"/>
  </si>
  <si>
    <t>14873関連</t>
    <phoneticPr fontId="1"/>
  </si>
  <si>
    <t>3/13県公表①集団感染関連</t>
    <phoneticPr fontId="1"/>
  </si>
  <si>
    <t>14965関連</t>
    <phoneticPr fontId="1"/>
  </si>
  <si>
    <t>3/15県公表③集団感染関連</t>
    <phoneticPr fontId="1"/>
  </si>
  <si>
    <t>15029関連</t>
    <phoneticPr fontId="1"/>
  </si>
  <si>
    <t>集団感染（173番）関連</t>
  </si>
  <si>
    <t>集団感染（180番）関連</t>
  </si>
  <si>
    <t>集団感染（187番）関連</t>
  </si>
  <si>
    <t>15182関連</t>
    <phoneticPr fontId="1"/>
  </si>
  <si>
    <t>集団感染（184番）関連</t>
    <phoneticPr fontId="1"/>
  </si>
  <si>
    <t>15203関連</t>
    <phoneticPr fontId="1"/>
  </si>
  <si>
    <t>15211関連</t>
    <phoneticPr fontId="1"/>
  </si>
  <si>
    <t>15224関連</t>
    <phoneticPr fontId="1"/>
  </si>
  <si>
    <t>集団感染（188番）関連</t>
    <phoneticPr fontId="1"/>
  </si>
  <si>
    <t>15475関連</t>
    <phoneticPr fontId="1"/>
  </si>
  <si>
    <t>集団感染（195番）関連</t>
  </si>
  <si>
    <t>集団感染（194番）関連</t>
    <phoneticPr fontId="1"/>
  </si>
  <si>
    <t>15532関連</t>
    <phoneticPr fontId="1"/>
  </si>
  <si>
    <t>集団感染（179番）関連</t>
    <phoneticPr fontId="1"/>
  </si>
  <si>
    <t>15594関連</t>
    <phoneticPr fontId="1"/>
  </si>
  <si>
    <t>集団感染（193番）関連</t>
    <phoneticPr fontId="1"/>
  </si>
  <si>
    <t>15621関連</t>
    <phoneticPr fontId="1"/>
  </si>
  <si>
    <t>15624関連</t>
    <phoneticPr fontId="1"/>
  </si>
  <si>
    <t>集団感染（196番）関連</t>
  </si>
  <si>
    <t>15891関連</t>
    <phoneticPr fontId="1"/>
  </si>
  <si>
    <t>集団感染（198番）関連</t>
    <phoneticPr fontId="1"/>
  </si>
  <si>
    <t>16054関連</t>
    <phoneticPr fontId="1"/>
  </si>
  <si>
    <t>集団感染（199番）関連</t>
  </si>
  <si>
    <t>16501関連</t>
    <phoneticPr fontId="1"/>
  </si>
  <si>
    <t>集団感染（200番）関連</t>
  </si>
  <si>
    <t>集団感染（202番）関連</t>
  </si>
  <si>
    <t>3/27山形市公表①集団感染関連</t>
    <phoneticPr fontId="1"/>
  </si>
  <si>
    <t>16670関連</t>
    <phoneticPr fontId="1"/>
  </si>
  <si>
    <t>集団感染（201番）関連</t>
    <phoneticPr fontId="1"/>
  </si>
  <si>
    <t>16672関連</t>
    <phoneticPr fontId="1"/>
  </si>
  <si>
    <t>16685関連</t>
    <phoneticPr fontId="1"/>
  </si>
  <si>
    <t>16710関連</t>
    <phoneticPr fontId="1"/>
  </si>
  <si>
    <t xml:space="preserve">2022/03/27公表の集団感染関連 </t>
    <phoneticPr fontId="1"/>
  </si>
  <si>
    <t>16777関連</t>
    <phoneticPr fontId="1"/>
  </si>
  <si>
    <t xml:space="preserve">2022/03/28公表の集団感染関連 </t>
    <phoneticPr fontId="1"/>
  </si>
  <si>
    <t>16955関連</t>
    <phoneticPr fontId="1"/>
  </si>
  <si>
    <t>集団感染（205番）関連</t>
  </si>
  <si>
    <t>17086関連</t>
    <phoneticPr fontId="1"/>
  </si>
  <si>
    <t xml:space="preserve">17114事業所関連 </t>
    <phoneticPr fontId="1"/>
  </si>
  <si>
    <t xml:space="preserve">2022/03/29公表の事業所関連 </t>
    <phoneticPr fontId="1"/>
  </si>
  <si>
    <t xml:space="preserve">2022/03/29公表の会合関連 </t>
    <phoneticPr fontId="1"/>
  </si>
  <si>
    <t xml:space="preserve">17149会合関連 </t>
    <phoneticPr fontId="1"/>
  </si>
  <si>
    <t>集団感染（210番）関連</t>
  </si>
  <si>
    <t>集団感染（207番）関連</t>
  </si>
  <si>
    <t>17202関連</t>
    <phoneticPr fontId="1"/>
  </si>
  <si>
    <t>17324関連</t>
    <phoneticPr fontId="1"/>
  </si>
  <si>
    <t xml:space="preserve">2022/03/30公表の集団感染関連 </t>
    <phoneticPr fontId="1"/>
  </si>
  <si>
    <t>17356関連</t>
    <phoneticPr fontId="1"/>
  </si>
  <si>
    <t xml:space="preserve">2022/3/31公表の集団感染関連 </t>
    <phoneticPr fontId="1"/>
  </si>
  <si>
    <t>17633関連</t>
    <phoneticPr fontId="1"/>
  </si>
  <si>
    <t xml:space="preserve">2022/04/01公表の集団感染関連 </t>
    <phoneticPr fontId="1"/>
  </si>
  <si>
    <t>17808関連</t>
    <phoneticPr fontId="1"/>
  </si>
  <si>
    <t>17965関連</t>
    <phoneticPr fontId="1"/>
  </si>
  <si>
    <t xml:space="preserve">2022/04/02公表の集団感染関連 </t>
    <phoneticPr fontId="1"/>
  </si>
  <si>
    <t xml:space="preserve">2022/04/03公表の集団感染関連 </t>
    <phoneticPr fontId="1"/>
  </si>
  <si>
    <t>18143関連</t>
    <phoneticPr fontId="1"/>
  </si>
  <si>
    <t xml:space="preserve">2022/04/05公表の集団感染関連 </t>
    <phoneticPr fontId="1"/>
  </si>
  <si>
    <t>18406関連</t>
    <phoneticPr fontId="1"/>
  </si>
  <si>
    <t xml:space="preserve">2022/04/06公表の保育施設関連 </t>
    <phoneticPr fontId="1"/>
  </si>
  <si>
    <t>18574保育施設関連</t>
    <phoneticPr fontId="1"/>
  </si>
  <si>
    <t xml:space="preserve">2022/04/06公表の事業所関連 </t>
    <phoneticPr fontId="1"/>
  </si>
  <si>
    <t xml:space="preserve">18588事業所関連 </t>
    <phoneticPr fontId="1"/>
  </si>
  <si>
    <t>18820関連</t>
    <phoneticPr fontId="1"/>
  </si>
  <si>
    <t xml:space="preserve">2022/04/07公表の集団感染関連 </t>
    <phoneticPr fontId="1"/>
  </si>
  <si>
    <t xml:space="preserve">2022/04/08公表の保育施設関連 </t>
    <phoneticPr fontId="1"/>
  </si>
  <si>
    <t>18956保育施設関連</t>
    <phoneticPr fontId="1"/>
  </si>
  <si>
    <t xml:space="preserve">2022/04/08公表の事業所関連 </t>
    <phoneticPr fontId="1"/>
  </si>
  <si>
    <t>18959事業所関連</t>
    <phoneticPr fontId="1"/>
  </si>
  <si>
    <t xml:space="preserve">2022/04/09公表の学童施設関連 </t>
    <phoneticPr fontId="1"/>
  </si>
  <si>
    <t>19137学童施設関連</t>
    <phoneticPr fontId="1"/>
  </si>
  <si>
    <t xml:space="preserve">2022/04/09公表の大学等関連 </t>
    <phoneticPr fontId="1"/>
  </si>
  <si>
    <t>19140大学等関連</t>
    <phoneticPr fontId="1"/>
  </si>
  <si>
    <t xml:space="preserve">2022/04/10公表の集団感染関連 </t>
    <phoneticPr fontId="1"/>
  </si>
  <si>
    <t>19314関連</t>
    <phoneticPr fontId="1"/>
  </si>
  <si>
    <t xml:space="preserve">2022/04/11公表の集団感染関連 </t>
    <phoneticPr fontId="1"/>
  </si>
  <si>
    <t>19439関連</t>
    <phoneticPr fontId="1"/>
  </si>
  <si>
    <t xml:space="preserve">2022/04/12公表の学童施設関連 </t>
    <phoneticPr fontId="1"/>
  </si>
  <si>
    <t>19625学童施設関連</t>
    <phoneticPr fontId="1"/>
  </si>
  <si>
    <t xml:space="preserve">2022/04/12公表の保育施設関連 </t>
    <phoneticPr fontId="1"/>
  </si>
  <si>
    <t>19631保育施設関連</t>
    <phoneticPr fontId="1"/>
  </si>
  <si>
    <t xml:space="preserve">2022/04/13公表の保育施設関連 </t>
    <phoneticPr fontId="1"/>
  </si>
  <si>
    <t>19899保育施設関連</t>
    <phoneticPr fontId="1"/>
  </si>
  <si>
    <t xml:space="preserve">2022/04/13公表の高等学校関連 </t>
    <phoneticPr fontId="1"/>
  </si>
  <si>
    <t>19901高等学校関連</t>
    <phoneticPr fontId="1"/>
  </si>
  <si>
    <t xml:space="preserve">2022/04/13公表の事業所①関連 </t>
    <phoneticPr fontId="1"/>
  </si>
  <si>
    <t>19906事業所関連</t>
    <phoneticPr fontId="1"/>
  </si>
  <si>
    <t xml:space="preserve">2022/04/13公表の事業所②関連 </t>
    <phoneticPr fontId="1"/>
  </si>
  <si>
    <t>19924事業所関連</t>
    <phoneticPr fontId="1"/>
  </si>
  <si>
    <t xml:space="preserve">2022/04/13公表の障がい者施設関連 </t>
    <phoneticPr fontId="1"/>
  </si>
  <si>
    <t>19946障がい者施設関連</t>
    <phoneticPr fontId="1"/>
  </si>
  <si>
    <t xml:space="preserve">2022/04/14公表の高等学校関連 </t>
    <phoneticPr fontId="1"/>
  </si>
  <si>
    <t>20148高等学校関連</t>
    <phoneticPr fontId="1"/>
  </si>
  <si>
    <t xml:space="preserve">2022/04/14公表の医療機関関連 </t>
    <phoneticPr fontId="1"/>
  </si>
  <si>
    <t>20190医療機関関連</t>
    <phoneticPr fontId="1"/>
  </si>
  <si>
    <t xml:space="preserve">2022/04/23公表の集団感染関連 </t>
    <phoneticPr fontId="1"/>
  </si>
  <si>
    <t>22050関連</t>
    <phoneticPr fontId="1"/>
  </si>
  <si>
    <t xml:space="preserve">2022/4/27公表の集団感染関連 </t>
    <phoneticPr fontId="1"/>
  </si>
  <si>
    <t>22834関連</t>
    <phoneticPr fontId="1"/>
  </si>
  <si>
    <t xml:space="preserve">2022/4/28公表の高等教育機関関連 </t>
    <phoneticPr fontId="1"/>
  </si>
  <si>
    <t xml:space="preserve">23009高等教育機関関連 </t>
    <phoneticPr fontId="1"/>
  </si>
  <si>
    <t xml:space="preserve">2022/4/28公表の介護施設関連 </t>
    <phoneticPr fontId="1"/>
  </si>
  <si>
    <t xml:space="preserve">23031介護施設関連 </t>
    <phoneticPr fontId="1"/>
  </si>
  <si>
    <t xml:space="preserve">2022/5/4公表の集団感染関連 </t>
    <phoneticPr fontId="1"/>
  </si>
  <si>
    <t>23751関連</t>
    <phoneticPr fontId="1"/>
  </si>
  <si>
    <t xml:space="preserve">2022/5/6公表の集団感染関連 </t>
    <phoneticPr fontId="1"/>
  </si>
  <si>
    <t>24005関連</t>
    <phoneticPr fontId="1"/>
  </si>
  <si>
    <t xml:space="preserve">2022/5/7公表の集団感染関連 </t>
    <phoneticPr fontId="1"/>
  </si>
  <si>
    <t>24206関連</t>
    <phoneticPr fontId="1"/>
  </si>
  <si>
    <t xml:space="preserve">5/13公表の集団感染関連 </t>
    <phoneticPr fontId="1"/>
  </si>
  <si>
    <t>25723関連</t>
    <phoneticPr fontId="1"/>
  </si>
  <si>
    <t xml:space="preserve">2022/5/14公表の保育施設関連 </t>
    <phoneticPr fontId="1"/>
  </si>
  <si>
    <t>25733保育施設関連</t>
    <phoneticPr fontId="1"/>
  </si>
  <si>
    <t xml:space="preserve">2022/5/14公表の小学校関連 </t>
    <phoneticPr fontId="1"/>
  </si>
  <si>
    <t>25738学校関連</t>
    <phoneticPr fontId="1"/>
  </si>
  <si>
    <t xml:space="preserve">2022/5/15公表の集団感染関連 </t>
    <phoneticPr fontId="1"/>
  </si>
  <si>
    <t>26003関連</t>
    <phoneticPr fontId="1"/>
  </si>
  <si>
    <t xml:space="preserve">2022/5/17公表の小学校関連 </t>
    <phoneticPr fontId="1"/>
  </si>
  <si>
    <t>26337小学校関連</t>
    <phoneticPr fontId="1"/>
  </si>
  <si>
    <t xml:space="preserve">2022/5/17公表の学童施設関連 </t>
    <phoneticPr fontId="1"/>
  </si>
  <si>
    <t>26350学童施設関連</t>
    <phoneticPr fontId="1"/>
  </si>
  <si>
    <t xml:space="preserve">2022/5/17公表の高等学校関連 </t>
    <phoneticPr fontId="1"/>
  </si>
  <si>
    <t>26364高等学校関連</t>
    <phoneticPr fontId="1"/>
  </si>
  <si>
    <t xml:space="preserve">4/28公表の集団感染関連 </t>
    <phoneticPr fontId="1"/>
  </si>
  <si>
    <t>26385関連</t>
    <phoneticPr fontId="1"/>
  </si>
  <si>
    <t xml:space="preserve">2022/5/18公表の集団感染関連 </t>
    <phoneticPr fontId="1"/>
  </si>
  <si>
    <t>26608関連</t>
    <phoneticPr fontId="1"/>
  </si>
  <si>
    <t xml:space="preserve">2022/5/19公表の集団感染関連 </t>
    <phoneticPr fontId="1"/>
  </si>
  <si>
    <t>26839関連</t>
    <phoneticPr fontId="1"/>
  </si>
  <si>
    <t xml:space="preserve">2022/5/22公表の集団感染関連 </t>
    <phoneticPr fontId="1"/>
  </si>
  <si>
    <t>27333関連</t>
    <phoneticPr fontId="1"/>
  </si>
  <si>
    <t xml:space="preserve">2022/5/23公表の集団感染関連 </t>
    <phoneticPr fontId="1"/>
  </si>
  <si>
    <t>27461関連</t>
    <phoneticPr fontId="1"/>
  </si>
  <si>
    <t xml:space="preserve">2022/5/24公表の保育施設②関連 </t>
    <phoneticPr fontId="1"/>
  </si>
  <si>
    <t>27628保育施設関連</t>
    <phoneticPr fontId="1"/>
  </si>
  <si>
    <t xml:space="preserve">2022/5/24公表の高等学校関連 </t>
    <phoneticPr fontId="1"/>
  </si>
  <si>
    <t>27632高等学校関連</t>
    <phoneticPr fontId="1"/>
  </si>
  <si>
    <t xml:space="preserve">2022/5/24公表の保育施設①関連 </t>
    <phoneticPr fontId="1"/>
  </si>
  <si>
    <t>27649保育施設関連</t>
    <phoneticPr fontId="1"/>
  </si>
  <si>
    <t xml:space="preserve">2022/5/27公表の集団感染関連 </t>
    <phoneticPr fontId="1"/>
  </si>
  <si>
    <t>28132関連</t>
    <phoneticPr fontId="1"/>
  </si>
  <si>
    <t xml:space="preserve">2022/6/1公表の集団感染関連 </t>
    <phoneticPr fontId="1"/>
  </si>
  <si>
    <t>28642関連</t>
    <phoneticPr fontId="1"/>
  </si>
  <si>
    <t xml:space="preserve">2022/6/9公表の集団感染関連 </t>
    <phoneticPr fontId="1"/>
  </si>
  <si>
    <t>29192関連</t>
    <phoneticPr fontId="1"/>
  </si>
  <si>
    <t xml:space="preserve">2022/6/12公表の集団感染関連 </t>
    <phoneticPr fontId="1"/>
  </si>
  <si>
    <t>29393関連</t>
    <phoneticPr fontId="1"/>
  </si>
  <si>
    <t xml:space="preserve">2022/6/13公表の集団感染関連 </t>
    <phoneticPr fontId="1"/>
  </si>
  <si>
    <t>29436関連</t>
    <phoneticPr fontId="1"/>
  </si>
  <si>
    <t xml:space="preserve">2022/6/16公表の集団感染関連 </t>
    <phoneticPr fontId="1"/>
  </si>
  <si>
    <t>29652関連</t>
    <phoneticPr fontId="1"/>
  </si>
  <si>
    <t xml:space="preserve">2022/6/21公表の集団感染関連 </t>
    <phoneticPr fontId="1"/>
  </si>
  <si>
    <t>29906関連</t>
    <phoneticPr fontId="1"/>
  </si>
  <si>
    <t xml:space="preserve">2022/6/22公表の集団感染関連 </t>
    <phoneticPr fontId="1"/>
  </si>
  <si>
    <t>29971関連</t>
    <phoneticPr fontId="1"/>
  </si>
  <si>
    <t xml:space="preserve">2022/6/24公表の保育施設①関連 </t>
    <phoneticPr fontId="1"/>
  </si>
  <si>
    <t>30143保育施設①関連</t>
    <phoneticPr fontId="1"/>
  </si>
  <si>
    <t xml:space="preserve">2022/6/24公表の保育施設②関連 </t>
    <phoneticPr fontId="1"/>
  </si>
  <si>
    <t>30149保育施設②関連</t>
    <phoneticPr fontId="1"/>
  </si>
  <si>
    <t xml:space="preserve">2022/6/26公表の集団感染関連 </t>
    <phoneticPr fontId="1"/>
  </si>
  <si>
    <t>30255関連</t>
    <phoneticPr fontId="1"/>
  </si>
  <si>
    <t xml:space="preserve">2022/6/29公表の集団感染関連 </t>
    <phoneticPr fontId="1"/>
  </si>
  <si>
    <t>30475関連</t>
    <phoneticPr fontId="1"/>
  </si>
  <si>
    <t xml:space="preserve">2022/7/3公表の集団感染関連 </t>
    <phoneticPr fontId="1"/>
  </si>
  <si>
    <t>30833関連</t>
    <phoneticPr fontId="1"/>
  </si>
  <si>
    <t xml:space="preserve">2022/7/7公表の介護施設関連 </t>
    <phoneticPr fontId="1"/>
  </si>
  <si>
    <t>31241介護施設関連</t>
    <phoneticPr fontId="1"/>
  </si>
  <si>
    <t>2022/7/7公表の高等学校関連</t>
    <phoneticPr fontId="1"/>
  </si>
  <si>
    <t>31268高等学校関連</t>
    <phoneticPr fontId="1"/>
  </si>
  <si>
    <t xml:space="preserve">2022/7/8公表の集団感染関連 </t>
    <phoneticPr fontId="1"/>
  </si>
  <si>
    <t>31411関連</t>
    <phoneticPr fontId="1"/>
  </si>
  <si>
    <t>2022/7/10公表の集団感染関連</t>
    <phoneticPr fontId="1"/>
  </si>
  <si>
    <t>31690関連</t>
    <phoneticPr fontId="1"/>
  </si>
  <si>
    <t>2022/7/11公表の集団感染関連</t>
    <phoneticPr fontId="1"/>
  </si>
  <si>
    <t>31802関連</t>
    <phoneticPr fontId="1"/>
  </si>
  <si>
    <t xml:space="preserve">2022/7/12公表の集団感染関連 </t>
    <phoneticPr fontId="1"/>
  </si>
  <si>
    <t>31997関連</t>
    <phoneticPr fontId="1"/>
  </si>
  <si>
    <t xml:space="preserve">2022/7/13公表の集団感染関連 </t>
    <phoneticPr fontId="1"/>
  </si>
  <si>
    <t>32247関連</t>
    <phoneticPr fontId="1"/>
  </si>
  <si>
    <t xml:space="preserve">2022/7/14公表の保育施設①関連 </t>
    <phoneticPr fontId="1"/>
  </si>
  <si>
    <t>32569保育施設①関連</t>
    <phoneticPr fontId="1"/>
  </si>
  <si>
    <t xml:space="preserve">2022/7/14公表の医療機関関連 </t>
    <phoneticPr fontId="1"/>
  </si>
  <si>
    <t>32607医療機関関連</t>
    <phoneticPr fontId="1"/>
  </si>
  <si>
    <t xml:space="preserve">2022/7/14公表の保育施設②関連 </t>
    <phoneticPr fontId="1"/>
  </si>
  <si>
    <t>32615保育施設②関連</t>
    <phoneticPr fontId="1"/>
  </si>
  <si>
    <t xml:space="preserve">2022/7/16公表の障がい者施設関連 </t>
    <phoneticPr fontId="1"/>
  </si>
  <si>
    <t>33187障がい者施設関連</t>
    <phoneticPr fontId="1"/>
  </si>
  <si>
    <t xml:space="preserve">2022/7/16公表の学童施設関連 </t>
    <phoneticPr fontId="1"/>
  </si>
  <si>
    <t>33098学童施設関連</t>
    <phoneticPr fontId="1"/>
  </si>
  <si>
    <t xml:space="preserve">2022/7/16公表の高等教育機関関連 </t>
    <phoneticPr fontId="1"/>
  </si>
  <si>
    <t>33131高等教育機関関連</t>
    <phoneticPr fontId="1"/>
  </si>
  <si>
    <t xml:space="preserve">2022/7/17公表の集団感染関連 </t>
    <phoneticPr fontId="1"/>
  </si>
  <si>
    <t>33376関連</t>
    <phoneticPr fontId="1"/>
  </si>
  <si>
    <t xml:space="preserve">2022/7/18公表の集団感染関連 </t>
    <phoneticPr fontId="1"/>
  </si>
  <si>
    <t>33617関連</t>
    <phoneticPr fontId="1"/>
  </si>
  <si>
    <t xml:space="preserve">2022/7/19公表の集団感染関連 </t>
    <phoneticPr fontId="1"/>
  </si>
  <si>
    <t>33821関連</t>
    <phoneticPr fontId="1"/>
  </si>
  <si>
    <t xml:space="preserve">2022/7/20公表の小学校関連 </t>
    <phoneticPr fontId="1"/>
  </si>
  <si>
    <t>34408小学校関連</t>
    <phoneticPr fontId="1"/>
  </si>
  <si>
    <t xml:space="preserve">2022/7/20公表の保育施設関連 </t>
    <phoneticPr fontId="1"/>
  </si>
  <si>
    <t>34458保育施設関連</t>
    <phoneticPr fontId="1"/>
  </si>
  <si>
    <t xml:space="preserve">2022/7/21公表の保育施設関連 </t>
    <phoneticPr fontId="1"/>
  </si>
  <si>
    <t>35073保育施設関連</t>
    <phoneticPr fontId="1"/>
  </si>
  <si>
    <t xml:space="preserve">2022/7/22公表の医療機関関連 </t>
    <phoneticPr fontId="1"/>
  </si>
  <si>
    <t>35771医療機関関連</t>
    <phoneticPr fontId="1"/>
  </si>
  <si>
    <t xml:space="preserve">2022/7/22公表の高等学校関連 </t>
    <phoneticPr fontId="1"/>
  </si>
  <si>
    <t>35778高等学校関連</t>
    <phoneticPr fontId="1"/>
  </si>
  <si>
    <t xml:space="preserve">2022/7/23公表の集団感染関連 </t>
    <phoneticPr fontId="1"/>
  </si>
  <si>
    <t>36320関連</t>
    <phoneticPr fontId="1"/>
  </si>
  <si>
    <t xml:space="preserve">2022/7/25公表の保育施設①関連 </t>
    <phoneticPr fontId="1"/>
  </si>
  <si>
    <t>37260保育施設①関連</t>
    <phoneticPr fontId="1"/>
  </si>
  <si>
    <t xml:space="preserve">2022/7/25公表の学童施設②関連 </t>
    <phoneticPr fontId="1"/>
  </si>
  <si>
    <t>37276学童施設②関連</t>
    <phoneticPr fontId="1"/>
  </si>
  <si>
    <t xml:space="preserve">2022/7/25公表の高等学校関連 </t>
    <phoneticPr fontId="1"/>
  </si>
  <si>
    <t>37304高等学校関連</t>
    <phoneticPr fontId="1"/>
  </si>
  <si>
    <t xml:space="preserve">2022/7/25公表の保育施設②関連 </t>
    <phoneticPr fontId="1"/>
  </si>
  <si>
    <t>37309保育施設②関連</t>
    <phoneticPr fontId="1"/>
  </si>
  <si>
    <t xml:space="preserve">2022/7/25公表の保育施設③関連 </t>
    <phoneticPr fontId="1"/>
  </si>
  <si>
    <t>37312保育施設③関連</t>
    <phoneticPr fontId="1"/>
  </si>
  <si>
    <t xml:space="preserve">2022/7/26公表の医療機関関連 </t>
    <phoneticPr fontId="1"/>
  </si>
  <si>
    <t>37857医療機関関連</t>
    <phoneticPr fontId="1"/>
  </si>
  <si>
    <t xml:space="preserve">7/25公表の保育施設④関連 </t>
    <phoneticPr fontId="1"/>
  </si>
  <si>
    <t>37934保育施設④関連</t>
    <phoneticPr fontId="1"/>
  </si>
  <si>
    <t xml:space="preserve">7/26公表の集団感染関連 </t>
    <phoneticPr fontId="1"/>
  </si>
  <si>
    <t>38762関連</t>
    <phoneticPr fontId="1"/>
  </si>
  <si>
    <t xml:space="preserve">2022/7/28公表の集団感染関連 </t>
    <phoneticPr fontId="1"/>
  </si>
  <si>
    <t>39585関連</t>
    <phoneticPr fontId="1"/>
  </si>
  <si>
    <t>クラスターの接頭辞</t>
    <phoneticPr fontId="1"/>
  </si>
  <si>
    <t xml:space="preserve">    {
        "data": {
            "id": %id%,
            "date": "%date%",
            "label": "%label_id%\n%date%\n%city%\n%age% %sex_j%"
        },
        "classes": ["multiline-manual", "%sex_e%"]
    }</t>
    <phoneticPr fontId="1"/>
  </si>
  <si>
    <t>%label_id%</t>
    <phoneticPr fontId="1"/>
  </si>
  <si>
    <t>ラベルID</t>
    <phoneticPr fontId="1"/>
  </si>
  <si>
    <t>,</t>
    <phoneticPr fontId="1"/>
  </si>
  <si>
    <t>山形市</t>
  </si>
  <si>
    <t>酒田市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</si>
</sst>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8" applyNumberFormat="0" applyFill="0" applyAlignment="0" applyProtection="0">
      <alignment vertical="center"/>
    </xf>
    <xf numFmtId="0" fontId="7" fillId="0" borderId="9" applyNumberFormat="0" applyFill="0" applyAlignment="0" applyProtection="0">
      <alignment vertical="center"/>
    </xf>
    <xf numFmtId="0" fontId="8" fillId="0" borderId="10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2" fillId="11" borderId="11" applyNumberFormat="0" applyAlignment="0" applyProtection="0">
      <alignment vertical="center"/>
    </xf>
    <xf numFmtId="0" fontId="13" fillId="12" borderId="12" applyNumberFormat="0" applyAlignment="0" applyProtection="0">
      <alignment vertical="center"/>
    </xf>
    <xf numFmtId="0" fontId="14" fillId="12" borderId="11" applyNumberFormat="0" applyAlignment="0" applyProtection="0">
      <alignment vertical="center"/>
    </xf>
    <xf numFmtId="0" fontId="15" fillId="0" borderId="13" applyNumberFormat="0" applyFill="0" applyAlignment="0" applyProtection="0">
      <alignment vertical="center"/>
    </xf>
    <xf numFmtId="0" fontId="16" fillId="13" borderId="14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14" borderId="15" applyNumberFormat="0" applyFon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16" applyNumberFormat="0" applyFill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20" fillId="35" borderId="0" applyNumberFormat="0" applyBorder="0" applyAlignment="0" applyProtection="0">
      <alignment vertical="center"/>
    </xf>
    <xf numFmtId="0" fontId="4" fillId="36" borderId="0" applyNumberFormat="0" applyBorder="0" applyAlignment="0" applyProtection="0">
      <alignment vertical="center"/>
    </xf>
    <xf numFmtId="0" fontId="4" fillId="37" borderId="0" applyNumberFormat="0" applyBorder="0" applyAlignment="0" applyProtection="0">
      <alignment vertical="center"/>
    </xf>
    <xf numFmtId="0" fontId="4" fillId="38" borderId="0" applyNumberFormat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vertical="center" wrapText="1"/>
    </xf>
    <xf numFmtId="0" fontId="0" fillId="5" borderId="1" xfId="0" applyFill="1" applyBorder="1" applyAlignment="1">
      <alignment horizontal="center" vertical="center"/>
    </xf>
    <xf numFmtId="14" fontId="0" fillId="0" borderId="1" xfId="0" applyNumberFormat="1" applyBorder="1">
      <alignment vertical="center"/>
    </xf>
    <xf numFmtId="14" fontId="0" fillId="0" borderId="0" xfId="0" applyNumberFormat="1">
      <alignment vertical="center"/>
    </xf>
    <xf numFmtId="14" fontId="0" fillId="2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0" fillId="6" borderId="6" xfId="0" applyFill="1" applyBorder="1">
      <alignment vertical="center"/>
    </xf>
    <xf numFmtId="0" fontId="2" fillId="4" borderId="4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0" fillId="7" borderId="0" xfId="0" applyFill="1">
      <alignment vertical="center"/>
    </xf>
    <xf numFmtId="49" fontId="0" fillId="0" borderId="0" xfId="0" applyNumberFormat="1">
      <alignment vertical="center"/>
    </xf>
    <xf numFmtId="56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7" xfId="0" applyBorder="1">
      <alignment vertical="center"/>
    </xf>
    <xf numFmtId="0" fontId="0" fillId="2" borderId="0" xfId="0" applyFill="1">
      <alignment vertical="center"/>
    </xf>
    <xf numFmtId="0" fontId="0" fillId="7" borderId="0" xfId="0" applyFill="1" applyAlignment="1">
      <alignment horizontal="right" vertical="center"/>
    </xf>
    <xf numFmtId="0" fontId="0" fillId="6" borderId="18" xfId="0" applyFill="1" applyBorder="1">
      <alignment vertical="center"/>
    </xf>
    <xf numFmtId="0" fontId="0" fillId="7" borderId="18" xfId="0" applyFill="1" applyBorder="1">
      <alignment vertical="center"/>
    </xf>
    <xf numFmtId="0" fontId="0" fillId="39" borderId="20" xfId="0" applyFill="1" applyBorder="1">
      <alignment vertical="center"/>
    </xf>
    <xf numFmtId="0" fontId="0" fillId="39" borderId="21" xfId="0" applyFill="1" applyBorder="1">
      <alignment vertical="center"/>
    </xf>
    <xf numFmtId="0" fontId="0" fillId="4" borderId="19" xfId="0" applyFill="1" applyBorder="1">
      <alignment vertical="center"/>
    </xf>
    <xf numFmtId="0" fontId="0" fillId="5" borderId="7" xfId="0" applyFill="1" applyBorder="1" applyAlignment="1">
      <alignment horizontal="center"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right" vertical="center"/>
    </xf>
    <xf numFmtId="0" fontId="0" fillId="3" borderId="17" xfId="0" applyFill="1" applyBorder="1">
      <alignment vertical="center"/>
    </xf>
    <xf numFmtId="0" fontId="0" fillId="3" borderId="0" xfId="0" applyFill="1" applyAlignment="1">
      <alignment horizontal="center" vertical="center"/>
    </xf>
    <xf numFmtId="0" fontId="0" fillId="3" borderId="18" xfId="0" applyFill="1" applyBorder="1">
      <alignment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657225</xdr:colOff>
          <xdr:row>1</xdr:row>
          <xdr:rowOff>66675</xdr:rowOff>
        </xdr:from>
        <xdr:to>
          <xdr:col>5</xdr:col>
          <xdr:colOff>571500</xdr:colOff>
          <xdr:row>1</xdr:row>
          <xdr:rowOff>609600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データ調整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285749</xdr:colOff>
      <xdr:row>1</xdr:row>
      <xdr:rowOff>54427</xdr:rowOff>
    </xdr:from>
    <xdr:to>
      <xdr:col>12</xdr:col>
      <xdr:colOff>721179</xdr:colOff>
      <xdr:row>1</xdr:row>
      <xdr:rowOff>585106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449535" y="299356"/>
          <a:ext cx="4272644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編集後は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628650</xdr:colOff>
          <xdr:row>2</xdr:row>
          <xdr:rowOff>104775</xdr:rowOff>
        </xdr:from>
        <xdr:to>
          <xdr:col>7</xdr:col>
          <xdr:colOff>285750</xdr:colOff>
          <xdr:row>5</xdr:row>
          <xdr:rowOff>219075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Jsonテキストの作成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2422070</xdr:colOff>
      <xdr:row>6</xdr:row>
      <xdr:rowOff>149679</xdr:rowOff>
    </xdr:from>
    <xdr:to>
      <xdr:col>9</xdr:col>
      <xdr:colOff>557892</xdr:colOff>
      <xdr:row>8</xdr:row>
      <xdr:rowOff>190500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3102427" y="1619250"/>
          <a:ext cx="6408965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一応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Json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テキスト生成前に再度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2</xdr:row>
          <xdr:rowOff>142875</xdr:rowOff>
        </xdr:from>
        <xdr:to>
          <xdr:col>12</xdr:col>
          <xdr:colOff>161925</xdr:colOff>
          <xdr:row>5</xdr:row>
          <xdr:rowOff>200025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ファイルのマージ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5E19F-525E-425F-B594-9C3CEECE8BD5}">
  <sheetPr codeName="Sheet1"/>
  <dimension ref="B1:AL200"/>
  <sheetViews>
    <sheetView zoomScale="70" zoomScaleNormal="70" workbookViewId="0">
      <pane ySplit="3" topLeftCell="A7" activePane="bottomLeft" state="frozen"/>
      <selection activeCell="E20" sqref="E20"/>
      <selection pane="bottomLeft" activeCell="S29" sqref="S29"/>
    </sheetView>
  </sheetViews>
  <sheetFormatPr defaultRowHeight="18.75" x14ac:dyDescent="0.4"/>
  <cols>
    <col min="3" max="4" width="7.875" customWidth="1"/>
    <col min="5" max="5" width="2.25" customWidth="1"/>
    <col min="6" max="6" width="14" style="26" customWidth="1"/>
    <col min="7" max="7" width="13.5" style="26" customWidth="1"/>
    <col min="8" max="9" width="7.625" customWidth="1"/>
    <col min="11" max="11" width="15.5" style="30" customWidth="1"/>
    <col min="12" max="12" width="6.375" style="23" customWidth="1"/>
    <col min="13" max="13" width="13.5" customWidth="1"/>
    <col min="14" max="14" width="14.375" customWidth="1"/>
    <col min="15" max="15" width="11.5" customWidth="1"/>
    <col min="16" max="16" width="3.375" customWidth="1"/>
    <col min="17" max="17" width="12.625" style="1" customWidth="1"/>
    <col min="18" max="18" width="9" style="25"/>
    <col min="19" max="19" width="13.75" customWidth="1"/>
    <col min="24" max="24" width="10.375" customWidth="1"/>
    <col min="25" max="25" width="14.75" customWidth="1"/>
    <col min="26" max="26" width="11.625" customWidth="1"/>
    <col min="27" max="27" width="12" customWidth="1"/>
    <col min="28" max="28" width="9.5" customWidth="1"/>
  </cols>
  <sheetData>
    <row r="1" spans="2:38" ht="19.5" thickBot="1" x14ac:dyDescent="0.45">
      <c r="F1"/>
      <c r="G1"/>
      <c r="K1"/>
      <c r="M1" s="32" t="s">
        <v>441</v>
      </c>
      <c r="N1" s="33"/>
      <c r="O1" s="34">
        <v>99999</v>
      </c>
      <c r="Q1"/>
      <c r="R1" s="23"/>
    </row>
    <row r="2" spans="2:38" ht="54" x14ac:dyDescent="0.4">
      <c r="F2"/>
      <c r="G2"/>
      <c r="K2"/>
      <c r="Q2" s="41" t="s">
        <v>22</v>
      </c>
      <c r="R2" s="11" t="s">
        <v>10</v>
      </c>
      <c r="S2" s="12" t="s">
        <v>14</v>
      </c>
      <c r="T2" s="13" t="s">
        <v>11</v>
      </c>
      <c r="U2" s="14" t="s">
        <v>2</v>
      </c>
      <c r="V2" s="15" t="s">
        <v>3</v>
      </c>
      <c r="W2" s="15" t="s">
        <v>6</v>
      </c>
      <c r="X2" s="16" t="s">
        <v>15</v>
      </c>
      <c r="Y2" s="16" t="s">
        <v>12</v>
      </c>
      <c r="Z2" s="15" t="s">
        <v>5</v>
      </c>
      <c r="AA2" s="13" t="s">
        <v>13</v>
      </c>
      <c r="AB2" s="17"/>
      <c r="AE2" s="2"/>
      <c r="AI2" s="2"/>
      <c r="AJ2" s="2"/>
      <c r="AL2" s="2"/>
    </row>
    <row r="3" spans="2:38" ht="45.75" customHeight="1" thickBot="1" x14ac:dyDescent="0.45">
      <c r="C3" s="7" t="s">
        <v>28</v>
      </c>
      <c r="D3" s="7" t="s">
        <v>29</v>
      </c>
      <c r="F3" s="7" t="s">
        <v>47</v>
      </c>
      <c r="G3" s="3" t="s">
        <v>16</v>
      </c>
      <c r="H3" s="3" t="s">
        <v>17</v>
      </c>
      <c r="I3" s="3" t="s">
        <v>18</v>
      </c>
      <c r="J3" s="3" t="s">
        <v>19</v>
      </c>
      <c r="K3" s="8" t="s">
        <v>20</v>
      </c>
      <c r="L3" s="3" t="s">
        <v>10</v>
      </c>
      <c r="M3" s="7" t="s">
        <v>24</v>
      </c>
      <c r="N3" s="7" t="s">
        <v>48</v>
      </c>
      <c r="O3" s="7" t="s">
        <v>25</v>
      </c>
      <c r="Q3" s="42"/>
      <c r="R3" s="18"/>
      <c r="S3" s="19" t="s">
        <v>7</v>
      </c>
      <c r="T3" s="14" t="s">
        <v>0</v>
      </c>
      <c r="U3" s="14" t="s">
        <v>1</v>
      </c>
      <c r="V3" s="14" t="s">
        <v>2</v>
      </c>
      <c r="W3" s="15" t="s">
        <v>3</v>
      </c>
      <c r="X3" s="15" t="s">
        <v>6</v>
      </c>
      <c r="Y3" s="16" t="s">
        <v>8</v>
      </c>
      <c r="Z3" s="15" t="s">
        <v>4</v>
      </c>
      <c r="AA3" s="15" t="s">
        <v>5</v>
      </c>
      <c r="AB3" s="13" t="s">
        <v>9</v>
      </c>
    </row>
    <row r="4" spans="2:38" x14ac:dyDescent="0.4">
      <c r="B4" s="36"/>
      <c r="C4" s="36"/>
      <c r="D4" s="36"/>
      <c r="E4" s="36"/>
      <c r="F4" s="37"/>
      <c r="G4" s="37"/>
      <c r="H4" s="36"/>
      <c r="I4" s="36"/>
      <c r="J4" s="36"/>
      <c r="K4" s="38"/>
      <c r="L4" s="39"/>
      <c r="M4" s="36"/>
      <c r="N4" s="36"/>
      <c r="O4" s="36"/>
      <c r="P4" s="36"/>
      <c r="Q4" s="4"/>
      <c r="R4" s="24"/>
    </row>
    <row r="5" spans="2:38" x14ac:dyDescent="0.4">
      <c r="B5" s="36"/>
      <c r="C5" s="36"/>
      <c r="D5" s="36"/>
      <c r="E5" s="36"/>
      <c r="F5" s="37"/>
      <c r="G5" s="37"/>
      <c r="H5" s="36"/>
      <c r="I5" s="36"/>
      <c r="J5" s="36"/>
      <c r="K5" s="40"/>
      <c r="L5" s="39"/>
      <c r="M5" s="36"/>
      <c r="N5" s="36"/>
      <c r="O5" s="36"/>
      <c r="P5" s="36"/>
      <c r="Q5" s="4">
        <v>44896</v>
      </c>
      <c r="S5" t="str">
        <f>$O$1&amp;
500&amp;
REPT("0",3-LEN(ROW($S1)))&amp;ROW($S1)</f>
        <v>99999500001</v>
      </c>
      <c r="T5" t="s">
        <v>50</v>
      </c>
      <c r="U5" t="s">
        <v>50</v>
      </c>
      <c r="V5" t="s">
        <v>46</v>
      </c>
      <c r="AB5" t="str">
        <f>$S$5&amp;"障がい者施設"</f>
        <v>99999500001障がい者施設</v>
      </c>
    </row>
    <row r="6" spans="2:38" x14ac:dyDescent="0.4">
      <c r="B6" s="36"/>
      <c r="C6" s="36"/>
      <c r="D6" s="36"/>
      <c r="E6" s="36"/>
      <c r="F6" s="37"/>
      <c r="G6" s="37"/>
      <c r="H6" s="36"/>
      <c r="I6" s="36"/>
      <c r="J6" s="36"/>
      <c r="K6" s="40"/>
      <c r="L6" s="39"/>
      <c r="M6" s="36"/>
      <c r="N6" s="36"/>
      <c r="O6" s="36"/>
      <c r="P6" s="36"/>
      <c r="Q6" s="4">
        <v>44896</v>
      </c>
      <c r="S6" t="str">
        <f t="shared" ref="S6" si="0">$O$1&amp;
500&amp;
REPT("0",3-LEN(ROW($S2)))&amp;ROW($S2)</f>
        <v>99999500002</v>
      </c>
      <c r="T6" t="s">
        <v>50</v>
      </c>
      <c r="U6" t="s">
        <v>50</v>
      </c>
      <c r="V6" t="s">
        <v>46</v>
      </c>
      <c r="AB6" t="str">
        <f>$S$5&amp;"関連"</f>
        <v>99999500001関連</v>
      </c>
    </row>
    <row r="7" spans="2:38" x14ac:dyDescent="0.4">
      <c r="B7" s="36"/>
      <c r="C7" s="36"/>
      <c r="D7" s="36"/>
      <c r="E7" s="36"/>
      <c r="F7" s="37"/>
      <c r="G7" s="37"/>
      <c r="H7" s="36"/>
      <c r="I7" s="36"/>
      <c r="J7" s="36"/>
      <c r="K7" s="40"/>
      <c r="L7" s="39"/>
      <c r="M7" s="36"/>
      <c r="N7" s="36"/>
      <c r="O7" s="36"/>
      <c r="P7" s="36"/>
    </row>
    <row r="8" spans="2:38" x14ac:dyDescent="0.4">
      <c r="B8" s="36"/>
      <c r="C8" s="36"/>
      <c r="D8" s="36"/>
      <c r="E8" s="36"/>
      <c r="F8" s="37"/>
      <c r="G8" s="37"/>
      <c r="H8" s="36"/>
      <c r="I8" s="36"/>
      <c r="J8" s="36"/>
      <c r="K8" s="40"/>
      <c r="L8" s="39"/>
      <c r="M8" s="36"/>
      <c r="N8" s="36"/>
      <c r="O8" s="36"/>
      <c r="P8" s="36"/>
      <c r="Q8" s="4">
        <v>44896</v>
      </c>
      <c r="S8" t="str">
        <f>$O$1&amp;
501&amp;
REPT("0",3-LEN(ROW($S1)))&amp;ROW($S1)</f>
        <v>99999501001</v>
      </c>
      <c r="T8" t="s">
        <v>50</v>
      </c>
      <c r="U8" t="s">
        <v>50</v>
      </c>
      <c r="V8" t="s">
        <v>49</v>
      </c>
      <c r="AB8" t="str">
        <f>$S$8&amp;"障がい者施設"</f>
        <v>99999501001障がい者施設</v>
      </c>
    </row>
    <row r="9" spans="2:38" x14ac:dyDescent="0.4">
      <c r="B9" t="s">
        <v>21</v>
      </c>
      <c r="C9" t="str">
        <f>IF(G9="","",MAX(C$4:C8)+1)</f>
        <v/>
      </c>
      <c r="D9" t="str">
        <f>IF(AND(N9=""),"",MAX(D$4:D8)+1)</f>
        <v/>
      </c>
      <c r="F9" s="26" t="str">
        <f t="shared" ref="F9:F72" si="1">IF(G9&lt;&gt;"",R9&amp;S9,"")</f>
        <v/>
      </c>
      <c r="G9" s="29" t="str">
        <f t="shared" ref="G9:G72" si="2">IF(AND((S9 &lt;&gt; ""),(S9 &gt;= 0)), ABS(IF(OR((R9=""),(R9="　")), S9, T9)), "")</f>
        <v/>
      </c>
      <c r="H9" s="20" t="str">
        <f t="shared" ref="H9:H72" si="3">IF(OR((R9=""),(R9="　")),IF(G9 &lt;&gt; "", T9, ""),IF(G9 &lt;&gt; "", U9, ""))</f>
        <v/>
      </c>
      <c r="I9" s="20" t="str">
        <f t="shared" ref="I9:I72" si="4">IF(G9 &lt;&gt; "", IF(COUNTIF(IF(OR((R9=""),(R9="　")), U9, V9),"*男*"),"男性",IF(COUNTIF(IF(OR((R9=""),(R9="　")), U9, V9),"*女*"),"女性","ー")),"")</f>
        <v/>
      </c>
      <c r="J9" s="20" t="str">
        <f t="shared" ref="J9:J72" si="5">IF(G9 &lt;&gt; "", IF(OR((R9=""),(R9="　")), V9, W9),"")</f>
        <v/>
      </c>
      <c r="K9" s="31" t="str">
        <f t="shared" ref="K9:K72" si="6">SUBSTITUTE(IF(OR(G9 &lt;&gt; "",AA9&lt;&gt; "",AB9&lt;&gt; ""), IF(OR((R9=""),(R9="　")), IF(AB9&lt;&gt;"", AB9, ""), AA9), IF(AND((AA9 &lt;&gt; ""), (R9&lt;&gt;""), (R9&lt;&gt;"　")), AA9, ""))," ","")</f>
        <v/>
      </c>
      <c r="L9" s="23" t="str">
        <f t="shared" ref="L9:L72" si="7">IF(COUNTIF(K9,"*市*"),"○","")</f>
        <v/>
      </c>
      <c r="M9" t="str" cm="1">
        <f t="array" ref="M9">IF(COUNT(INDEX(FIND(ROW($1:$10)-1,K9),)),VALUE(MID(K9,MIN(SEARCH({1,2,3,4,5,6,7,8,9,0},K9&amp;1234567890)),LEN(K9)-(LENB(K9)-LEN(K9)))),"")</f>
        <v/>
      </c>
      <c r="N9" t="str">
        <f>IF(L9&lt;&gt;"○",M9,INDEX(G$4:G8,MATCH(L9&amp;M9,F$4:F8,0)))</f>
        <v/>
      </c>
      <c r="O9" t="str">
        <f t="shared" ref="O9:O72" si="8">IF(M9 &lt;&gt; "",
IF(NOT(ISERROR(RIGHT(K9, LEN(K9)-LEN(M9)-1-FIND(M9&amp;"例目の", K9)))),RIGHT(K9, LEN(K9)-LEN(M9)-2-FIND(M9&amp;"例目の", K9)),
IF(NOT(ISERROR(RIGHT(K9, LEN(K9)-LEN(M9)-1-FIND(M9&amp;"例と", K9)))),RIGHT(K9, LEN(K9)-LEN(M9)-1-FIND(M9&amp;"例と", K9)),
IF(NOT(ISERROR(RIGHT(K9, LEN(K9)-LEN(M9)-1-FIND(M9&amp;"例の", K9)))),RIGHT(K9, LEN(K9)-LEN(M9)-1-FIND(M9&amp;"例の", K9)),
IF(NOT(ISERROR(RIGHT(K9, LEN(K9)-LEN(M9)-1-FIND(M9&amp;"の", K9)))),RIGHT(K9, LEN(K9)-LEN(M9)-FIND(M9&amp;"の", K9)),
IF(NOT(ISERROR(RIGHT(K9, LEN(K9)-LEN(M9)-1-FIND(M9&amp;"例", K9)))),RIGHT(K9, LEN(K9)-LEN(M9)-FIND(M9&amp;"例", K9)),
IF(NOT(ISERROR(RIGHT(K9, LEN(K9)-LEN(M9)-1-FIND(M9, K9)))),RIGHT(K9, LEN(K9)-LEN(M9)+1-FIND(M9, K9)),
"")))))), "")</f>
        <v/>
      </c>
      <c r="Q9" s="4"/>
    </row>
    <row r="10" spans="2:38" x14ac:dyDescent="0.4">
      <c r="B10" t="s">
        <v>21</v>
      </c>
      <c r="C10">
        <f>IF(G10="","",MAX(C$4:C9)+1)</f>
        <v>1</v>
      </c>
      <c r="D10">
        <f>IF(AND(N10=""),"",MAX(D$4:D9)+1)</f>
        <v>1</v>
      </c>
      <c r="F10" s="26" t="str">
        <f t="shared" si="1"/>
        <v>99999936001</v>
      </c>
      <c r="G10" s="29">
        <f t="shared" si="2"/>
        <v>99999936001</v>
      </c>
      <c r="H10" s="20" t="str">
        <f t="shared" si="3"/>
        <v>-</v>
      </c>
      <c r="I10" s="20" t="str">
        <f t="shared" si="4"/>
        <v>ー</v>
      </c>
      <c r="J10" s="20" t="str">
        <f t="shared" si="5"/>
        <v>酒田市</v>
      </c>
      <c r="K10" s="31" t="str">
        <f t="shared" si="6"/>
        <v>99999936001介護施設</v>
      </c>
      <c r="L10" s="23" t="str">
        <f t="shared" si="7"/>
        <v/>
      </c>
      <c r="M10" cm="1">
        <f t="array" ref="M10">IF(COUNT(INDEX(FIND(ROW($1:$10)-1,K10),)),VALUE(MID(K10,MIN(SEARCH({1,2,3,4,5,6,7,8,9,0},K10&amp;1234567890)),LEN(K10)-(LENB(K10)-LEN(K10)))),"")</f>
        <v>99999936001</v>
      </c>
      <c r="N10">
        <f>IF(L10&lt;&gt;"○",M10,INDEX(G$4:G9,MATCH(L10&amp;M10,F$4:F9,0)))</f>
        <v>99999936001</v>
      </c>
      <c r="O10" t="str">
        <f t="shared" si="8"/>
        <v>介護施設</v>
      </c>
      <c r="Q10" s="4">
        <v>44951</v>
      </c>
      <c r="S10" t="str">
        <f>$O$1&amp;
936&amp;
REPT("0",3-LEN(ROW($S1)))&amp;ROW($S1)</f>
        <v>99999936001</v>
      </c>
      <c r="T10" t="s">
        <v>50</v>
      </c>
      <c r="U10" t="s">
        <v>50</v>
      </c>
      <c r="V10" t="s">
        <v>447</v>
      </c>
      <c r="AB10" t="str">
        <f>$S$10&amp;"介護施設"</f>
        <v>99999936001介護施設</v>
      </c>
    </row>
    <row r="11" spans="2:38" x14ac:dyDescent="0.4">
      <c r="B11" t="s">
        <v>21</v>
      </c>
      <c r="C11">
        <f>IF(G11="","",MAX(C$4:C10)+1)</f>
        <v>2</v>
      </c>
      <c r="D11">
        <f>IF(AND(N11=""),"",MAX(D$4:D10)+1)</f>
        <v>2</v>
      </c>
      <c r="F11" s="26" t="str">
        <f t="shared" si="1"/>
        <v>99999936002</v>
      </c>
      <c r="G11" s="29">
        <f t="shared" si="2"/>
        <v>99999936002</v>
      </c>
      <c r="H11" s="20" t="str">
        <f t="shared" si="3"/>
        <v>-</v>
      </c>
      <c r="I11" s="20" t="str">
        <f t="shared" si="4"/>
        <v>ー</v>
      </c>
      <c r="J11" s="20" t="str">
        <f t="shared" si="5"/>
        <v>酒田市</v>
      </c>
      <c r="K11" s="31" t="str">
        <f t="shared" si="6"/>
        <v>99999936001関連</v>
      </c>
      <c r="L11" s="23" t="str">
        <f t="shared" si="7"/>
        <v/>
      </c>
      <c r="M11" cm="1">
        <f t="array" ref="M11">IF(COUNT(INDEX(FIND(ROW($1:$10)-1,K11),)),VALUE(MID(K11,MIN(SEARCH({1,2,3,4,5,6,7,8,9,0},K11&amp;1234567890)),LEN(K11)-(LENB(K11)-LEN(K11)))),"")</f>
        <v>99999936001</v>
      </c>
      <c r="N11">
        <f>IF(L11&lt;&gt;"○",M11,INDEX(G$4:G10,MATCH(L11&amp;M11,F$4:F10,0)))</f>
        <v>99999936001</v>
      </c>
      <c r="O11" t="str">
        <f t="shared" si="8"/>
        <v>関連</v>
      </c>
      <c r="Q11" s="4">
        <v>44951</v>
      </c>
      <c r="S11" t="str">
        <f t="shared" ref="S11:S23" si="9">$O$1&amp;
936&amp;
REPT("0",3-LEN(ROW($S2)))&amp;ROW($S2)</f>
        <v>99999936002</v>
      </c>
      <c r="T11" t="s">
        <v>50</v>
      </c>
      <c r="U11" t="s">
        <v>50</v>
      </c>
      <c r="V11" t="s">
        <v>447</v>
      </c>
      <c r="AB11" t="str">
        <f>$S$10&amp;"関連"</f>
        <v>99999936001関連</v>
      </c>
    </row>
    <row r="12" spans="2:38" x14ac:dyDescent="0.4">
      <c r="B12" t="s">
        <v>21</v>
      </c>
      <c r="C12">
        <f>IF(G12="","",MAX(C$4:C11)+1)</f>
        <v>3</v>
      </c>
      <c r="D12">
        <f>IF(AND(N12=""),"",MAX(D$4:D11)+1)</f>
        <v>3</v>
      </c>
      <c r="F12" s="26" t="str">
        <f t="shared" si="1"/>
        <v>99999936003</v>
      </c>
      <c r="G12" s="29">
        <f t="shared" si="2"/>
        <v>99999936003</v>
      </c>
      <c r="H12" s="20" t="str">
        <f t="shared" si="3"/>
        <v>-</v>
      </c>
      <c r="I12" s="20" t="str">
        <f t="shared" si="4"/>
        <v>ー</v>
      </c>
      <c r="J12" s="20" t="str">
        <f t="shared" si="5"/>
        <v>酒田市</v>
      </c>
      <c r="K12" s="31" t="str">
        <f t="shared" si="6"/>
        <v>99999936001関連</v>
      </c>
      <c r="L12" s="23" t="str">
        <f t="shared" si="7"/>
        <v/>
      </c>
      <c r="M12" cm="1">
        <f t="array" ref="M12">IF(COUNT(INDEX(FIND(ROW($1:$10)-1,K12),)),VALUE(MID(K12,MIN(SEARCH({1,2,3,4,5,6,7,8,9,0},K12&amp;1234567890)),LEN(K12)-(LENB(K12)-LEN(K12)))),"")</f>
        <v>99999936001</v>
      </c>
      <c r="N12">
        <f>IF(L12&lt;&gt;"○",M12,INDEX(G$4:G11,MATCH(L12&amp;M12,F$4:F11,0)))</f>
        <v>99999936001</v>
      </c>
      <c r="O12" t="str">
        <f t="shared" si="8"/>
        <v>関連</v>
      </c>
      <c r="Q12" s="4">
        <v>44951</v>
      </c>
      <c r="S12" t="str">
        <f t="shared" si="9"/>
        <v>99999936003</v>
      </c>
      <c r="T12" t="s">
        <v>50</v>
      </c>
      <c r="U12" t="s">
        <v>50</v>
      </c>
      <c r="V12" t="s">
        <v>447</v>
      </c>
      <c r="AB12" t="str">
        <f t="shared" ref="AB12:AB23" si="10">$S$10&amp;"関連"</f>
        <v>99999936001関連</v>
      </c>
    </row>
    <row r="13" spans="2:38" x14ac:dyDescent="0.4">
      <c r="B13" t="s">
        <v>21</v>
      </c>
      <c r="C13">
        <f>IF(G13="","",MAX(C$4:C12)+1)</f>
        <v>4</v>
      </c>
      <c r="D13">
        <f>IF(AND(N13=""),"",MAX(D$4:D12)+1)</f>
        <v>4</v>
      </c>
      <c r="F13" s="26" t="str">
        <f t="shared" si="1"/>
        <v>99999936004</v>
      </c>
      <c r="G13" s="29">
        <f t="shared" si="2"/>
        <v>99999936004</v>
      </c>
      <c r="H13" s="20" t="str">
        <f t="shared" si="3"/>
        <v>-</v>
      </c>
      <c r="I13" s="20" t="str">
        <f t="shared" si="4"/>
        <v>ー</v>
      </c>
      <c r="J13" s="20" t="str">
        <f t="shared" si="5"/>
        <v>酒田市</v>
      </c>
      <c r="K13" s="31" t="str">
        <f t="shared" si="6"/>
        <v>99999936001関連</v>
      </c>
      <c r="L13" s="23" t="str">
        <f t="shared" si="7"/>
        <v/>
      </c>
      <c r="M13" cm="1">
        <f t="array" ref="M13">IF(COUNT(INDEX(FIND(ROW($1:$10)-1,K13),)),VALUE(MID(K13,MIN(SEARCH({1,2,3,4,5,6,7,8,9,0},K13&amp;1234567890)),LEN(K13)-(LENB(K13)-LEN(K13)))),"")</f>
        <v>99999936001</v>
      </c>
      <c r="N13">
        <f>IF(L13&lt;&gt;"○",M13,INDEX(G$4:G12,MATCH(L13&amp;M13,F$4:F12,0)))</f>
        <v>99999936001</v>
      </c>
      <c r="O13" t="str">
        <f t="shared" si="8"/>
        <v>関連</v>
      </c>
      <c r="Q13" s="4">
        <v>44951</v>
      </c>
      <c r="S13" t="str">
        <f t="shared" si="9"/>
        <v>99999936004</v>
      </c>
      <c r="T13" t="s">
        <v>50</v>
      </c>
      <c r="U13" t="s">
        <v>50</v>
      </c>
      <c r="V13" t="s">
        <v>447</v>
      </c>
      <c r="AB13" t="str">
        <f t="shared" si="10"/>
        <v>99999936001関連</v>
      </c>
    </row>
    <row r="14" spans="2:38" x14ac:dyDescent="0.4">
      <c r="B14" t="s">
        <v>21</v>
      </c>
      <c r="C14">
        <f>IF(G14="","",MAX(C$4:C13)+1)</f>
        <v>5</v>
      </c>
      <c r="D14">
        <f>IF(AND(N14=""),"",MAX(D$4:D13)+1)</f>
        <v>5</v>
      </c>
      <c r="F14" s="26" t="str">
        <f t="shared" si="1"/>
        <v>99999936005</v>
      </c>
      <c r="G14" s="29">
        <f t="shared" si="2"/>
        <v>99999936005</v>
      </c>
      <c r="H14" s="20" t="str">
        <f t="shared" si="3"/>
        <v>-</v>
      </c>
      <c r="I14" s="20" t="str">
        <f t="shared" si="4"/>
        <v>ー</v>
      </c>
      <c r="J14" s="20" t="str">
        <f t="shared" si="5"/>
        <v>酒田市</v>
      </c>
      <c r="K14" s="31" t="str">
        <f t="shared" si="6"/>
        <v>99999936001関連</v>
      </c>
      <c r="L14" s="23" t="str">
        <f t="shared" si="7"/>
        <v/>
      </c>
      <c r="M14" cm="1">
        <f t="array" ref="M14">IF(COUNT(INDEX(FIND(ROW($1:$10)-1,K14),)),VALUE(MID(K14,MIN(SEARCH({1,2,3,4,5,6,7,8,9,0},K14&amp;1234567890)),LEN(K14)-(LENB(K14)-LEN(K14)))),"")</f>
        <v>99999936001</v>
      </c>
      <c r="N14">
        <f>IF(L14&lt;&gt;"○",M14,INDEX(G$4:G13,MATCH(L14&amp;M14,F$4:F13,0)))</f>
        <v>99999936001</v>
      </c>
      <c r="O14" t="str">
        <f t="shared" si="8"/>
        <v>関連</v>
      </c>
      <c r="Q14" s="4">
        <v>44951</v>
      </c>
      <c r="S14" t="str">
        <f t="shared" si="9"/>
        <v>99999936005</v>
      </c>
      <c r="T14" t="s">
        <v>50</v>
      </c>
      <c r="U14" t="s">
        <v>50</v>
      </c>
      <c r="V14" t="s">
        <v>447</v>
      </c>
      <c r="AB14" t="str">
        <f t="shared" si="10"/>
        <v>99999936001関連</v>
      </c>
    </row>
    <row r="15" spans="2:38" x14ac:dyDescent="0.4">
      <c r="B15" t="s">
        <v>21</v>
      </c>
      <c r="C15">
        <f>IF(G15="","",MAX(C$4:C14)+1)</f>
        <v>6</v>
      </c>
      <c r="D15">
        <f>IF(AND(N15=""),"",MAX(D$4:D14)+1)</f>
        <v>6</v>
      </c>
      <c r="F15" s="26" t="str">
        <f t="shared" si="1"/>
        <v>99999936006</v>
      </c>
      <c r="G15" s="29">
        <f t="shared" si="2"/>
        <v>99999936006</v>
      </c>
      <c r="H15" s="20" t="str">
        <f t="shared" si="3"/>
        <v>-</v>
      </c>
      <c r="I15" s="20" t="str">
        <f t="shared" si="4"/>
        <v>ー</v>
      </c>
      <c r="J15" s="20" t="str">
        <f t="shared" si="5"/>
        <v>酒田市</v>
      </c>
      <c r="K15" s="31" t="str">
        <f t="shared" si="6"/>
        <v>99999936001関連</v>
      </c>
      <c r="L15" s="23" t="str">
        <f t="shared" si="7"/>
        <v/>
      </c>
      <c r="M15" cm="1">
        <f t="array" ref="M15">IF(COUNT(INDEX(FIND(ROW($1:$10)-1,K15),)),VALUE(MID(K15,MIN(SEARCH({1,2,3,4,5,6,7,8,9,0},K15&amp;1234567890)),LEN(K15)-(LENB(K15)-LEN(K15)))),"")</f>
        <v>99999936001</v>
      </c>
      <c r="N15">
        <f>IF(L15&lt;&gt;"○",M15,INDEX(G$4:G14,MATCH(L15&amp;M15,F$4:F14,0)))</f>
        <v>99999936001</v>
      </c>
      <c r="O15" t="str">
        <f t="shared" si="8"/>
        <v>関連</v>
      </c>
      <c r="Q15" s="4">
        <v>44951</v>
      </c>
      <c r="S15" t="str">
        <f t="shared" si="9"/>
        <v>99999936006</v>
      </c>
      <c r="T15" t="s">
        <v>50</v>
      </c>
      <c r="U15" t="s">
        <v>50</v>
      </c>
      <c r="V15" t="s">
        <v>447</v>
      </c>
      <c r="AB15" t="str">
        <f t="shared" si="10"/>
        <v>99999936001関連</v>
      </c>
    </row>
    <row r="16" spans="2:38" x14ac:dyDescent="0.4">
      <c r="B16" t="s">
        <v>21</v>
      </c>
      <c r="C16">
        <f>IF(G16="","",MAX(C$4:C15)+1)</f>
        <v>7</v>
      </c>
      <c r="D16">
        <f>IF(AND(N16=""),"",MAX(D$4:D15)+1)</f>
        <v>7</v>
      </c>
      <c r="F16" s="26" t="str">
        <f t="shared" si="1"/>
        <v>99999936007</v>
      </c>
      <c r="G16" s="29">
        <f t="shared" si="2"/>
        <v>99999936007</v>
      </c>
      <c r="H16" s="20" t="str">
        <f t="shared" si="3"/>
        <v>-</v>
      </c>
      <c r="I16" s="20" t="str">
        <f t="shared" si="4"/>
        <v>ー</v>
      </c>
      <c r="J16" s="20" t="str">
        <f t="shared" si="5"/>
        <v>酒田市</v>
      </c>
      <c r="K16" s="31" t="str">
        <f t="shared" si="6"/>
        <v>99999936001関連</v>
      </c>
      <c r="L16" s="23" t="str">
        <f t="shared" si="7"/>
        <v/>
      </c>
      <c r="M16" cm="1">
        <f t="array" ref="M16">IF(COUNT(INDEX(FIND(ROW($1:$10)-1,K16),)),VALUE(MID(K16,MIN(SEARCH({1,2,3,4,5,6,7,8,9,0},K16&amp;1234567890)),LEN(K16)-(LENB(K16)-LEN(K16)))),"")</f>
        <v>99999936001</v>
      </c>
      <c r="N16">
        <f>IF(L16&lt;&gt;"○",M16,INDEX(G$4:G15,MATCH(L16&amp;M16,F$4:F15,0)))</f>
        <v>99999936001</v>
      </c>
      <c r="O16" t="str">
        <f t="shared" si="8"/>
        <v>関連</v>
      </c>
      <c r="Q16" s="4">
        <v>44951</v>
      </c>
      <c r="S16" t="str">
        <f t="shared" si="9"/>
        <v>99999936007</v>
      </c>
      <c r="T16" t="s">
        <v>50</v>
      </c>
      <c r="U16" t="s">
        <v>50</v>
      </c>
      <c r="V16" t="s">
        <v>447</v>
      </c>
      <c r="AB16" t="str">
        <f t="shared" si="10"/>
        <v>99999936001関連</v>
      </c>
    </row>
    <row r="17" spans="2:28" x14ac:dyDescent="0.4">
      <c r="B17" t="s">
        <v>21</v>
      </c>
      <c r="C17">
        <f>IF(G17="","",MAX(C$4:C16)+1)</f>
        <v>8</v>
      </c>
      <c r="D17">
        <f>IF(AND(N17=""),"",MAX(D$4:D16)+1)</f>
        <v>8</v>
      </c>
      <c r="F17" s="26" t="str">
        <f t="shared" si="1"/>
        <v>99999936008</v>
      </c>
      <c r="G17" s="29">
        <f t="shared" si="2"/>
        <v>99999936008</v>
      </c>
      <c r="H17" s="20" t="str">
        <f t="shared" si="3"/>
        <v>-</v>
      </c>
      <c r="I17" s="20" t="str">
        <f t="shared" si="4"/>
        <v>ー</v>
      </c>
      <c r="J17" s="20" t="str">
        <f t="shared" si="5"/>
        <v>酒田市</v>
      </c>
      <c r="K17" s="31" t="str">
        <f t="shared" si="6"/>
        <v>99999936001関連</v>
      </c>
      <c r="L17" s="23" t="str">
        <f t="shared" si="7"/>
        <v/>
      </c>
      <c r="M17" cm="1">
        <f t="array" ref="M17">IF(COUNT(INDEX(FIND(ROW($1:$10)-1,K17),)),VALUE(MID(K17,MIN(SEARCH({1,2,3,4,5,6,7,8,9,0},K17&amp;1234567890)),LEN(K17)-(LENB(K17)-LEN(K17)))),"")</f>
        <v>99999936001</v>
      </c>
      <c r="N17">
        <f>IF(L17&lt;&gt;"○",M17,INDEX(G$4:G16,MATCH(L17&amp;M17,F$4:F16,0)))</f>
        <v>99999936001</v>
      </c>
      <c r="O17" t="str">
        <f t="shared" si="8"/>
        <v>関連</v>
      </c>
      <c r="Q17" s="4">
        <v>44951</v>
      </c>
      <c r="S17" t="str">
        <f t="shared" si="9"/>
        <v>99999936008</v>
      </c>
      <c r="T17" t="s">
        <v>50</v>
      </c>
      <c r="U17" t="s">
        <v>50</v>
      </c>
      <c r="V17" t="s">
        <v>447</v>
      </c>
      <c r="AB17" t="str">
        <f t="shared" si="10"/>
        <v>99999936001関連</v>
      </c>
    </row>
    <row r="18" spans="2:28" x14ac:dyDescent="0.4">
      <c r="B18" t="s">
        <v>21</v>
      </c>
      <c r="C18">
        <f>IF(G18="","",MAX(C$4:C17)+1)</f>
        <v>9</v>
      </c>
      <c r="D18">
        <f>IF(AND(N18=""),"",MAX(D$4:D17)+1)</f>
        <v>9</v>
      </c>
      <c r="F18" s="26" t="str">
        <f t="shared" si="1"/>
        <v>99999936009</v>
      </c>
      <c r="G18" s="29">
        <f t="shared" si="2"/>
        <v>99999936009</v>
      </c>
      <c r="H18" s="20" t="str">
        <f t="shared" si="3"/>
        <v>-</v>
      </c>
      <c r="I18" s="20" t="str">
        <f t="shared" si="4"/>
        <v>ー</v>
      </c>
      <c r="J18" s="20" t="str">
        <f t="shared" si="5"/>
        <v>酒田市</v>
      </c>
      <c r="K18" s="31" t="str">
        <f t="shared" si="6"/>
        <v>99999936001関連</v>
      </c>
      <c r="L18" s="23" t="str">
        <f t="shared" si="7"/>
        <v/>
      </c>
      <c r="M18" cm="1">
        <f t="array" ref="M18">IF(COUNT(INDEX(FIND(ROW($1:$10)-1,K18),)),VALUE(MID(K18,MIN(SEARCH({1,2,3,4,5,6,7,8,9,0},K18&amp;1234567890)),LEN(K18)-(LENB(K18)-LEN(K18)))),"")</f>
        <v>99999936001</v>
      </c>
      <c r="N18">
        <f>IF(L18&lt;&gt;"○",M18,INDEX(G$4:G17,MATCH(L18&amp;M18,F$4:F17,0)))</f>
        <v>99999936001</v>
      </c>
      <c r="O18" t="str">
        <f t="shared" si="8"/>
        <v>関連</v>
      </c>
      <c r="Q18" s="4">
        <v>44951</v>
      </c>
      <c r="S18" t="str">
        <f t="shared" si="9"/>
        <v>99999936009</v>
      </c>
      <c r="T18" t="s">
        <v>50</v>
      </c>
      <c r="U18" t="s">
        <v>50</v>
      </c>
      <c r="V18" t="s">
        <v>447</v>
      </c>
      <c r="AB18" t="str">
        <f t="shared" si="10"/>
        <v>99999936001関連</v>
      </c>
    </row>
    <row r="19" spans="2:28" x14ac:dyDescent="0.4">
      <c r="B19" t="s">
        <v>21</v>
      </c>
      <c r="C19">
        <f>IF(G19="","",MAX(C$4:C18)+1)</f>
        <v>10</v>
      </c>
      <c r="D19">
        <f>IF(AND(N19=""),"",MAX(D$4:D18)+1)</f>
        <v>10</v>
      </c>
      <c r="F19" s="26" t="str">
        <f t="shared" si="1"/>
        <v>99999936010</v>
      </c>
      <c r="G19" s="29">
        <f t="shared" si="2"/>
        <v>99999936010</v>
      </c>
      <c r="H19" s="20" t="str">
        <f t="shared" si="3"/>
        <v>-</v>
      </c>
      <c r="I19" s="20" t="str">
        <f t="shared" si="4"/>
        <v>ー</v>
      </c>
      <c r="J19" s="20" t="str">
        <f t="shared" si="5"/>
        <v>酒田市</v>
      </c>
      <c r="K19" s="31" t="str">
        <f t="shared" si="6"/>
        <v>99999936001関連</v>
      </c>
      <c r="L19" s="23" t="str">
        <f t="shared" si="7"/>
        <v/>
      </c>
      <c r="M19" cm="1">
        <f t="array" ref="M19">IF(COUNT(INDEX(FIND(ROW($1:$10)-1,K19),)),VALUE(MID(K19,MIN(SEARCH({1,2,3,4,5,6,7,8,9,0},K19&amp;1234567890)),LEN(K19)-(LENB(K19)-LEN(K19)))),"")</f>
        <v>99999936001</v>
      </c>
      <c r="N19">
        <f>IF(L19&lt;&gt;"○",M19,INDEX(G$4:G18,MATCH(L19&amp;M19,F$4:F18,0)))</f>
        <v>99999936001</v>
      </c>
      <c r="O19" t="str">
        <f t="shared" si="8"/>
        <v>関連</v>
      </c>
      <c r="Q19" s="4">
        <v>44951</v>
      </c>
      <c r="S19" t="str">
        <f t="shared" si="9"/>
        <v>99999936010</v>
      </c>
      <c r="T19" t="s">
        <v>50</v>
      </c>
      <c r="U19" t="s">
        <v>50</v>
      </c>
      <c r="V19" t="s">
        <v>447</v>
      </c>
      <c r="AB19" t="str">
        <f t="shared" si="10"/>
        <v>99999936001関連</v>
      </c>
    </row>
    <row r="20" spans="2:28" x14ac:dyDescent="0.4">
      <c r="B20" t="s">
        <v>21</v>
      </c>
      <c r="C20">
        <f>IF(G20="","",MAX(C$4:C19)+1)</f>
        <v>11</v>
      </c>
      <c r="D20">
        <f>IF(AND(N20=""),"",MAX(D$4:D19)+1)</f>
        <v>11</v>
      </c>
      <c r="F20" s="26" t="str">
        <f t="shared" si="1"/>
        <v>99999936011</v>
      </c>
      <c r="G20" s="29">
        <f t="shared" si="2"/>
        <v>99999936011</v>
      </c>
      <c r="H20" s="20" t="str">
        <f t="shared" si="3"/>
        <v>-</v>
      </c>
      <c r="I20" s="20" t="str">
        <f t="shared" si="4"/>
        <v>ー</v>
      </c>
      <c r="J20" s="20" t="str">
        <f t="shared" si="5"/>
        <v>酒田市</v>
      </c>
      <c r="K20" s="31" t="str">
        <f t="shared" si="6"/>
        <v>99999936001関連</v>
      </c>
      <c r="L20" s="23" t="str">
        <f t="shared" si="7"/>
        <v/>
      </c>
      <c r="M20" cm="1">
        <f t="array" ref="M20">IF(COUNT(INDEX(FIND(ROW($1:$10)-1,K20),)),VALUE(MID(K20,MIN(SEARCH({1,2,3,4,5,6,7,8,9,0},K20&amp;1234567890)),LEN(K20)-(LENB(K20)-LEN(K20)))),"")</f>
        <v>99999936001</v>
      </c>
      <c r="N20">
        <f>IF(L20&lt;&gt;"○",M20,INDEX(G$4:G19,MATCH(L20&amp;M20,F$4:F19,0)))</f>
        <v>99999936001</v>
      </c>
      <c r="O20" t="str">
        <f t="shared" si="8"/>
        <v>関連</v>
      </c>
      <c r="Q20" s="4">
        <v>44951</v>
      </c>
      <c r="S20" t="str">
        <f t="shared" si="9"/>
        <v>99999936011</v>
      </c>
      <c r="T20" t="s">
        <v>50</v>
      </c>
      <c r="U20" t="s">
        <v>50</v>
      </c>
      <c r="V20" t="s">
        <v>447</v>
      </c>
      <c r="AB20" t="str">
        <f t="shared" si="10"/>
        <v>99999936001関連</v>
      </c>
    </row>
    <row r="21" spans="2:28" x14ac:dyDescent="0.4">
      <c r="B21" t="s">
        <v>21</v>
      </c>
      <c r="C21">
        <f>IF(G21="","",MAX(C$4:C20)+1)</f>
        <v>12</v>
      </c>
      <c r="D21">
        <f>IF(AND(N21=""),"",MAX(D$4:D20)+1)</f>
        <v>12</v>
      </c>
      <c r="F21" s="26" t="str">
        <f t="shared" si="1"/>
        <v>99999936012</v>
      </c>
      <c r="G21" s="29">
        <f t="shared" si="2"/>
        <v>99999936012</v>
      </c>
      <c r="H21" s="20" t="str">
        <f t="shared" si="3"/>
        <v>-</v>
      </c>
      <c r="I21" s="20" t="str">
        <f t="shared" si="4"/>
        <v>ー</v>
      </c>
      <c r="J21" s="20" t="str">
        <f t="shared" si="5"/>
        <v>酒田市</v>
      </c>
      <c r="K21" s="31" t="str">
        <f t="shared" si="6"/>
        <v>99999936001関連</v>
      </c>
      <c r="L21" s="23" t="str">
        <f t="shared" si="7"/>
        <v/>
      </c>
      <c r="M21" cm="1">
        <f t="array" ref="M21">IF(COUNT(INDEX(FIND(ROW($1:$10)-1,K21),)),VALUE(MID(K21,MIN(SEARCH({1,2,3,4,5,6,7,8,9,0},K21&amp;1234567890)),LEN(K21)-(LENB(K21)-LEN(K21)))),"")</f>
        <v>99999936001</v>
      </c>
      <c r="N21">
        <f>IF(L21&lt;&gt;"○",M21,INDEX(G$4:G20,MATCH(L21&amp;M21,F$4:F20,0)))</f>
        <v>99999936001</v>
      </c>
      <c r="O21" t="str">
        <f t="shared" si="8"/>
        <v>関連</v>
      </c>
      <c r="Q21" s="4">
        <v>44951</v>
      </c>
      <c r="S21" t="str">
        <f t="shared" si="9"/>
        <v>99999936012</v>
      </c>
      <c r="T21" t="s">
        <v>50</v>
      </c>
      <c r="U21" t="s">
        <v>50</v>
      </c>
      <c r="V21" t="s">
        <v>447</v>
      </c>
      <c r="AB21" t="str">
        <f t="shared" si="10"/>
        <v>99999936001関連</v>
      </c>
    </row>
    <row r="22" spans="2:28" x14ac:dyDescent="0.4">
      <c r="B22" t="s">
        <v>21</v>
      </c>
      <c r="C22">
        <f>IF(G22="","",MAX(C$4:C21)+1)</f>
        <v>13</v>
      </c>
      <c r="D22">
        <f>IF(AND(N22=""),"",MAX(D$4:D21)+1)</f>
        <v>13</v>
      </c>
      <c r="F22" s="26" t="str">
        <f t="shared" si="1"/>
        <v>99999936013</v>
      </c>
      <c r="G22" s="29">
        <f t="shared" si="2"/>
        <v>99999936013</v>
      </c>
      <c r="H22" s="20" t="str">
        <f t="shared" si="3"/>
        <v>-</v>
      </c>
      <c r="I22" s="20" t="str">
        <f t="shared" si="4"/>
        <v>ー</v>
      </c>
      <c r="J22" s="20" t="str">
        <f t="shared" si="5"/>
        <v>酒田市</v>
      </c>
      <c r="K22" s="31" t="str">
        <f t="shared" si="6"/>
        <v>99999936001関連</v>
      </c>
      <c r="L22" s="23" t="str">
        <f t="shared" si="7"/>
        <v/>
      </c>
      <c r="M22" cm="1">
        <f t="array" ref="M22">IF(COUNT(INDEX(FIND(ROW($1:$10)-1,K22),)),VALUE(MID(K22,MIN(SEARCH({1,2,3,4,5,6,7,8,9,0},K22&amp;1234567890)),LEN(K22)-(LENB(K22)-LEN(K22)))),"")</f>
        <v>99999936001</v>
      </c>
      <c r="N22">
        <f>IF(L22&lt;&gt;"○",M22,INDEX(G$4:G21,MATCH(L22&amp;M22,F$4:F21,0)))</f>
        <v>99999936001</v>
      </c>
      <c r="O22" t="str">
        <f t="shared" si="8"/>
        <v>関連</v>
      </c>
      <c r="Q22" s="4">
        <v>44951</v>
      </c>
      <c r="S22" t="str">
        <f t="shared" si="9"/>
        <v>99999936013</v>
      </c>
      <c r="T22" t="s">
        <v>50</v>
      </c>
      <c r="U22" t="s">
        <v>50</v>
      </c>
      <c r="V22" t="s">
        <v>447</v>
      </c>
      <c r="AB22" t="str">
        <f t="shared" si="10"/>
        <v>99999936001関連</v>
      </c>
    </row>
    <row r="23" spans="2:28" x14ac:dyDescent="0.4">
      <c r="B23" t="s">
        <v>21</v>
      </c>
      <c r="C23">
        <f>IF(G23="","",MAX(C$4:C22)+1)</f>
        <v>14</v>
      </c>
      <c r="D23">
        <f>IF(AND(N23=""),"",MAX(D$4:D22)+1)</f>
        <v>14</v>
      </c>
      <c r="F23" s="26" t="str">
        <f t="shared" si="1"/>
        <v>99999936014</v>
      </c>
      <c r="G23" s="29">
        <f t="shared" si="2"/>
        <v>99999936014</v>
      </c>
      <c r="H23" s="20" t="str">
        <f t="shared" si="3"/>
        <v>-</v>
      </c>
      <c r="I23" s="20" t="str">
        <f t="shared" si="4"/>
        <v>ー</v>
      </c>
      <c r="J23" s="20" t="str">
        <f t="shared" si="5"/>
        <v>酒田市</v>
      </c>
      <c r="K23" s="31" t="str">
        <f t="shared" si="6"/>
        <v>99999936001関連</v>
      </c>
      <c r="L23" s="23" t="str">
        <f t="shared" si="7"/>
        <v/>
      </c>
      <c r="M23" cm="1">
        <f t="array" ref="M23">IF(COUNT(INDEX(FIND(ROW($1:$10)-1,K23),)),VALUE(MID(K23,MIN(SEARCH({1,2,3,4,5,6,7,8,9,0},K23&amp;1234567890)),LEN(K23)-(LENB(K23)-LEN(K23)))),"")</f>
        <v>99999936001</v>
      </c>
      <c r="N23">
        <f>IF(L23&lt;&gt;"○",M23,INDEX(G$4:G22,MATCH(L23&amp;M23,F$4:F22,0)))</f>
        <v>99999936001</v>
      </c>
      <c r="O23" t="str">
        <f t="shared" si="8"/>
        <v>関連</v>
      </c>
      <c r="Q23" s="4">
        <v>44951</v>
      </c>
      <c r="S23" t="str">
        <f t="shared" si="9"/>
        <v>99999936014</v>
      </c>
      <c r="T23" t="s">
        <v>50</v>
      </c>
      <c r="U23" t="s">
        <v>50</v>
      </c>
      <c r="V23" t="s">
        <v>447</v>
      </c>
      <c r="AB23" t="str">
        <f>$S$10&amp;"関連"</f>
        <v>99999936001関連</v>
      </c>
    </row>
    <row r="24" spans="2:28" x14ac:dyDescent="0.4">
      <c r="B24" t="s">
        <v>21</v>
      </c>
      <c r="C24" t="str">
        <f>IF(G24="","",MAX(C$4:C23)+1)</f>
        <v/>
      </c>
      <c r="D24" t="str">
        <f>IF(AND(N24=""),"",MAX(D$4:D23)+1)</f>
        <v/>
      </c>
      <c r="F24" s="26" t="str">
        <f t="shared" si="1"/>
        <v/>
      </c>
      <c r="G24" s="29" t="str">
        <f t="shared" si="2"/>
        <v/>
      </c>
      <c r="H24" s="20" t="str">
        <f t="shared" si="3"/>
        <v/>
      </c>
      <c r="I24" s="20" t="str">
        <f t="shared" si="4"/>
        <v/>
      </c>
      <c r="J24" s="20" t="str">
        <f t="shared" si="5"/>
        <v/>
      </c>
      <c r="K24" s="31" t="str">
        <f t="shared" si="6"/>
        <v/>
      </c>
      <c r="L24" s="23" t="str">
        <f t="shared" si="7"/>
        <v/>
      </c>
      <c r="M24" t="str" cm="1">
        <f t="array" ref="M24">IF(COUNT(INDEX(FIND(ROW($1:$10)-1,K24),)),VALUE(MID(K24,MIN(SEARCH({1,2,3,4,5,6,7,8,9,0},K24&amp;1234567890)),LEN(K24)-(LENB(K24)-LEN(K24)))),"")</f>
        <v/>
      </c>
      <c r="N24" t="str">
        <f>IF(L24&lt;&gt;"○",M24,INDEX(G$4:G23,MATCH(L24&amp;M24,F$4:F23,0)))</f>
        <v/>
      </c>
      <c r="O24" t="str">
        <f t="shared" si="8"/>
        <v/>
      </c>
      <c r="Q24" s="4"/>
    </row>
    <row r="25" spans="2:28" x14ac:dyDescent="0.4">
      <c r="B25" t="s">
        <v>21</v>
      </c>
      <c r="C25">
        <f>IF(G25="","",MAX(C$4:C24)+1)</f>
        <v>15</v>
      </c>
      <c r="D25">
        <f>IF(AND(N25=""),"",MAX(D$4:D24)+1)</f>
        <v>15</v>
      </c>
      <c r="F25" s="26" t="str">
        <f t="shared" si="1"/>
        <v>99999937001</v>
      </c>
      <c r="G25" s="29">
        <f t="shared" si="2"/>
        <v>99999937001</v>
      </c>
      <c r="H25" s="20" t="str">
        <f t="shared" si="3"/>
        <v>-</v>
      </c>
      <c r="I25" s="20" t="str">
        <f t="shared" si="4"/>
        <v>ー</v>
      </c>
      <c r="J25" s="20" t="str">
        <f t="shared" si="5"/>
        <v>山形市</v>
      </c>
      <c r="K25" s="31" t="str">
        <f t="shared" si="6"/>
        <v>99999937001介護施設</v>
      </c>
      <c r="L25" s="23" t="str">
        <f t="shared" si="7"/>
        <v/>
      </c>
      <c r="M25" cm="1">
        <f t="array" ref="M25">IF(COUNT(INDEX(FIND(ROW($1:$10)-1,K25),)),VALUE(MID(K25,MIN(SEARCH({1,2,3,4,5,6,7,8,9,0},K25&amp;1234567890)),LEN(K25)-(LENB(K25)-LEN(K25)))),"")</f>
        <v>99999937001</v>
      </c>
      <c r="N25">
        <f>IF(L25&lt;&gt;"○",M25,INDEX(G$4:G24,MATCH(L25&amp;M25,F$4:F24,0)))</f>
        <v>99999937001</v>
      </c>
      <c r="O25" t="str">
        <f t="shared" si="8"/>
        <v>介護施設</v>
      </c>
      <c r="Q25" s="4">
        <v>44951</v>
      </c>
      <c r="S25" t="str">
        <f>$O$1&amp;
937&amp;
REPT("0",3-LEN(ROW($S1)))&amp;ROW($S1)</f>
        <v>99999937001</v>
      </c>
      <c r="T25" t="s">
        <v>50</v>
      </c>
      <c r="U25" t="s">
        <v>50</v>
      </c>
      <c r="V25" t="s">
        <v>446</v>
      </c>
      <c r="AB25" t="str">
        <f>$S$25&amp;"介護施設"</f>
        <v>99999937001介護施設</v>
      </c>
    </row>
    <row r="26" spans="2:28" x14ac:dyDescent="0.4">
      <c r="B26" t="s">
        <v>21</v>
      </c>
      <c r="C26" t="str">
        <f>IF(G26="","",MAX(C$4:C25)+1)</f>
        <v/>
      </c>
      <c r="D26" t="str">
        <f>IF(AND(N26=""),"",MAX(D$4:D25)+1)</f>
        <v/>
      </c>
      <c r="F26" s="26" t="str">
        <f t="shared" si="1"/>
        <v/>
      </c>
      <c r="G26" s="29" t="str">
        <f t="shared" si="2"/>
        <v/>
      </c>
      <c r="H26" s="20" t="str">
        <f t="shared" si="3"/>
        <v/>
      </c>
      <c r="I26" s="20" t="str">
        <f t="shared" si="4"/>
        <v/>
      </c>
      <c r="J26" s="20" t="str">
        <f t="shared" si="5"/>
        <v/>
      </c>
      <c r="K26" s="31" t="str">
        <f t="shared" si="6"/>
        <v/>
      </c>
      <c r="L26" s="23" t="str">
        <f t="shared" si="7"/>
        <v/>
      </c>
      <c r="M26" t="str" cm="1">
        <f t="array" ref="M26">IF(COUNT(INDEX(FIND(ROW($1:$10)-1,K26),)),VALUE(MID(K26,MIN(SEARCH({1,2,3,4,5,6,7,8,9,0},K26&amp;1234567890)),LEN(K26)-(LENB(K26)-LEN(K26)))),"")</f>
        <v/>
      </c>
      <c r="N26" t="str">
        <f>IF(L26&lt;&gt;"○",M26,INDEX(G$4:G25,MATCH(L26&amp;M26,F$4:F25,0)))</f>
        <v/>
      </c>
      <c r="O26" t="str">
        <f t="shared" si="8"/>
        <v/>
      </c>
      <c r="Q26" s="4"/>
    </row>
    <row r="27" spans="2:28" x14ac:dyDescent="0.4">
      <c r="B27" t="s">
        <v>21</v>
      </c>
      <c r="C27">
        <f>IF(G27="","",MAX(C$4:C26)+1)</f>
        <v>16</v>
      </c>
      <c r="D27">
        <f>IF(AND(N27=""),"",MAX(D$4:D26)+1)</f>
        <v>16</v>
      </c>
      <c r="F27" s="26" t="str">
        <f t="shared" si="1"/>
        <v>99999938001</v>
      </c>
      <c r="G27" s="29">
        <f t="shared" si="2"/>
        <v>99999938001</v>
      </c>
      <c r="H27" s="20" t="str">
        <f t="shared" si="3"/>
        <v>-</v>
      </c>
      <c r="I27" s="20" t="str">
        <f t="shared" si="4"/>
        <v>ー</v>
      </c>
      <c r="J27" s="20" t="str">
        <f t="shared" si="5"/>
        <v>山形市</v>
      </c>
      <c r="K27" s="31" t="str">
        <f t="shared" si="6"/>
        <v>99999938001介護施設</v>
      </c>
      <c r="L27" s="23" t="str">
        <f t="shared" si="7"/>
        <v/>
      </c>
      <c r="M27" cm="1">
        <f t="array" ref="M27">IF(COUNT(INDEX(FIND(ROW($1:$10)-1,K27),)),VALUE(MID(K27,MIN(SEARCH({1,2,3,4,5,6,7,8,9,0},K27&amp;1234567890)),LEN(K27)-(LENB(K27)-LEN(K27)))),"")</f>
        <v>99999938001</v>
      </c>
      <c r="N27">
        <f>IF(L27&lt;&gt;"○",M27,INDEX(G$4:G26,MATCH(L27&amp;M27,F$4:F26,0)))</f>
        <v>99999938001</v>
      </c>
      <c r="O27" t="str">
        <f t="shared" si="8"/>
        <v>介護施設</v>
      </c>
      <c r="Q27" s="4">
        <v>44951</v>
      </c>
      <c r="S27" t="str">
        <f>$O$1&amp;
938&amp;
REPT("0",3-LEN(ROW($S1)))&amp;ROW($S1)</f>
        <v>99999938001</v>
      </c>
      <c r="T27" t="s">
        <v>50</v>
      </c>
      <c r="U27" t="s">
        <v>50</v>
      </c>
      <c r="V27" t="s">
        <v>446</v>
      </c>
      <c r="AB27" t="str">
        <f>$S$27&amp;"介護施設"</f>
        <v>99999938001介護施設</v>
      </c>
    </row>
    <row r="28" spans="2:28" x14ac:dyDescent="0.4">
      <c r="B28" t="s">
        <v>21</v>
      </c>
      <c r="C28" t="str">
        <f>IF(G28="","",MAX(C$4:C27)+1)</f>
        <v/>
      </c>
      <c r="D28" t="str">
        <f>IF(AND(N28=""),"",MAX(D$4:D27)+1)</f>
        <v/>
      </c>
      <c r="F28" s="26" t="str">
        <f t="shared" si="1"/>
        <v/>
      </c>
      <c r="G28" s="29" t="str">
        <f t="shared" si="2"/>
        <v/>
      </c>
      <c r="H28" s="20" t="str">
        <f t="shared" si="3"/>
        <v/>
      </c>
      <c r="I28" s="20" t="str">
        <f t="shared" si="4"/>
        <v/>
      </c>
      <c r="J28" s="20" t="str">
        <f t="shared" si="5"/>
        <v/>
      </c>
      <c r="K28" s="31" t="str">
        <f t="shared" si="6"/>
        <v/>
      </c>
      <c r="L28" s="23" t="str">
        <f t="shared" si="7"/>
        <v/>
      </c>
      <c r="M28" t="str" cm="1">
        <f t="array" ref="M28">IF(COUNT(INDEX(FIND(ROW($1:$10)-1,K28),)),VALUE(MID(K28,MIN(SEARCH({1,2,3,4,5,6,7,8,9,0},K28&amp;1234567890)),LEN(K28)-(LENB(K28)-LEN(K28)))),"")</f>
        <v/>
      </c>
      <c r="N28" t="str">
        <f>IF(L28&lt;&gt;"○",M28,INDEX(G$4:G27,MATCH(L28&amp;M28,F$4:F27,0)))</f>
        <v/>
      </c>
      <c r="O28" t="str">
        <f t="shared" si="8"/>
        <v/>
      </c>
      <c r="Q28" s="4"/>
    </row>
    <row r="29" spans="2:28" x14ac:dyDescent="0.4">
      <c r="B29" t="s">
        <v>21</v>
      </c>
      <c r="C29" t="str">
        <f>IF(G29="","",MAX(C$4:C28)+1)</f>
        <v/>
      </c>
      <c r="D29" t="str">
        <f>IF(AND(N29=""),"",MAX(D$4:D28)+1)</f>
        <v/>
      </c>
      <c r="F29" s="26" t="str">
        <f t="shared" si="1"/>
        <v/>
      </c>
      <c r="G29" s="29" t="str">
        <f t="shared" si="2"/>
        <v/>
      </c>
      <c r="H29" s="20" t="str">
        <f t="shared" si="3"/>
        <v/>
      </c>
      <c r="I29" s="20" t="str">
        <f t="shared" si="4"/>
        <v/>
      </c>
      <c r="J29" s="20" t="str">
        <f t="shared" si="5"/>
        <v/>
      </c>
      <c r="K29" s="31" t="str">
        <f t="shared" si="6"/>
        <v/>
      </c>
      <c r="L29" s="23" t="str">
        <f t="shared" si="7"/>
        <v/>
      </c>
      <c r="M29" t="str" cm="1">
        <f t="array" ref="M29">IF(COUNT(INDEX(FIND(ROW($1:$10)-1,K29),)),VALUE(MID(K29,MIN(SEARCH({1,2,3,4,5,6,7,8,9,0},K29&amp;1234567890)),LEN(K29)-(LENB(K29)-LEN(K29)))),"")</f>
        <v/>
      </c>
      <c r="N29" t="str">
        <f>IF(L29&lt;&gt;"○",M29,INDEX(G$4:G28,MATCH(L29&amp;M29,F$4:F28,0)))</f>
        <v/>
      </c>
      <c r="O29" t="str">
        <f t="shared" si="8"/>
        <v/>
      </c>
      <c r="Q29" s="4"/>
    </row>
    <row r="30" spans="2:28" x14ac:dyDescent="0.4">
      <c r="B30" t="s">
        <v>21</v>
      </c>
      <c r="C30" t="str">
        <f>IF(G30="","",MAX(C$4:C29)+1)</f>
        <v/>
      </c>
      <c r="D30" t="str">
        <f>IF(AND(N30=""),"",MAX(D$4:D29)+1)</f>
        <v/>
      </c>
      <c r="F30" s="26" t="str">
        <f t="shared" si="1"/>
        <v/>
      </c>
      <c r="G30" s="29" t="str">
        <f t="shared" si="2"/>
        <v/>
      </c>
      <c r="H30" s="20" t="str">
        <f t="shared" si="3"/>
        <v/>
      </c>
      <c r="I30" s="20" t="str">
        <f t="shared" si="4"/>
        <v/>
      </c>
      <c r="J30" s="20" t="str">
        <f t="shared" si="5"/>
        <v/>
      </c>
      <c r="K30" s="31" t="str">
        <f t="shared" si="6"/>
        <v/>
      </c>
      <c r="L30" s="23" t="str">
        <f t="shared" si="7"/>
        <v/>
      </c>
      <c r="M30" t="str" cm="1">
        <f t="array" ref="M30">IF(COUNT(INDEX(FIND(ROW($1:$10)-1,K30),)),VALUE(MID(K30,MIN(SEARCH({1,2,3,4,5,6,7,8,9,0},K30&amp;1234567890)),LEN(K30)-(LENB(K30)-LEN(K30)))),"")</f>
        <v/>
      </c>
      <c r="N30" t="str">
        <f>IF(L30&lt;&gt;"○",M30,INDEX(G$4:G29,MATCH(L30&amp;M30,F$4:F29,0)))</f>
        <v/>
      </c>
      <c r="O30" t="str">
        <f t="shared" si="8"/>
        <v/>
      </c>
      <c r="Q30" s="4"/>
    </row>
    <row r="31" spans="2:28" x14ac:dyDescent="0.4">
      <c r="B31" t="s">
        <v>21</v>
      </c>
      <c r="C31" t="str">
        <f>IF(G31="","",MAX(C$4:C30)+1)</f>
        <v/>
      </c>
      <c r="D31" t="str">
        <f>IF(AND(N31=""),"",MAX(D$4:D30)+1)</f>
        <v/>
      </c>
      <c r="F31" s="26" t="str">
        <f t="shared" si="1"/>
        <v/>
      </c>
      <c r="G31" s="29" t="str">
        <f t="shared" si="2"/>
        <v/>
      </c>
      <c r="H31" s="20" t="str">
        <f t="shared" si="3"/>
        <v/>
      </c>
      <c r="I31" s="20" t="str">
        <f t="shared" si="4"/>
        <v/>
      </c>
      <c r="J31" s="20" t="str">
        <f t="shared" si="5"/>
        <v/>
      </c>
      <c r="K31" s="31" t="str">
        <f t="shared" si="6"/>
        <v/>
      </c>
      <c r="L31" s="23" t="str">
        <f t="shared" si="7"/>
        <v/>
      </c>
      <c r="M31" t="str" cm="1">
        <f t="array" ref="M31">IF(COUNT(INDEX(FIND(ROW($1:$10)-1,K31),)),VALUE(MID(K31,MIN(SEARCH({1,2,3,4,5,6,7,8,9,0},K31&amp;1234567890)),LEN(K31)-(LENB(K31)-LEN(K31)))),"")</f>
        <v/>
      </c>
      <c r="N31" t="str">
        <f>IF(L31&lt;&gt;"○",M31,INDEX(G$4:G30,MATCH(L31&amp;M31,F$4:F30,0)))</f>
        <v/>
      </c>
      <c r="O31" t="str">
        <f t="shared" si="8"/>
        <v/>
      </c>
      <c r="Q31" s="4"/>
    </row>
    <row r="32" spans="2:28" x14ac:dyDescent="0.4">
      <c r="B32" t="s">
        <v>21</v>
      </c>
      <c r="C32" t="str">
        <f>IF(G32="","",MAX(C$4:C31)+1)</f>
        <v/>
      </c>
      <c r="D32" t="str">
        <f>IF(AND(N32=""),"",MAX(D$4:D31)+1)</f>
        <v/>
      </c>
      <c r="F32" s="26" t="str">
        <f t="shared" si="1"/>
        <v/>
      </c>
      <c r="G32" s="29" t="str">
        <f t="shared" si="2"/>
        <v/>
      </c>
      <c r="H32" s="20" t="str">
        <f t="shared" si="3"/>
        <v/>
      </c>
      <c r="I32" s="20" t="str">
        <f t="shared" si="4"/>
        <v/>
      </c>
      <c r="J32" s="20" t="str">
        <f t="shared" si="5"/>
        <v/>
      </c>
      <c r="K32" s="31" t="str">
        <f t="shared" si="6"/>
        <v/>
      </c>
      <c r="L32" s="23" t="str">
        <f t="shared" si="7"/>
        <v/>
      </c>
      <c r="M32" t="str" cm="1">
        <f t="array" ref="M32">IF(COUNT(INDEX(FIND(ROW($1:$10)-1,K32),)),VALUE(MID(K32,MIN(SEARCH({1,2,3,4,5,6,7,8,9,0},K32&amp;1234567890)),LEN(K32)-(LENB(K32)-LEN(K32)))),"")</f>
        <v/>
      </c>
      <c r="N32" t="str">
        <f>IF(L32&lt;&gt;"○",M32,INDEX(G$4:G31,MATCH(L32&amp;M32,F$4:F31,0)))</f>
        <v/>
      </c>
      <c r="O32" t="str">
        <f t="shared" si="8"/>
        <v/>
      </c>
      <c r="Q32" s="4"/>
    </row>
    <row r="33" spans="2:17" x14ac:dyDescent="0.4">
      <c r="B33" t="s">
        <v>21</v>
      </c>
      <c r="C33" t="str">
        <f>IF(G33="","",MAX(C$4:C32)+1)</f>
        <v/>
      </c>
      <c r="D33" t="str">
        <f>IF(AND(N33=""),"",MAX(D$4:D32)+1)</f>
        <v/>
      </c>
      <c r="F33" s="26" t="str">
        <f t="shared" si="1"/>
        <v/>
      </c>
      <c r="G33" s="29" t="str">
        <f t="shared" si="2"/>
        <v/>
      </c>
      <c r="H33" s="20" t="str">
        <f t="shared" si="3"/>
        <v/>
      </c>
      <c r="I33" s="20" t="str">
        <f t="shared" si="4"/>
        <v/>
      </c>
      <c r="J33" s="20" t="str">
        <f t="shared" si="5"/>
        <v/>
      </c>
      <c r="K33" s="31" t="str">
        <f t="shared" si="6"/>
        <v/>
      </c>
      <c r="L33" s="23" t="str">
        <f t="shared" si="7"/>
        <v/>
      </c>
      <c r="M33" t="str" cm="1">
        <f t="array" ref="M33">IF(COUNT(INDEX(FIND(ROW($1:$10)-1,K33),)),VALUE(MID(K33,MIN(SEARCH({1,2,3,4,5,6,7,8,9,0},K33&amp;1234567890)),LEN(K33)-(LENB(K33)-LEN(K33)))),"")</f>
        <v/>
      </c>
      <c r="N33" t="str">
        <f>IF(L33&lt;&gt;"○",M33,INDEX(G$4:G32,MATCH(L33&amp;M33,F$4:F32,0)))</f>
        <v/>
      </c>
      <c r="O33" t="str">
        <f t="shared" si="8"/>
        <v/>
      </c>
      <c r="Q33" s="4"/>
    </row>
    <row r="34" spans="2:17" x14ac:dyDescent="0.4">
      <c r="B34" t="s">
        <v>21</v>
      </c>
      <c r="C34" t="str">
        <f>IF(G34="","",MAX(C$4:C33)+1)</f>
        <v/>
      </c>
      <c r="D34" t="str">
        <f>IF(AND(N34=""),"",MAX(D$4:D33)+1)</f>
        <v/>
      </c>
      <c r="F34" s="26" t="str">
        <f t="shared" si="1"/>
        <v/>
      </c>
      <c r="G34" s="29" t="str">
        <f t="shared" si="2"/>
        <v/>
      </c>
      <c r="H34" s="20" t="str">
        <f t="shared" si="3"/>
        <v/>
      </c>
      <c r="I34" s="20" t="str">
        <f t="shared" si="4"/>
        <v/>
      </c>
      <c r="J34" s="20" t="str">
        <f t="shared" si="5"/>
        <v/>
      </c>
      <c r="K34" s="31" t="str">
        <f t="shared" si="6"/>
        <v/>
      </c>
      <c r="L34" s="23" t="str">
        <f t="shared" si="7"/>
        <v/>
      </c>
      <c r="M34" t="str" cm="1">
        <f t="array" ref="M34">IF(COUNT(INDEX(FIND(ROW($1:$10)-1,K34),)),VALUE(MID(K34,MIN(SEARCH({1,2,3,4,5,6,7,8,9,0},K34&amp;1234567890)),LEN(K34)-(LENB(K34)-LEN(K34)))),"")</f>
        <v/>
      </c>
      <c r="N34" t="str">
        <f>IF(L34&lt;&gt;"○",M34,INDEX(G$4:G33,MATCH(L34&amp;M34,F$4:F33,0)))</f>
        <v/>
      </c>
      <c r="O34" t="str">
        <f t="shared" si="8"/>
        <v/>
      </c>
      <c r="Q34" s="4"/>
    </row>
    <row r="35" spans="2:17" x14ac:dyDescent="0.4">
      <c r="B35" t="s">
        <v>21</v>
      </c>
      <c r="C35" t="str">
        <f>IF(G35="","",MAX(C$4:C34)+1)</f>
        <v/>
      </c>
      <c r="D35" t="str">
        <f>IF(AND(N35=""),"",MAX(D$4:D34)+1)</f>
        <v/>
      </c>
      <c r="F35" s="26" t="str">
        <f t="shared" si="1"/>
        <v/>
      </c>
      <c r="G35" s="29" t="str">
        <f t="shared" si="2"/>
        <v/>
      </c>
      <c r="H35" s="20" t="str">
        <f t="shared" si="3"/>
        <v/>
      </c>
      <c r="I35" s="20" t="str">
        <f t="shared" si="4"/>
        <v/>
      </c>
      <c r="J35" s="20" t="str">
        <f t="shared" si="5"/>
        <v/>
      </c>
      <c r="K35" s="31" t="str">
        <f t="shared" si="6"/>
        <v/>
      </c>
      <c r="L35" s="23" t="str">
        <f t="shared" si="7"/>
        <v/>
      </c>
      <c r="M35" t="str" cm="1">
        <f t="array" ref="M35">IF(COUNT(INDEX(FIND(ROW($1:$10)-1,K35),)),VALUE(MID(K35,MIN(SEARCH({1,2,3,4,5,6,7,8,9,0},K35&amp;1234567890)),LEN(K35)-(LENB(K35)-LEN(K35)))),"")</f>
        <v/>
      </c>
      <c r="N35" t="str">
        <f>IF(L35&lt;&gt;"○",M35,INDEX(G$4:G34,MATCH(L35&amp;M35,F$4:F34,0)))</f>
        <v/>
      </c>
      <c r="O35" t="str">
        <f t="shared" si="8"/>
        <v/>
      </c>
      <c r="Q35" s="4"/>
    </row>
    <row r="36" spans="2:17" x14ac:dyDescent="0.4">
      <c r="B36" t="s">
        <v>21</v>
      </c>
      <c r="C36" t="str">
        <f>IF(G36="","",MAX(C$4:C35)+1)</f>
        <v/>
      </c>
      <c r="D36" t="str">
        <f>IF(AND(N36=""),"",MAX(D$4:D35)+1)</f>
        <v/>
      </c>
      <c r="F36" s="26" t="str">
        <f t="shared" si="1"/>
        <v/>
      </c>
      <c r="G36" s="29" t="str">
        <f t="shared" si="2"/>
        <v/>
      </c>
      <c r="H36" s="20" t="str">
        <f t="shared" si="3"/>
        <v/>
      </c>
      <c r="I36" s="20" t="str">
        <f t="shared" si="4"/>
        <v/>
      </c>
      <c r="J36" s="20" t="str">
        <f t="shared" si="5"/>
        <v/>
      </c>
      <c r="K36" s="31" t="str">
        <f t="shared" si="6"/>
        <v/>
      </c>
      <c r="L36" s="23" t="str">
        <f t="shared" si="7"/>
        <v/>
      </c>
      <c r="M36" t="str" cm="1">
        <f t="array" ref="M36">IF(COUNT(INDEX(FIND(ROW($1:$10)-1,K36),)),VALUE(MID(K36,MIN(SEARCH({1,2,3,4,5,6,7,8,9,0},K36&amp;1234567890)),LEN(K36)-(LENB(K36)-LEN(K36)))),"")</f>
        <v/>
      </c>
      <c r="N36" t="str">
        <f>IF(L36&lt;&gt;"○",M36,INDEX(G$4:G35,MATCH(L36&amp;M36,F$4:F35,0)))</f>
        <v/>
      </c>
      <c r="O36" t="str">
        <f t="shared" si="8"/>
        <v/>
      </c>
      <c r="Q36" s="4"/>
    </row>
    <row r="37" spans="2:17" x14ac:dyDescent="0.4">
      <c r="B37" t="s">
        <v>21</v>
      </c>
      <c r="C37" t="str">
        <f>IF(G37="","",MAX(C$4:C36)+1)</f>
        <v/>
      </c>
      <c r="D37" t="str">
        <f>IF(AND(N37=""),"",MAX(D$4:D36)+1)</f>
        <v/>
      </c>
      <c r="F37" s="26" t="str">
        <f t="shared" si="1"/>
        <v/>
      </c>
      <c r="G37" s="29" t="str">
        <f t="shared" si="2"/>
        <v/>
      </c>
      <c r="H37" s="20" t="str">
        <f t="shared" si="3"/>
        <v/>
      </c>
      <c r="I37" s="20" t="str">
        <f t="shared" si="4"/>
        <v/>
      </c>
      <c r="J37" s="20" t="str">
        <f t="shared" si="5"/>
        <v/>
      </c>
      <c r="K37" s="31" t="str">
        <f t="shared" si="6"/>
        <v/>
      </c>
      <c r="L37" s="23" t="str">
        <f t="shared" si="7"/>
        <v/>
      </c>
      <c r="M37" t="str" cm="1">
        <f t="array" ref="M37">IF(COUNT(INDEX(FIND(ROW($1:$10)-1,K37),)),VALUE(MID(K37,MIN(SEARCH({1,2,3,4,5,6,7,8,9,0},K37&amp;1234567890)),LEN(K37)-(LENB(K37)-LEN(K37)))),"")</f>
        <v/>
      </c>
      <c r="N37" t="str">
        <f>IF(L37&lt;&gt;"○",M37,INDEX(G$4:G36,MATCH(L37&amp;M37,F$4:F36,0)))</f>
        <v/>
      </c>
      <c r="O37" t="str">
        <f t="shared" si="8"/>
        <v/>
      </c>
      <c r="Q37" s="4"/>
    </row>
    <row r="38" spans="2:17" x14ac:dyDescent="0.4">
      <c r="B38" t="s">
        <v>21</v>
      </c>
      <c r="C38" t="str">
        <f>IF(G38="","",MAX(C$4:C37)+1)</f>
        <v/>
      </c>
      <c r="D38" t="str">
        <f>IF(AND(N38=""),"",MAX(D$4:D37)+1)</f>
        <v/>
      </c>
      <c r="F38" s="26" t="str">
        <f t="shared" si="1"/>
        <v/>
      </c>
      <c r="G38" s="29" t="str">
        <f t="shared" si="2"/>
        <v/>
      </c>
      <c r="H38" s="20" t="str">
        <f t="shared" si="3"/>
        <v/>
      </c>
      <c r="I38" s="20" t="str">
        <f t="shared" si="4"/>
        <v/>
      </c>
      <c r="J38" s="20" t="str">
        <f t="shared" si="5"/>
        <v/>
      </c>
      <c r="K38" s="31" t="str">
        <f t="shared" si="6"/>
        <v/>
      </c>
      <c r="L38" s="23" t="str">
        <f t="shared" si="7"/>
        <v/>
      </c>
      <c r="M38" t="str" cm="1">
        <f t="array" ref="M38">IF(COUNT(INDEX(FIND(ROW($1:$10)-1,K38),)),VALUE(MID(K38,MIN(SEARCH({1,2,3,4,5,6,7,8,9,0},K38&amp;1234567890)),LEN(K38)-(LENB(K38)-LEN(K38)))),"")</f>
        <v/>
      </c>
      <c r="N38" t="str">
        <f>IF(L38&lt;&gt;"○",M38,INDEX(G$4:G37,MATCH(L38&amp;M38,F$4:F37,0)))</f>
        <v/>
      </c>
      <c r="O38" t="str">
        <f t="shared" si="8"/>
        <v/>
      </c>
      <c r="Q38" s="4"/>
    </row>
    <row r="39" spans="2:17" x14ac:dyDescent="0.4">
      <c r="B39" t="s">
        <v>21</v>
      </c>
      <c r="C39" t="str">
        <f>IF(G39="","",MAX(C$4:C38)+1)</f>
        <v/>
      </c>
      <c r="D39" t="str">
        <f>IF(AND(N39=""),"",MAX(D$4:D38)+1)</f>
        <v/>
      </c>
      <c r="F39" s="26" t="str">
        <f t="shared" si="1"/>
        <v/>
      </c>
      <c r="G39" s="29" t="str">
        <f t="shared" si="2"/>
        <v/>
      </c>
      <c r="H39" s="20" t="str">
        <f t="shared" si="3"/>
        <v/>
      </c>
      <c r="I39" s="20" t="str">
        <f t="shared" si="4"/>
        <v/>
      </c>
      <c r="J39" s="20" t="str">
        <f t="shared" si="5"/>
        <v/>
      </c>
      <c r="K39" s="31" t="str">
        <f t="shared" si="6"/>
        <v/>
      </c>
      <c r="L39" s="23" t="str">
        <f t="shared" si="7"/>
        <v/>
      </c>
      <c r="M39" t="str" cm="1">
        <f t="array" ref="M39">IF(COUNT(INDEX(FIND(ROW($1:$10)-1,K39),)),VALUE(MID(K39,MIN(SEARCH({1,2,3,4,5,6,7,8,9,0},K39&amp;1234567890)),LEN(K39)-(LENB(K39)-LEN(K39)))),"")</f>
        <v/>
      </c>
      <c r="N39" t="str">
        <f>IF(L39&lt;&gt;"○",M39,INDEX(G$4:G38,MATCH(L39&amp;M39,F$4:F38,0)))</f>
        <v/>
      </c>
      <c r="O39" t="str">
        <f t="shared" si="8"/>
        <v/>
      </c>
      <c r="Q39" s="4"/>
    </row>
    <row r="40" spans="2:17" x14ac:dyDescent="0.4">
      <c r="B40" t="s">
        <v>21</v>
      </c>
      <c r="C40" t="str">
        <f>IF(G40="","",MAX(C$4:C39)+1)</f>
        <v/>
      </c>
      <c r="D40" t="str">
        <f>IF(AND(N40=""),"",MAX(D$4:D39)+1)</f>
        <v/>
      </c>
      <c r="F40" s="26" t="str">
        <f t="shared" si="1"/>
        <v/>
      </c>
      <c r="G40" s="29" t="str">
        <f t="shared" si="2"/>
        <v/>
      </c>
      <c r="H40" s="20" t="str">
        <f t="shared" si="3"/>
        <v/>
      </c>
      <c r="I40" s="20" t="str">
        <f t="shared" si="4"/>
        <v/>
      </c>
      <c r="J40" s="20" t="str">
        <f t="shared" si="5"/>
        <v/>
      </c>
      <c r="K40" s="31" t="str">
        <f t="shared" si="6"/>
        <v/>
      </c>
      <c r="L40" s="23" t="str">
        <f t="shared" si="7"/>
        <v/>
      </c>
      <c r="M40" t="str" cm="1">
        <f t="array" ref="M40">IF(COUNT(INDEX(FIND(ROW($1:$10)-1,K40),)),VALUE(MID(K40,MIN(SEARCH({1,2,3,4,5,6,7,8,9,0},K40&amp;1234567890)),LEN(K40)-(LENB(K40)-LEN(K40)))),"")</f>
        <v/>
      </c>
      <c r="N40" t="str">
        <f>IF(L40&lt;&gt;"○",M40,INDEX(G$4:G39,MATCH(L40&amp;M40,F$4:F39,0)))</f>
        <v/>
      </c>
      <c r="O40" t="str">
        <f t="shared" si="8"/>
        <v/>
      </c>
      <c r="Q40" s="4"/>
    </row>
    <row r="41" spans="2:17" x14ac:dyDescent="0.4">
      <c r="B41" t="s">
        <v>21</v>
      </c>
      <c r="C41" t="str">
        <f>IF(G41="","",MAX(C$4:C40)+1)</f>
        <v/>
      </c>
      <c r="D41" t="str">
        <f>IF(AND(N41=""),"",MAX(D$4:D40)+1)</f>
        <v/>
      </c>
      <c r="F41" s="26" t="str">
        <f t="shared" si="1"/>
        <v/>
      </c>
      <c r="G41" s="29" t="str">
        <f t="shared" si="2"/>
        <v/>
      </c>
      <c r="H41" s="20" t="str">
        <f t="shared" si="3"/>
        <v/>
      </c>
      <c r="I41" s="20" t="str">
        <f t="shared" si="4"/>
        <v/>
      </c>
      <c r="J41" s="20" t="str">
        <f t="shared" si="5"/>
        <v/>
      </c>
      <c r="K41" s="31" t="str">
        <f t="shared" si="6"/>
        <v/>
      </c>
      <c r="L41" s="23" t="str">
        <f t="shared" si="7"/>
        <v/>
      </c>
      <c r="M41" t="str" cm="1">
        <f t="array" ref="M41">IF(COUNT(INDEX(FIND(ROW($1:$10)-1,K41),)),VALUE(MID(K41,MIN(SEARCH({1,2,3,4,5,6,7,8,9,0},K41&amp;1234567890)),LEN(K41)-(LENB(K41)-LEN(K41)))),"")</f>
        <v/>
      </c>
      <c r="N41" t="str">
        <f>IF(L41&lt;&gt;"○",M41,INDEX(G$4:G40,MATCH(L41&amp;M41,F$4:F40,0)))</f>
        <v/>
      </c>
      <c r="O41" t="str">
        <f t="shared" si="8"/>
        <v/>
      </c>
      <c r="Q41" s="4"/>
    </row>
    <row r="42" spans="2:17" x14ac:dyDescent="0.4">
      <c r="B42" t="s">
        <v>21</v>
      </c>
      <c r="C42" t="str">
        <f>IF(G42="","",MAX(C$4:C41)+1)</f>
        <v/>
      </c>
      <c r="D42" t="str">
        <f>IF(AND(N42=""),"",MAX(D$4:D41)+1)</f>
        <v/>
      </c>
      <c r="F42" s="26" t="str">
        <f t="shared" si="1"/>
        <v/>
      </c>
      <c r="G42" s="29" t="str">
        <f t="shared" si="2"/>
        <v/>
      </c>
      <c r="H42" s="20" t="str">
        <f t="shared" si="3"/>
        <v/>
      </c>
      <c r="I42" s="20" t="str">
        <f t="shared" si="4"/>
        <v/>
      </c>
      <c r="J42" s="20" t="str">
        <f t="shared" si="5"/>
        <v/>
      </c>
      <c r="K42" s="31" t="str">
        <f t="shared" si="6"/>
        <v/>
      </c>
      <c r="L42" s="23" t="str">
        <f t="shared" si="7"/>
        <v/>
      </c>
      <c r="M42" t="str" cm="1">
        <f t="array" ref="M42">IF(COUNT(INDEX(FIND(ROW($1:$10)-1,K42),)),VALUE(MID(K42,MIN(SEARCH({1,2,3,4,5,6,7,8,9,0},K42&amp;1234567890)),LEN(K42)-(LENB(K42)-LEN(K42)))),"")</f>
        <v/>
      </c>
      <c r="N42" t="str">
        <f>IF(L42&lt;&gt;"○",M42,INDEX(G$4:G41,MATCH(L42&amp;M42,F$4:F41,0)))</f>
        <v/>
      </c>
      <c r="O42" t="str">
        <f t="shared" si="8"/>
        <v/>
      </c>
      <c r="Q42" s="4"/>
    </row>
    <row r="43" spans="2:17" x14ac:dyDescent="0.4">
      <c r="B43" t="s">
        <v>21</v>
      </c>
      <c r="C43" t="str">
        <f>IF(G43="","",MAX(C$4:C42)+1)</f>
        <v/>
      </c>
      <c r="D43" t="str">
        <f>IF(AND(N43=""),"",MAX(D$4:D42)+1)</f>
        <v/>
      </c>
      <c r="F43" s="26" t="str">
        <f t="shared" si="1"/>
        <v/>
      </c>
      <c r="G43" s="29" t="str">
        <f t="shared" si="2"/>
        <v/>
      </c>
      <c r="H43" s="20" t="str">
        <f t="shared" si="3"/>
        <v/>
      </c>
      <c r="I43" s="20" t="str">
        <f t="shared" si="4"/>
        <v/>
      </c>
      <c r="J43" s="20" t="str">
        <f t="shared" si="5"/>
        <v/>
      </c>
      <c r="K43" s="31" t="str">
        <f t="shared" si="6"/>
        <v/>
      </c>
      <c r="L43" s="23" t="str">
        <f t="shared" si="7"/>
        <v/>
      </c>
      <c r="M43" t="str" cm="1">
        <f t="array" ref="M43">IF(COUNT(INDEX(FIND(ROW($1:$10)-1,K43),)),VALUE(MID(K43,MIN(SEARCH({1,2,3,4,5,6,7,8,9,0},K43&amp;1234567890)),LEN(K43)-(LENB(K43)-LEN(K43)))),"")</f>
        <v/>
      </c>
      <c r="N43" t="str">
        <f>IF(L43&lt;&gt;"○",M43,INDEX(G$4:G42,MATCH(L43&amp;M43,F$4:F42,0)))</f>
        <v/>
      </c>
      <c r="O43" t="str">
        <f t="shared" si="8"/>
        <v/>
      </c>
      <c r="Q43" s="4"/>
    </row>
    <row r="44" spans="2:17" x14ac:dyDescent="0.4">
      <c r="B44" t="s">
        <v>21</v>
      </c>
      <c r="C44" t="str">
        <f>IF(G44="","",MAX(C$4:C43)+1)</f>
        <v/>
      </c>
      <c r="D44" t="str">
        <f>IF(AND(N44=""),"",MAX(D$4:D43)+1)</f>
        <v/>
      </c>
      <c r="F44" s="26" t="str">
        <f t="shared" si="1"/>
        <v/>
      </c>
      <c r="G44" s="29" t="str">
        <f t="shared" si="2"/>
        <v/>
      </c>
      <c r="H44" s="20" t="str">
        <f t="shared" si="3"/>
        <v/>
      </c>
      <c r="I44" s="20" t="str">
        <f t="shared" si="4"/>
        <v/>
      </c>
      <c r="J44" s="20" t="str">
        <f t="shared" si="5"/>
        <v/>
      </c>
      <c r="K44" s="31" t="str">
        <f t="shared" si="6"/>
        <v/>
      </c>
      <c r="L44" s="23" t="str">
        <f t="shared" si="7"/>
        <v/>
      </c>
      <c r="M44" t="str" cm="1">
        <f t="array" ref="M44">IF(COUNT(INDEX(FIND(ROW($1:$10)-1,K44),)),VALUE(MID(K44,MIN(SEARCH({1,2,3,4,5,6,7,8,9,0},K44&amp;1234567890)),LEN(K44)-(LENB(K44)-LEN(K44)))),"")</f>
        <v/>
      </c>
      <c r="N44" t="str">
        <f>IF(L44&lt;&gt;"○",M44,INDEX(G$4:G43,MATCH(L44&amp;M44,F$4:F43,0)))</f>
        <v/>
      </c>
      <c r="O44" t="str">
        <f t="shared" si="8"/>
        <v/>
      </c>
      <c r="Q44" s="4"/>
    </row>
    <row r="45" spans="2:17" x14ac:dyDescent="0.4">
      <c r="B45" t="s">
        <v>21</v>
      </c>
      <c r="C45" t="str">
        <f>IF(G45="","",MAX(C$4:C44)+1)</f>
        <v/>
      </c>
      <c r="D45" t="str">
        <f>IF(AND(N45=""),"",MAX(D$4:D44)+1)</f>
        <v/>
      </c>
      <c r="F45" s="26" t="str">
        <f t="shared" si="1"/>
        <v/>
      </c>
      <c r="G45" s="29" t="str">
        <f t="shared" si="2"/>
        <v/>
      </c>
      <c r="H45" s="20" t="str">
        <f t="shared" si="3"/>
        <v/>
      </c>
      <c r="I45" s="20" t="str">
        <f t="shared" si="4"/>
        <v/>
      </c>
      <c r="J45" s="20" t="str">
        <f t="shared" si="5"/>
        <v/>
      </c>
      <c r="K45" s="31" t="str">
        <f t="shared" si="6"/>
        <v/>
      </c>
      <c r="L45" s="23" t="str">
        <f t="shared" si="7"/>
        <v/>
      </c>
      <c r="M45" t="str" cm="1">
        <f t="array" ref="M45">IF(COUNT(INDEX(FIND(ROW($1:$10)-1,K45),)),VALUE(MID(K45,MIN(SEARCH({1,2,3,4,5,6,7,8,9,0},K45&amp;1234567890)),LEN(K45)-(LENB(K45)-LEN(K45)))),"")</f>
        <v/>
      </c>
      <c r="N45" t="str">
        <f>IF(L45&lt;&gt;"○",M45,INDEX(G$4:G44,MATCH(L45&amp;M45,F$4:F44,0)))</f>
        <v/>
      </c>
      <c r="O45" t="str">
        <f t="shared" si="8"/>
        <v/>
      </c>
      <c r="Q45" s="4"/>
    </row>
    <row r="46" spans="2:17" x14ac:dyDescent="0.4">
      <c r="B46" t="s">
        <v>21</v>
      </c>
      <c r="C46" t="str">
        <f>IF(G46="","",MAX(C$4:C45)+1)</f>
        <v/>
      </c>
      <c r="D46" t="str">
        <f>IF(AND(N46=""),"",MAX(D$4:D45)+1)</f>
        <v/>
      </c>
      <c r="F46" s="26" t="str">
        <f t="shared" si="1"/>
        <v/>
      </c>
      <c r="G46" s="29" t="str">
        <f t="shared" si="2"/>
        <v/>
      </c>
      <c r="H46" s="20" t="str">
        <f t="shared" si="3"/>
        <v/>
      </c>
      <c r="I46" s="20" t="str">
        <f t="shared" si="4"/>
        <v/>
      </c>
      <c r="J46" s="20" t="str">
        <f t="shared" si="5"/>
        <v/>
      </c>
      <c r="K46" s="31" t="str">
        <f t="shared" si="6"/>
        <v/>
      </c>
      <c r="L46" s="23" t="str">
        <f t="shared" si="7"/>
        <v/>
      </c>
      <c r="M46" t="str" cm="1">
        <f t="array" ref="M46">IF(COUNT(INDEX(FIND(ROW($1:$10)-1,K46),)),VALUE(MID(K46,MIN(SEARCH({1,2,3,4,5,6,7,8,9,0},K46&amp;1234567890)),LEN(K46)-(LENB(K46)-LEN(K46)))),"")</f>
        <v/>
      </c>
      <c r="N46" t="str">
        <f>IF(L46&lt;&gt;"○",M46,INDEX(G$4:G45,MATCH(L46&amp;M46,F$4:F45,0)))</f>
        <v/>
      </c>
      <c r="O46" t="str">
        <f t="shared" si="8"/>
        <v/>
      </c>
      <c r="Q46" s="4"/>
    </row>
    <row r="47" spans="2:17" x14ac:dyDescent="0.4">
      <c r="B47" t="s">
        <v>21</v>
      </c>
      <c r="C47" t="str">
        <f>IF(G47="","",MAX(C$4:C46)+1)</f>
        <v/>
      </c>
      <c r="D47" t="str">
        <f>IF(AND(N47=""),"",MAX(D$4:D46)+1)</f>
        <v/>
      </c>
      <c r="F47" s="26" t="str">
        <f t="shared" si="1"/>
        <v/>
      </c>
      <c r="G47" s="29" t="str">
        <f t="shared" si="2"/>
        <v/>
      </c>
      <c r="H47" s="20" t="str">
        <f t="shared" si="3"/>
        <v/>
      </c>
      <c r="I47" s="20" t="str">
        <f t="shared" si="4"/>
        <v/>
      </c>
      <c r="J47" s="20" t="str">
        <f t="shared" si="5"/>
        <v/>
      </c>
      <c r="K47" s="31" t="str">
        <f t="shared" si="6"/>
        <v/>
      </c>
      <c r="L47" s="23" t="str">
        <f t="shared" si="7"/>
        <v/>
      </c>
      <c r="M47" t="str" cm="1">
        <f t="array" ref="M47">IF(COUNT(INDEX(FIND(ROW($1:$10)-1,K47),)),VALUE(MID(K47,MIN(SEARCH({1,2,3,4,5,6,7,8,9,0},K47&amp;1234567890)),LEN(K47)-(LENB(K47)-LEN(K47)))),"")</f>
        <v/>
      </c>
      <c r="N47" t="str">
        <f>IF(L47&lt;&gt;"○",M47,INDEX(G$4:G46,MATCH(L47&amp;M47,F$4:F46,0)))</f>
        <v/>
      </c>
      <c r="O47" t="str">
        <f t="shared" si="8"/>
        <v/>
      </c>
      <c r="Q47" s="4"/>
    </row>
    <row r="48" spans="2:17" x14ac:dyDescent="0.4">
      <c r="B48" t="s">
        <v>21</v>
      </c>
      <c r="C48" t="str">
        <f>IF(G48="","",MAX(C$4:C47)+1)</f>
        <v/>
      </c>
      <c r="D48" t="str">
        <f>IF(AND(N48=""),"",MAX(D$4:D47)+1)</f>
        <v/>
      </c>
      <c r="F48" s="26" t="str">
        <f t="shared" si="1"/>
        <v/>
      </c>
      <c r="G48" s="29" t="str">
        <f t="shared" si="2"/>
        <v/>
      </c>
      <c r="H48" s="20" t="str">
        <f t="shared" si="3"/>
        <v/>
      </c>
      <c r="I48" s="20" t="str">
        <f t="shared" si="4"/>
        <v/>
      </c>
      <c r="J48" s="20" t="str">
        <f t="shared" si="5"/>
        <v/>
      </c>
      <c r="K48" s="31" t="str">
        <f t="shared" si="6"/>
        <v/>
      </c>
      <c r="L48" s="23" t="str">
        <f t="shared" si="7"/>
        <v/>
      </c>
      <c r="M48" t="str" cm="1">
        <f t="array" ref="M48">IF(COUNT(INDEX(FIND(ROW($1:$10)-1,K48),)),VALUE(MID(K48,MIN(SEARCH({1,2,3,4,5,6,7,8,9,0},K48&amp;1234567890)),LEN(K48)-(LENB(K48)-LEN(K48)))),"")</f>
        <v/>
      </c>
      <c r="N48" t="str">
        <f>IF(L48&lt;&gt;"○",M48,INDEX(G$4:G47,MATCH(L48&amp;M48,F$4:F47,0)))</f>
        <v/>
      </c>
      <c r="O48" t="str">
        <f t="shared" si="8"/>
        <v/>
      </c>
      <c r="Q48" s="4"/>
    </row>
    <row r="49" spans="2:17" x14ac:dyDescent="0.4">
      <c r="B49" t="s">
        <v>21</v>
      </c>
      <c r="C49" t="str">
        <f>IF(G49="","",MAX(C$4:C48)+1)</f>
        <v/>
      </c>
      <c r="D49" t="str">
        <f>IF(AND(N49=""),"",MAX(D$4:D48)+1)</f>
        <v/>
      </c>
      <c r="F49" s="26" t="str">
        <f t="shared" si="1"/>
        <v/>
      </c>
      <c r="G49" s="29" t="str">
        <f t="shared" si="2"/>
        <v/>
      </c>
      <c r="H49" s="20" t="str">
        <f t="shared" si="3"/>
        <v/>
      </c>
      <c r="I49" s="20" t="str">
        <f t="shared" si="4"/>
        <v/>
      </c>
      <c r="J49" s="20" t="str">
        <f t="shared" si="5"/>
        <v/>
      </c>
      <c r="K49" s="31" t="str">
        <f t="shared" si="6"/>
        <v/>
      </c>
      <c r="L49" s="23" t="str">
        <f t="shared" si="7"/>
        <v/>
      </c>
      <c r="M49" t="str" cm="1">
        <f t="array" ref="M49">IF(COUNT(INDEX(FIND(ROW($1:$10)-1,K49),)),VALUE(MID(K49,MIN(SEARCH({1,2,3,4,5,6,7,8,9,0},K49&amp;1234567890)),LEN(K49)-(LENB(K49)-LEN(K49)))),"")</f>
        <v/>
      </c>
      <c r="N49" t="str">
        <f>IF(L49&lt;&gt;"○",M49,INDEX(G$4:G48,MATCH(L49&amp;M49,F$4:F48,0)))</f>
        <v/>
      </c>
      <c r="O49" t="str">
        <f t="shared" si="8"/>
        <v/>
      </c>
      <c r="Q49" s="4"/>
    </row>
    <row r="50" spans="2:17" x14ac:dyDescent="0.4">
      <c r="B50" t="s">
        <v>21</v>
      </c>
      <c r="C50" t="str">
        <f>IF(G50="","",MAX(C$4:C49)+1)</f>
        <v/>
      </c>
      <c r="D50" t="str">
        <f>IF(AND(N50=""),"",MAX(D$4:D49)+1)</f>
        <v/>
      </c>
      <c r="F50" s="26" t="str">
        <f t="shared" si="1"/>
        <v/>
      </c>
      <c r="G50" s="29" t="str">
        <f t="shared" si="2"/>
        <v/>
      </c>
      <c r="H50" s="20" t="str">
        <f t="shared" si="3"/>
        <v/>
      </c>
      <c r="I50" s="20" t="str">
        <f t="shared" si="4"/>
        <v/>
      </c>
      <c r="J50" s="20" t="str">
        <f t="shared" si="5"/>
        <v/>
      </c>
      <c r="K50" s="31" t="str">
        <f t="shared" si="6"/>
        <v/>
      </c>
      <c r="L50" s="23" t="str">
        <f t="shared" si="7"/>
        <v/>
      </c>
      <c r="M50" t="str" cm="1">
        <f t="array" ref="M50">IF(COUNT(INDEX(FIND(ROW($1:$10)-1,K50),)),VALUE(MID(K50,MIN(SEARCH({1,2,3,4,5,6,7,8,9,0},K50&amp;1234567890)),LEN(K50)-(LENB(K50)-LEN(K50)))),"")</f>
        <v/>
      </c>
      <c r="N50" t="str">
        <f>IF(L50&lt;&gt;"○",M50,INDEX(G$4:G49,MATCH(L50&amp;M50,F$4:F49,0)))</f>
        <v/>
      </c>
      <c r="O50" t="str">
        <f t="shared" si="8"/>
        <v/>
      </c>
      <c r="Q50" s="4"/>
    </row>
    <row r="51" spans="2:17" x14ac:dyDescent="0.4">
      <c r="B51" t="s">
        <v>21</v>
      </c>
      <c r="C51" t="str">
        <f>IF(G51="","",MAX(C$4:C50)+1)</f>
        <v/>
      </c>
      <c r="D51" t="str">
        <f>IF(AND(N51=""),"",MAX(D$4:D50)+1)</f>
        <v/>
      </c>
      <c r="F51" s="26" t="str">
        <f t="shared" si="1"/>
        <v/>
      </c>
      <c r="G51" s="29" t="str">
        <f t="shared" si="2"/>
        <v/>
      </c>
      <c r="H51" s="20" t="str">
        <f t="shared" si="3"/>
        <v/>
      </c>
      <c r="I51" s="20" t="str">
        <f t="shared" si="4"/>
        <v/>
      </c>
      <c r="J51" s="20" t="str">
        <f t="shared" si="5"/>
        <v/>
      </c>
      <c r="K51" s="31" t="str">
        <f t="shared" si="6"/>
        <v/>
      </c>
      <c r="L51" s="23" t="str">
        <f t="shared" si="7"/>
        <v/>
      </c>
      <c r="M51" t="str" cm="1">
        <f t="array" ref="M51">IF(COUNT(INDEX(FIND(ROW($1:$10)-1,K51),)),VALUE(MID(K51,MIN(SEARCH({1,2,3,4,5,6,7,8,9,0},K51&amp;1234567890)),LEN(K51)-(LENB(K51)-LEN(K51)))),"")</f>
        <v/>
      </c>
      <c r="N51" t="str">
        <f>IF(L51&lt;&gt;"○",M51,INDEX(G$4:G50,MATCH(L51&amp;M51,F$4:F50,0)))</f>
        <v/>
      </c>
      <c r="O51" t="str">
        <f t="shared" si="8"/>
        <v/>
      </c>
      <c r="Q51" s="4"/>
    </row>
    <row r="52" spans="2:17" x14ac:dyDescent="0.4">
      <c r="B52" t="s">
        <v>21</v>
      </c>
      <c r="C52" t="str">
        <f>IF(G52="","",MAX(C$4:C51)+1)</f>
        <v/>
      </c>
      <c r="D52" t="str">
        <f>IF(AND(N52=""),"",MAX(D$4:D51)+1)</f>
        <v/>
      </c>
      <c r="F52" s="26" t="str">
        <f t="shared" si="1"/>
        <v/>
      </c>
      <c r="G52" s="29" t="str">
        <f t="shared" si="2"/>
        <v/>
      </c>
      <c r="H52" s="20" t="str">
        <f t="shared" si="3"/>
        <v/>
      </c>
      <c r="I52" s="20" t="str">
        <f t="shared" si="4"/>
        <v/>
      </c>
      <c r="J52" s="20" t="str">
        <f t="shared" si="5"/>
        <v/>
      </c>
      <c r="K52" s="31" t="str">
        <f t="shared" si="6"/>
        <v/>
      </c>
      <c r="L52" s="23" t="str">
        <f t="shared" si="7"/>
        <v/>
      </c>
      <c r="M52" t="str" cm="1">
        <f t="array" ref="M52">IF(COUNT(INDEX(FIND(ROW($1:$10)-1,K52),)),VALUE(MID(K52,MIN(SEARCH({1,2,3,4,5,6,7,8,9,0},K52&amp;1234567890)),LEN(K52)-(LENB(K52)-LEN(K52)))),"")</f>
        <v/>
      </c>
      <c r="N52" t="str">
        <f>IF(L52&lt;&gt;"○",M52,INDEX(G$4:G51,MATCH(L52&amp;M52,F$4:F51,0)))</f>
        <v/>
      </c>
      <c r="O52" t="str">
        <f t="shared" si="8"/>
        <v/>
      </c>
      <c r="Q52" s="4"/>
    </row>
    <row r="53" spans="2:17" x14ac:dyDescent="0.4">
      <c r="B53" t="s">
        <v>21</v>
      </c>
      <c r="C53" t="str">
        <f>IF(G53="","",MAX(C$4:C52)+1)</f>
        <v/>
      </c>
      <c r="D53" t="str">
        <f>IF(AND(N53=""),"",MAX(D$4:D52)+1)</f>
        <v/>
      </c>
      <c r="F53" s="26" t="str">
        <f t="shared" si="1"/>
        <v/>
      </c>
      <c r="G53" s="29" t="str">
        <f t="shared" si="2"/>
        <v/>
      </c>
      <c r="H53" s="20" t="str">
        <f t="shared" si="3"/>
        <v/>
      </c>
      <c r="I53" s="20" t="str">
        <f t="shared" si="4"/>
        <v/>
      </c>
      <c r="J53" s="20" t="str">
        <f t="shared" si="5"/>
        <v/>
      </c>
      <c r="K53" s="31" t="str">
        <f t="shared" si="6"/>
        <v/>
      </c>
      <c r="L53" s="23" t="str">
        <f t="shared" si="7"/>
        <v/>
      </c>
      <c r="M53" t="str" cm="1">
        <f t="array" ref="M53">IF(COUNT(INDEX(FIND(ROW($1:$10)-1,K53),)),VALUE(MID(K53,MIN(SEARCH({1,2,3,4,5,6,7,8,9,0},K53&amp;1234567890)),LEN(K53)-(LENB(K53)-LEN(K53)))),"")</f>
        <v/>
      </c>
      <c r="N53" t="str">
        <f>IF(L53&lt;&gt;"○",M53,INDEX(G$4:G52,MATCH(L53&amp;M53,F$4:F52,0)))</f>
        <v/>
      </c>
      <c r="O53" t="str">
        <f t="shared" si="8"/>
        <v/>
      </c>
      <c r="Q53" s="4"/>
    </row>
    <row r="54" spans="2:17" x14ac:dyDescent="0.4">
      <c r="B54" t="s">
        <v>21</v>
      </c>
      <c r="C54" t="str">
        <f>IF(G54="","",MAX(C$4:C53)+1)</f>
        <v/>
      </c>
      <c r="D54" t="str">
        <f>IF(AND(N54=""),"",MAX(D$4:D53)+1)</f>
        <v/>
      </c>
      <c r="F54" s="26" t="str">
        <f t="shared" si="1"/>
        <v/>
      </c>
      <c r="G54" s="29" t="str">
        <f t="shared" si="2"/>
        <v/>
      </c>
      <c r="H54" s="20" t="str">
        <f t="shared" si="3"/>
        <v/>
      </c>
      <c r="I54" s="20" t="str">
        <f t="shared" si="4"/>
        <v/>
      </c>
      <c r="J54" s="20" t="str">
        <f t="shared" si="5"/>
        <v/>
      </c>
      <c r="K54" s="31" t="str">
        <f t="shared" si="6"/>
        <v/>
      </c>
      <c r="L54" s="23" t="str">
        <f t="shared" si="7"/>
        <v/>
      </c>
      <c r="M54" t="str" cm="1">
        <f t="array" ref="M54">IF(COUNT(INDEX(FIND(ROW($1:$10)-1,K54),)),VALUE(MID(K54,MIN(SEARCH({1,2,3,4,5,6,7,8,9,0},K54&amp;1234567890)),LEN(K54)-(LENB(K54)-LEN(K54)))),"")</f>
        <v/>
      </c>
      <c r="N54" t="str">
        <f>IF(L54&lt;&gt;"○",M54,INDEX(G$4:G53,MATCH(L54&amp;M54,F$4:F53,0)))</f>
        <v/>
      </c>
      <c r="O54" t="str">
        <f t="shared" si="8"/>
        <v/>
      </c>
      <c r="Q54" s="4"/>
    </row>
    <row r="55" spans="2:17" x14ac:dyDescent="0.4">
      <c r="B55" t="s">
        <v>21</v>
      </c>
      <c r="C55" t="str">
        <f>IF(G55="","",MAX(C$4:C54)+1)</f>
        <v/>
      </c>
      <c r="D55" t="str">
        <f>IF(AND(N55=""),"",MAX(D$4:D54)+1)</f>
        <v/>
      </c>
      <c r="F55" s="26" t="str">
        <f t="shared" si="1"/>
        <v/>
      </c>
      <c r="G55" s="29" t="str">
        <f t="shared" si="2"/>
        <v/>
      </c>
      <c r="H55" s="20" t="str">
        <f t="shared" si="3"/>
        <v/>
      </c>
      <c r="I55" s="20" t="str">
        <f t="shared" si="4"/>
        <v/>
      </c>
      <c r="J55" s="20" t="str">
        <f t="shared" si="5"/>
        <v/>
      </c>
      <c r="K55" s="31" t="str">
        <f t="shared" si="6"/>
        <v/>
      </c>
      <c r="L55" s="23" t="str">
        <f t="shared" si="7"/>
        <v/>
      </c>
      <c r="M55" t="str" cm="1">
        <f t="array" ref="M55">IF(COUNT(INDEX(FIND(ROW($1:$10)-1,K55),)),VALUE(MID(K55,MIN(SEARCH({1,2,3,4,5,6,7,8,9,0},K55&amp;1234567890)),LEN(K55)-(LENB(K55)-LEN(K55)))),"")</f>
        <v/>
      </c>
      <c r="N55" t="str">
        <f>IF(L55&lt;&gt;"○",M55,INDEX(G$4:G54,MATCH(L55&amp;M55,F$4:F54,0)))</f>
        <v/>
      </c>
      <c r="O55" t="str">
        <f t="shared" si="8"/>
        <v/>
      </c>
      <c r="Q55" s="4"/>
    </row>
    <row r="56" spans="2:17" x14ac:dyDescent="0.4">
      <c r="B56" t="s">
        <v>21</v>
      </c>
      <c r="C56" t="str">
        <f>IF(G56="","",MAX(C$4:C55)+1)</f>
        <v/>
      </c>
      <c r="D56" t="str">
        <f>IF(AND(N56=""),"",MAX(D$4:D55)+1)</f>
        <v/>
      </c>
      <c r="F56" s="26" t="str">
        <f t="shared" si="1"/>
        <v/>
      </c>
      <c r="G56" s="29" t="str">
        <f t="shared" si="2"/>
        <v/>
      </c>
      <c r="H56" s="20" t="str">
        <f t="shared" si="3"/>
        <v/>
      </c>
      <c r="I56" s="20" t="str">
        <f t="shared" si="4"/>
        <v/>
      </c>
      <c r="J56" s="20" t="str">
        <f t="shared" si="5"/>
        <v/>
      </c>
      <c r="K56" s="31" t="str">
        <f t="shared" si="6"/>
        <v/>
      </c>
      <c r="L56" s="23" t="str">
        <f t="shared" si="7"/>
        <v/>
      </c>
      <c r="M56" t="str" cm="1">
        <f t="array" ref="M56">IF(COUNT(INDEX(FIND(ROW($1:$10)-1,K56),)),VALUE(MID(K56,MIN(SEARCH({1,2,3,4,5,6,7,8,9,0},K56&amp;1234567890)),LEN(K56)-(LENB(K56)-LEN(K56)))),"")</f>
        <v/>
      </c>
      <c r="N56" t="str">
        <f>IF(L56&lt;&gt;"○",M56,INDEX(G$4:G55,MATCH(L56&amp;M56,F$4:F55,0)))</f>
        <v/>
      </c>
      <c r="O56" t="str">
        <f t="shared" si="8"/>
        <v/>
      </c>
      <c r="Q56" s="4"/>
    </row>
    <row r="57" spans="2:17" x14ac:dyDescent="0.4">
      <c r="B57" t="s">
        <v>21</v>
      </c>
      <c r="C57" t="str">
        <f>IF(G57="","",MAX(C$4:C56)+1)</f>
        <v/>
      </c>
      <c r="D57" t="str">
        <f>IF(AND(N57=""),"",MAX(D$4:D56)+1)</f>
        <v/>
      </c>
      <c r="F57" s="26" t="str">
        <f t="shared" si="1"/>
        <v/>
      </c>
      <c r="G57" s="29" t="str">
        <f t="shared" si="2"/>
        <v/>
      </c>
      <c r="H57" s="20" t="str">
        <f t="shared" si="3"/>
        <v/>
      </c>
      <c r="I57" s="20" t="str">
        <f t="shared" si="4"/>
        <v/>
      </c>
      <c r="J57" s="20" t="str">
        <f t="shared" si="5"/>
        <v/>
      </c>
      <c r="K57" s="31" t="str">
        <f t="shared" si="6"/>
        <v/>
      </c>
      <c r="L57" s="23" t="str">
        <f t="shared" si="7"/>
        <v/>
      </c>
      <c r="M57" t="str" cm="1">
        <f t="array" ref="M57">IF(COUNT(INDEX(FIND(ROW($1:$10)-1,K57),)),VALUE(MID(K57,MIN(SEARCH({1,2,3,4,5,6,7,8,9,0},K57&amp;1234567890)),LEN(K57)-(LENB(K57)-LEN(K57)))),"")</f>
        <v/>
      </c>
      <c r="N57" t="str">
        <f>IF(L57&lt;&gt;"○",M57,INDEX(G$4:G56,MATCH(L57&amp;M57,F$4:F56,0)))</f>
        <v/>
      </c>
      <c r="O57" t="str">
        <f t="shared" si="8"/>
        <v/>
      </c>
      <c r="Q57" s="4"/>
    </row>
    <row r="58" spans="2:17" x14ac:dyDescent="0.4">
      <c r="B58" t="s">
        <v>21</v>
      </c>
      <c r="C58" t="str">
        <f>IF(G58="","",MAX(C$4:C57)+1)</f>
        <v/>
      </c>
      <c r="D58" t="str">
        <f>IF(AND(N58=""),"",MAX(D$4:D57)+1)</f>
        <v/>
      </c>
      <c r="F58" s="26" t="str">
        <f t="shared" si="1"/>
        <v/>
      </c>
      <c r="G58" s="29" t="str">
        <f t="shared" si="2"/>
        <v/>
      </c>
      <c r="H58" s="20" t="str">
        <f t="shared" si="3"/>
        <v/>
      </c>
      <c r="I58" s="20" t="str">
        <f t="shared" si="4"/>
        <v/>
      </c>
      <c r="J58" s="20" t="str">
        <f t="shared" si="5"/>
        <v/>
      </c>
      <c r="K58" s="31" t="str">
        <f t="shared" si="6"/>
        <v/>
      </c>
      <c r="L58" s="23" t="str">
        <f t="shared" si="7"/>
        <v/>
      </c>
      <c r="M58" t="str" cm="1">
        <f t="array" ref="M58">IF(COUNT(INDEX(FIND(ROW($1:$10)-1,K58),)),VALUE(MID(K58,MIN(SEARCH({1,2,3,4,5,6,7,8,9,0},K58&amp;1234567890)),LEN(K58)-(LENB(K58)-LEN(K58)))),"")</f>
        <v/>
      </c>
      <c r="N58" t="str">
        <f>IF(L58&lt;&gt;"○",M58,INDEX(G$4:G57,MATCH(L58&amp;M58,F$4:F57,0)))</f>
        <v/>
      </c>
      <c r="O58" t="str">
        <f t="shared" si="8"/>
        <v/>
      </c>
      <c r="Q58" s="4"/>
    </row>
    <row r="59" spans="2:17" x14ac:dyDescent="0.4">
      <c r="B59" t="s">
        <v>21</v>
      </c>
      <c r="C59" t="str">
        <f>IF(G59="","",MAX(C$4:C58)+1)</f>
        <v/>
      </c>
      <c r="D59" t="str">
        <f>IF(AND(N59=""),"",MAX(D$4:D58)+1)</f>
        <v/>
      </c>
      <c r="F59" s="26" t="str">
        <f t="shared" si="1"/>
        <v/>
      </c>
      <c r="G59" s="29" t="str">
        <f t="shared" si="2"/>
        <v/>
      </c>
      <c r="H59" s="20" t="str">
        <f t="shared" si="3"/>
        <v/>
      </c>
      <c r="I59" s="20" t="str">
        <f t="shared" si="4"/>
        <v/>
      </c>
      <c r="J59" s="20" t="str">
        <f t="shared" si="5"/>
        <v/>
      </c>
      <c r="K59" s="31" t="str">
        <f t="shared" si="6"/>
        <v/>
      </c>
      <c r="L59" s="23" t="str">
        <f t="shared" si="7"/>
        <v/>
      </c>
      <c r="M59" t="str" cm="1">
        <f t="array" ref="M59">IF(COUNT(INDEX(FIND(ROW($1:$10)-1,K59),)),VALUE(MID(K59,MIN(SEARCH({1,2,3,4,5,6,7,8,9,0},K59&amp;1234567890)),LEN(K59)-(LENB(K59)-LEN(K59)))),"")</f>
        <v/>
      </c>
      <c r="N59" t="str">
        <f>IF(L59&lt;&gt;"○",M59,INDEX(G$4:G58,MATCH(L59&amp;M59,F$4:F58,0)))</f>
        <v/>
      </c>
      <c r="O59" t="str">
        <f t="shared" si="8"/>
        <v/>
      </c>
      <c r="Q59" s="4"/>
    </row>
    <row r="60" spans="2:17" x14ac:dyDescent="0.4">
      <c r="B60" t="s">
        <v>21</v>
      </c>
      <c r="C60" t="str">
        <f>IF(G60="","",MAX(C$4:C59)+1)</f>
        <v/>
      </c>
      <c r="D60" t="str">
        <f>IF(AND(N60=""),"",MAX(D$4:D59)+1)</f>
        <v/>
      </c>
      <c r="F60" s="26" t="str">
        <f t="shared" si="1"/>
        <v/>
      </c>
      <c r="G60" s="29" t="str">
        <f t="shared" si="2"/>
        <v/>
      </c>
      <c r="H60" s="20" t="str">
        <f t="shared" si="3"/>
        <v/>
      </c>
      <c r="I60" s="20" t="str">
        <f t="shared" si="4"/>
        <v/>
      </c>
      <c r="J60" s="20" t="str">
        <f t="shared" si="5"/>
        <v/>
      </c>
      <c r="K60" s="31" t="str">
        <f t="shared" si="6"/>
        <v/>
      </c>
      <c r="L60" s="23" t="str">
        <f t="shared" si="7"/>
        <v/>
      </c>
      <c r="M60" t="str" cm="1">
        <f t="array" ref="M60">IF(COUNT(INDEX(FIND(ROW($1:$10)-1,K60),)),VALUE(MID(K60,MIN(SEARCH({1,2,3,4,5,6,7,8,9,0},K60&amp;1234567890)),LEN(K60)-(LENB(K60)-LEN(K60)))),"")</f>
        <v/>
      </c>
      <c r="N60" t="str">
        <f>IF(L60&lt;&gt;"○",M60,INDEX(G$4:G59,MATCH(L60&amp;M60,F$4:F59,0)))</f>
        <v/>
      </c>
      <c r="O60" t="str">
        <f t="shared" si="8"/>
        <v/>
      </c>
      <c r="Q60" s="4"/>
    </row>
    <row r="61" spans="2:17" x14ac:dyDescent="0.4">
      <c r="B61" t="s">
        <v>21</v>
      </c>
      <c r="C61" t="str">
        <f>IF(G61="","",MAX(C$4:C60)+1)</f>
        <v/>
      </c>
      <c r="D61" t="str">
        <f>IF(AND(N61=""),"",MAX(D$4:D60)+1)</f>
        <v/>
      </c>
      <c r="F61" s="26" t="str">
        <f t="shared" si="1"/>
        <v/>
      </c>
      <c r="G61" s="29" t="str">
        <f t="shared" si="2"/>
        <v/>
      </c>
      <c r="H61" s="20" t="str">
        <f t="shared" si="3"/>
        <v/>
      </c>
      <c r="I61" s="20" t="str">
        <f t="shared" si="4"/>
        <v/>
      </c>
      <c r="J61" s="20" t="str">
        <f t="shared" si="5"/>
        <v/>
      </c>
      <c r="K61" s="31" t="str">
        <f t="shared" si="6"/>
        <v/>
      </c>
      <c r="L61" s="23" t="str">
        <f t="shared" si="7"/>
        <v/>
      </c>
      <c r="M61" t="str" cm="1">
        <f t="array" ref="M61">IF(COUNT(INDEX(FIND(ROW($1:$10)-1,K61),)),VALUE(MID(K61,MIN(SEARCH({1,2,3,4,5,6,7,8,9,0},K61&amp;1234567890)),LEN(K61)-(LENB(K61)-LEN(K61)))),"")</f>
        <v/>
      </c>
      <c r="N61" t="str">
        <f>IF(L61&lt;&gt;"○",M61,INDEX(G$4:G60,MATCH(L61&amp;M61,F$4:F60,0)))</f>
        <v/>
      </c>
      <c r="O61" t="str">
        <f t="shared" si="8"/>
        <v/>
      </c>
      <c r="Q61" s="4"/>
    </row>
    <row r="62" spans="2:17" x14ac:dyDescent="0.4">
      <c r="B62" t="s">
        <v>21</v>
      </c>
      <c r="C62" t="str">
        <f>IF(G62="","",MAX(C$4:C61)+1)</f>
        <v/>
      </c>
      <c r="D62" t="str">
        <f>IF(AND(N62=""),"",MAX(D$4:D61)+1)</f>
        <v/>
      </c>
      <c r="F62" s="26" t="str">
        <f t="shared" si="1"/>
        <v/>
      </c>
      <c r="G62" s="29" t="str">
        <f t="shared" si="2"/>
        <v/>
      </c>
      <c r="H62" s="20" t="str">
        <f t="shared" si="3"/>
        <v/>
      </c>
      <c r="I62" s="20" t="str">
        <f t="shared" si="4"/>
        <v/>
      </c>
      <c r="J62" s="20" t="str">
        <f t="shared" si="5"/>
        <v/>
      </c>
      <c r="K62" s="31" t="str">
        <f t="shared" si="6"/>
        <v/>
      </c>
      <c r="L62" s="23" t="str">
        <f t="shared" si="7"/>
        <v/>
      </c>
      <c r="M62" t="str" cm="1">
        <f t="array" ref="M62">IF(COUNT(INDEX(FIND(ROW($1:$10)-1,K62),)),VALUE(MID(K62,MIN(SEARCH({1,2,3,4,5,6,7,8,9,0},K62&amp;1234567890)),LEN(K62)-(LENB(K62)-LEN(K62)))),"")</f>
        <v/>
      </c>
      <c r="N62" t="str">
        <f>IF(L62&lt;&gt;"○",M62,INDEX(G$4:G61,MATCH(L62&amp;M62,F$4:F61,0)))</f>
        <v/>
      </c>
      <c r="O62" t="str">
        <f t="shared" si="8"/>
        <v/>
      </c>
      <c r="Q62" s="4"/>
    </row>
    <row r="63" spans="2:17" x14ac:dyDescent="0.4">
      <c r="B63" t="s">
        <v>21</v>
      </c>
      <c r="C63" t="str">
        <f>IF(G63="","",MAX(C$4:C62)+1)</f>
        <v/>
      </c>
      <c r="D63" t="str">
        <f>IF(AND(N63=""),"",MAX(D$4:D62)+1)</f>
        <v/>
      </c>
      <c r="F63" s="26" t="str">
        <f t="shared" si="1"/>
        <v/>
      </c>
      <c r="G63" s="29" t="str">
        <f t="shared" si="2"/>
        <v/>
      </c>
      <c r="H63" s="20" t="str">
        <f t="shared" si="3"/>
        <v/>
      </c>
      <c r="I63" s="20" t="str">
        <f t="shared" si="4"/>
        <v/>
      </c>
      <c r="J63" s="20" t="str">
        <f t="shared" si="5"/>
        <v/>
      </c>
      <c r="K63" s="31" t="str">
        <f t="shared" si="6"/>
        <v/>
      </c>
      <c r="L63" s="23" t="str">
        <f t="shared" si="7"/>
        <v/>
      </c>
      <c r="M63" t="str" cm="1">
        <f t="array" ref="M63">IF(COUNT(INDEX(FIND(ROW($1:$10)-1,K63),)),VALUE(MID(K63,MIN(SEARCH({1,2,3,4,5,6,7,8,9,0},K63&amp;1234567890)),LEN(K63)-(LENB(K63)-LEN(K63)))),"")</f>
        <v/>
      </c>
      <c r="N63" t="str">
        <f>IF(L63&lt;&gt;"○",M63,INDEX(G$4:G62,MATCH(L63&amp;M63,F$4:F62,0)))</f>
        <v/>
      </c>
      <c r="O63" t="str">
        <f t="shared" si="8"/>
        <v/>
      </c>
      <c r="Q63" s="4"/>
    </row>
    <row r="64" spans="2:17" x14ac:dyDescent="0.4">
      <c r="B64" t="s">
        <v>21</v>
      </c>
      <c r="C64" t="str">
        <f>IF(G64="","",MAX(C$4:C63)+1)</f>
        <v/>
      </c>
      <c r="D64" t="str">
        <f>IF(AND(N64=""),"",MAX(D$4:D63)+1)</f>
        <v/>
      </c>
      <c r="F64" s="26" t="str">
        <f t="shared" si="1"/>
        <v/>
      </c>
      <c r="G64" s="29" t="str">
        <f t="shared" si="2"/>
        <v/>
      </c>
      <c r="H64" s="20" t="str">
        <f t="shared" si="3"/>
        <v/>
      </c>
      <c r="I64" s="20" t="str">
        <f t="shared" si="4"/>
        <v/>
      </c>
      <c r="J64" s="20" t="str">
        <f t="shared" si="5"/>
        <v/>
      </c>
      <c r="K64" s="31" t="str">
        <f t="shared" si="6"/>
        <v/>
      </c>
      <c r="L64" s="23" t="str">
        <f t="shared" si="7"/>
        <v/>
      </c>
      <c r="M64" t="str" cm="1">
        <f t="array" ref="M64">IF(COUNT(INDEX(FIND(ROW($1:$10)-1,K64),)),VALUE(MID(K64,MIN(SEARCH({1,2,3,4,5,6,7,8,9,0},K64&amp;1234567890)),LEN(K64)-(LENB(K64)-LEN(K64)))),"")</f>
        <v/>
      </c>
      <c r="N64" t="str">
        <f>IF(L64&lt;&gt;"○",M64,INDEX(G$4:G63,MATCH(L64&amp;M64,F$4:F63,0)))</f>
        <v/>
      </c>
      <c r="O64" t="str">
        <f t="shared" si="8"/>
        <v/>
      </c>
      <c r="Q64" s="4"/>
    </row>
    <row r="65" spans="2:17" x14ac:dyDescent="0.4">
      <c r="B65" t="s">
        <v>21</v>
      </c>
      <c r="C65" t="str">
        <f>IF(G65="","",MAX(C$4:C64)+1)</f>
        <v/>
      </c>
      <c r="D65" t="str">
        <f>IF(AND(N65=""),"",MAX(D$4:D64)+1)</f>
        <v/>
      </c>
      <c r="F65" s="26" t="str">
        <f t="shared" si="1"/>
        <v/>
      </c>
      <c r="G65" s="29" t="str">
        <f t="shared" si="2"/>
        <v/>
      </c>
      <c r="H65" s="20" t="str">
        <f t="shared" si="3"/>
        <v/>
      </c>
      <c r="I65" s="20" t="str">
        <f t="shared" si="4"/>
        <v/>
      </c>
      <c r="J65" s="20" t="str">
        <f t="shared" si="5"/>
        <v/>
      </c>
      <c r="K65" s="31" t="str">
        <f t="shared" si="6"/>
        <v/>
      </c>
      <c r="L65" s="23" t="str">
        <f t="shared" si="7"/>
        <v/>
      </c>
      <c r="M65" t="str" cm="1">
        <f t="array" ref="M65">IF(COUNT(INDEX(FIND(ROW($1:$10)-1,K65),)),VALUE(MID(K65,MIN(SEARCH({1,2,3,4,5,6,7,8,9,0},K65&amp;1234567890)),LEN(K65)-(LENB(K65)-LEN(K65)))),"")</f>
        <v/>
      </c>
      <c r="N65" t="str">
        <f>IF(L65&lt;&gt;"○",M65,INDEX(G$4:G64,MATCH(L65&amp;M65,F$4:F64,0)))</f>
        <v/>
      </c>
      <c r="O65" t="str">
        <f t="shared" si="8"/>
        <v/>
      </c>
      <c r="Q65" s="4"/>
    </row>
    <row r="66" spans="2:17" x14ac:dyDescent="0.4">
      <c r="B66" t="s">
        <v>21</v>
      </c>
      <c r="C66" t="str">
        <f>IF(G66="","",MAX(C$4:C65)+1)</f>
        <v/>
      </c>
      <c r="D66" t="str">
        <f>IF(AND(N66=""),"",MAX(D$4:D65)+1)</f>
        <v/>
      </c>
      <c r="F66" s="26" t="str">
        <f t="shared" si="1"/>
        <v/>
      </c>
      <c r="G66" s="29" t="str">
        <f t="shared" si="2"/>
        <v/>
      </c>
      <c r="H66" s="20" t="str">
        <f t="shared" si="3"/>
        <v/>
      </c>
      <c r="I66" s="20" t="str">
        <f t="shared" si="4"/>
        <v/>
      </c>
      <c r="J66" s="20" t="str">
        <f t="shared" si="5"/>
        <v/>
      </c>
      <c r="K66" s="31" t="str">
        <f t="shared" si="6"/>
        <v/>
      </c>
      <c r="L66" s="23" t="str">
        <f t="shared" si="7"/>
        <v/>
      </c>
      <c r="M66" t="str" cm="1">
        <f t="array" ref="M66">IF(COUNT(INDEX(FIND(ROW($1:$10)-1,K66),)),VALUE(MID(K66,MIN(SEARCH({1,2,3,4,5,6,7,8,9,0},K66&amp;1234567890)),LEN(K66)-(LENB(K66)-LEN(K66)))),"")</f>
        <v/>
      </c>
      <c r="N66" t="str">
        <f>IF(L66&lt;&gt;"○",M66,INDEX(G$4:G65,MATCH(L66&amp;M66,F$4:F65,0)))</f>
        <v/>
      </c>
      <c r="O66" t="str">
        <f t="shared" si="8"/>
        <v/>
      </c>
      <c r="Q66" s="4"/>
    </row>
    <row r="67" spans="2:17" x14ac:dyDescent="0.4">
      <c r="B67" t="s">
        <v>21</v>
      </c>
      <c r="C67" t="str">
        <f>IF(G67="","",MAX(C$4:C66)+1)</f>
        <v/>
      </c>
      <c r="D67" t="str">
        <f>IF(AND(N67=""),"",MAX(D$4:D66)+1)</f>
        <v/>
      </c>
      <c r="F67" s="26" t="str">
        <f t="shared" si="1"/>
        <v/>
      </c>
      <c r="G67" s="29" t="str">
        <f t="shared" si="2"/>
        <v/>
      </c>
      <c r="H67" s="20" t="str">
        <f t="shared" si="3"/>
        <v/>
      </c>
      <c r="I67" s="20" t="str">
        <f t="shared" si="4"/>
        <v/>
      </c>
      <c r="J67" s="20" t="str">
        <f t="shared" si="5"/>
        <v/>
      </c>
      <c r="K67" s="31" t="str">
        <f t="shared" si="6"/>
        <v/>
      </c>
      <c r="L67" s="23" t="str">
        <f t="shared" si="7"/>
        <v/>
      </c>
      <c r="M67" t="str" cm="1">
        <f t="array" ref="M67">IF(COUNT(INDEX(FIND(ROW($1:$10)-1,K67),)),VALUE(MID(K67,MIN(SEARCH({1,2,3,4,5,6,7,8,9,0},K67&amp;1234567890)),LEN(K67)-(LENB(K67)-LEN(K67)))),"")</f>
        <v/>
      </c>
      <c r="N67" t="str">
        <f>IF(L67&lt;&gt;"○",M67,INDEX(G$4:G66,MATCH(L67&amp;M67,F$4:F66,0)))</f>
        <v/>
      </c>
      <c r="O67" t="str">
        <f t="shared" si="8"/>
        <v/>
      </c>
      <c r="Q67" s="4"/>
    </row>
    <row r="68" spans="2:17" x14ac:dyDescent="0.4">
      <c r="B68" t="s">
        <v>21</v>
      </c>
      <c r="C68" t="str">
        <f>IF(G68="","",MAX(C$4:C67)+1)</f>
        <v/>
      </c>
      <c r="D68" t="str">
        <f>IF(AND(N68=""),"",MAX(D$4:D67)+1)</f>
        <v/>
      </c>
      <c r="F68" s="26" t="str">
        <f t="shared" si="1"/>
        <v/>
      </c>
      <c r="G68" s="29" t="str">
        <f t="shared" si="2"/>
        <v/>
      </c>
      <c r="H68" s="20" t="str">
        <f t="shared" si="3"/>
        <v/>
      </c>
      <c r="I68" s="20" t="str">
        <f t="shared" si="4"/>
        <v/>
      </c>
      <c r="J68" s="20" t="str">
        <f t="shared" si="5"/>
        <v/>
      </c>
      <c r="K68" s="31" t="str">
        <f t="shared" si="6"/>
        <v/>
      </c>
      <c r="L68" s="23" t="str">
        <f t="shared" si="7"/>
        <v/>
      </c>
      <c r="M68" t="str" cm="1">
        <f t="array" ref="M68">IF(COUNT(INDEX(FIND(ROW($1:$10)-1,K68),)),VALUE(MID(K68,MIN(SEARCH({1,2,3,4,5,6,7,8,9,0},K68&amp;1234567890)),LEN(K68)-(LENB(K68)-LEN(K68)))),"")</f>
        <v/>
      </c>
      <c r="N68" t="str">
        <f>IF(L68&lt;&gt;"○",M68,INDEX(G$4:G67,MATCH(L68&amp;M68,F$4:F67,0)))</f>
        <v/>
      </c>
      <c r="O68" t="str">
        <f t="shared" si="8"/>
        <v/>
      </c>
      <c r="Q68" s="4"/>
    </row>
    <row r="69" spans="2:17" x14ac:dyDescent="0.4">
      <c r="B69" t="s">
        <v>21</v>
      </c>
      <c r="C69" t="str">
        <f>IF(G69="","",MAX(C$4:C68)+1)</f>
        <v/>
      </c>
      <c r="D69" t="str">
        <f>IF(AND(N69=""),"",MAX(D$4:D68)+1)</f>
        <v/>
      </c>
      <c r="F69" s="26" t="str">
        <f t="shared" si="1"/>
        <v/>
      </c>
      <c r="G69" s="29" t="str">
        <f t="shared" si="2"/>
        <v/>
      </c>
      <c r="H69" s="20" t="str">
        <f t="shared" si="3"/>
        <v/>
      </c>
      <c r="I69" s="20" t="str">
        <f t="shared" si="4"/>
        <v/>
      </c>
      <c r="J69" s="20" t="str">
        <f t="shared" si="5"/>
        <v/>
      </c>
      <c r="K69" s="31" t="str">
        <f t="shared" si="6"/>
        <v/>
      </c>
      <c r="L69" s="23" t="str">
        <f t="shared" si="7"/>
        <v/>
      </c>
      <c r="M69" t="str" cm="1">
        <f t="array" ref="M69">IF(COUNT(INDEX(FIND(ROW($1:$10)-1,K69),)),VALUE(MID(K69,MIN(SEARCH({1,2,3,4,5,6,7,8,9,0},K69&amp;1234567890)),LEN(K69)-(LENB(K69)-LEN(K69)))),"")</f>
        <v/>
      </c>
      <c r="N69" t="str">
        <f>IF(L69&lt;&gt;"○",M69,INDEX(G$4:G68,MATCH(L69&amp;M69,F$4:F68,0)))</f>
        <v/>
      </c>
      <c r="O69" t="str">
        <f t="shared" si="8"/>
        <v/>
      </c>
      <c r="Q69" s="4"/>
    </row>
    <row r="70" spans="2:17" x14ac:dyDescent="0.4">
      <c r="B70" t="s">
        <v>21</v>
      </c>
      <c r="C70" t="str">
        <f>IF(G70="","",MAX(C$4:C69)+1)</f>
        <v/>
      </c>
      <c r="D70" t="str">
        <f>IF(AND(N70=""),"",MAX(D$4:D69)+1)</f>
        <v/>
      </c>
      <c r="F70" s="26" t="str">
        <f t="shared" si="1"/>
        <v/>
      </c>
      <c r="G70" s="29" t="str">
        <f t="shared" si="2"/>
        <v/>
      </c>
      <c r="H70" s="20" t="str">
        <f t="shared" si="3"/>
        <v/>
      </c>
      <c r="I70" s="20" t="str">
        <f t="shared" si="4"/>
        <v/>
      </c>
      <c r="J70" s="20" t="str">
        <f t="shared" si="5"/>
        <v/>
      </c>
      <c r="K70" s="31" t="str">
        <f t="shared" si="6"/>
        <v/>
      </c>
      <c r="L70" s="23" t="str">
        <f t="shared" si="7"/>
        <v/>
      </c>
      <c r="M70" t="str" cm="1">
        <f t="array" ref="M70">IF(COUNT(INDEX(FIND(ROW($1:$10)-1,K70),)),VALUE(MID(K70,MIN(SEARCH({1,2,3,4,5,6,7,8,9,0},K70&amp;1234567890)),LEN(K70)-(LENB(K70)-LEN(K70)))),"")</f>
        <v/>
      </c>
      <c r="N70" t="str">
        <f>IF(L70&lt;&gt;"○",M70,INDEX(G$4:G69,MATCH(L70&amp;M70,F$4:F69,0)))</f>
        <v/>
      </c>
      <c r="O70" t="str">
        <f t="shared" si="8"/>
        <v/>
      </c>
      <c r="Q70" s="4"/>
    </row>
    <row r="71" spans="2:17" x14ac:dyDescent="0.4">
      <c r="B71" t="s">
        <v>21</v>
      </c>
      <c r="C71" t="str">
        <f>IF(G71="","",MAX(C$4:C70)+1)</f>
        <v/>
      </c>
      <c r="D71" t="str">
        <f>IF(AND(N71=""),"",MAX(D$4:D70)+1)</f>
        <v/>
      </c>
      <c r="F71" s="26" t="str">
        <f t="shared" si="1"/>
        <v/>
      </c>
      <c r="G71" s="29" t="str">
        <f t="shared" si="2"/>
        <v/>
      </c>
      <c r="H71" s="20" t="str">
        <f t="shared" si="3"/>
        <v/>
      </c>
      <c r="I71" s="20" t="str">
        <f t="shared" si="4"/>
        <v/>
      </c>
      <c r="J71" s="20" t="str">
        <f t="shared" si="5"/>
        <v/>
      </c>
      <c r="K71" s="31" t="str">
        <f t="shared" si="6"/>
        <v/>
      </c>
      <c r="L71" s="23" t="str">
        <f t="shared" si="7"/>
        <v/>
      </c>
      <c r="M71" t="str" cm="1">
        <f t="array" ref="M71">IF(COUNT(INDEX(FIND(ROW($1:$10)-1,K71),)),VALUE(MID(K71,MIN(SEARCH({1,2,3,4,5,6,7,8,9,0},K71&amp;1234567890)),LEN(K71)-(LENB(K71)-LEN(K71)))),"")</f>
        <v/>
      </c>
      <c r="N71" t="str">
        <f>IF(L71&lt;&gt;"○",M71,INDEX(G$4:G70,MATCH(L71&amp;M71,F$4:F70,0)))</f>
        <v/>
      </c>
      <c r="O71" t="str">
        <f t="shared" si="8"/>
        <v/>
      </c>
      <c r="Q71" s="4"/>
    </row>
    <row r="72" spans="2:17" x14ac:dyDescent="0.4">
      <c r="B72" t="s">
        <v>21</v>
      </c>
      <c r="C72" t="str">
        <f>IF(G72="","",MAX(C$4:C71)+1)</f>
        <v/>
      </c>
      <c r="D72" t="str">
        <f>IF(AND(N72=""),"",MAX(D$4:D71)+1)</f>
        <v/>
      </c>
      <c r="F72" s="26" t="str">
        <f t="shared" si="1"/>
        <v/>
      </c>
      <c r="G72" s="29" t="str">
        <f t="shared" si="2"/>
        <v/>
      </c>
      <c r="H72" s="20" t="str">
        <f t="shared" si="3"/>
        <v/>
      </c>
      <c r="I72" s="20" t="str">
        <f t="shared" si="4"/>
        <v/>
      </c>
      <c r="J72" s="20" t="str">
        <f t="shared" si="5"/>
        <v/>
      </c>
      <c r="K72" s="31" t="str">
        <f t="shared" si="6"/>
        <v/>
      </c>
      <c r="L72" s="23" t="str">
        <f t="shared" si="7"/>
        <v/>
      </c>
      <c r="M72" t="str" cm="1">
        <f t="array" ref="M72">IF(COUNT(INDEX(FIND(ROW($1:$10)-1,K72),)),VALUE(MID(K72,MIN(SEARCH({1,2,3,4,5,6,7,8,9,0},K72&amp;1234567890)),LEN(K72)-(LENB(K72)-LEN(K72)))),"")</f>
        <v/>
      </c>
      <c r="N72" t="str">
        <f>IF(L72&lt;&gt;"○",M72,INDEX(G$4:G71,MATCH(L72&amp;M72,F$4:F71,0)))</f>
        <v/>
      </c>
      <c r="O72" t="str">
        <f t="shared" si="8"/>
        <v/>
      </c>
      <c r="Q72" s="4"/>
    </row>
    <row r="73" spans="2:17" x14ac:dyDescent="0.4">
      <c r="B73" t="s">
        <v>21</v>
      </c>
      <c r="C73" t="str">
        <f>IF(G73="","",MAX(C$4:C72)+1)</f>
        <v/>
      </c>
      <c r="D73" t="str">
        <f>IF(AND(N73=""),"",MAX(D$4:D72)+1)</f>
        <v/>
      </c>
      <c r="F73" s="26" t="str">
        <f t="shared" ref="F73:F136" si="11">IF(G73&lt;&gt;"",R73&amp;S73,"")</f>
        <v/>
      </c>
      <c r="G73" s="29" t="str">
        <f t="shared" ref="G73:G136" si="12">IF(AND((S73 &lt;&gt; ""),(S73 &gt;= 0)), ABS(IF(OR((R73=""),(R73="　")), S73, T73)), "")</f>
        <v/>
      </c>
      <c r="H73" s="20" t="str">
        <f t="shared" ref="H73:H136" si="13">IF(OR((R73=""),(R73="　")),IF(G73 &lt;&gt; "", T73, ""),IF(G73 &lt;&gt; "", U73, ""))</f>
        <v/>
      </c>
      <c r="I73" s="20" t="str">
        <f t="shared" ref="I73:I136" si="14">IF(G73 &lt;&gt; "", IF(COUNTIF(IF(OR((R73=""),(R73="　")), U73, V73),"*男*"),"男性",IF(COUNTIF(IF(OR((R73=""),(R73="　")), U73, V73),"*女*"),"女性","ー")),"")</f>
        <v/>
      </c>
      <c r="J73" s="20" t="str">
        <f t="shared" ref="J73:J136" si="15">IF(G73 &lt;&gt; "", IF(OR((R73=""),(R73="　")), V73, W73),"")</f>
        <v/>
      </c>
      <c r="K73" s="31" t="str">
        <f t="shared" ref="K73:K136" si="16">SUBSTITUTE(IF(OR(G73 &lt;&gt; "",AA73&lt;&gt; "",AB73&lt;&gt; ""), IF(OR((R73=""),(R73="　")), IF(AB73&lt;&gt;"", AB73, ""), AA73), IF(AND((AA73 &lt;&gt; ""), (R73&lt;&gt;""), (R73&lt;&gt;"　")), AA73, ""))," ","")</f>
        <v/>
      </c>
      <c r="L73" s="23" t="str">
        <f t="shared" ref="L73:L136" si="17">IF(COUNTIF(K73,"*市*"),"○","")</f>
        <v/>
      </c>
      <c r="M73" t="str" cm="1">
        <f t="array" ref="M73">IF(COUNT(INDEX(FIND(ROW($1:$10)-1,K73),)),VALUE(MID(K73,MIN(SEARCH({1,2,3,4,5,6,7,8,9,0},K73&amp;1234567890)),LEN(K73)-(LENB(K73)-LEN(K73)))),"")</f>
        <v/>
      </c>
      <c r="N73" t="str">
        <f>IF(L73&lt;&gt;"○",M73,INDEX(G$4:G72,MATCH(L73&amp;M73,F$4:F72,0)))</f>
        <v/>
      </c>
      <c r="O73" t="str">
        <f t="shared" ref="O73:O136" si="18">IF(M73 &lt;&gt; "",
IF(NOT(ISERROR(RIGHT(K73, LEN(K73)-LEN(M73)-1-FIND(M73&amp;"例目の", K73)))),RIGHT(K73, LEN(K73)-LEN(M73)-2-FIND(M73&amp;"例目の", K73)),
IF(NOT(ISERROR(RIGHT(K73, LEN(K73)-LEN(M73)-1-FIND(M73&amp;"例と", K73)))),RIGHT(K73, LEN(K73)-LEN(M73)-1-FIND(M73&amp;"例と", K73)),
IF(NOT(ISERROR(RIGHT(K73, LEN(K73)-LEN(M73)-1-FIND(M73&amp;"例の", K73)))),RIGHT(K73, LEN(K73)-LEN(M73)-1-FIND(M73&amp;"例の", K73)),
IF(NOT(ISERROR(RIGHT(K73, LEN(K73)-LEN(M73)-1-FIND(M73&amp;"の", K73)))),RIGHT(K73, LEN(K73)-LEN(M73)-FIND(M73&amp;"の", K73)),
IF(NOT(ISERROR(RIGHT(K73, LEN(K73)-LEN(M73)-1-FIND(M73&amp;"例", K73)))),RIGHT(K73, LEN(K73)-LEN(M73)-FIND(M73&amp;"例", K73)),
IF(NOT(ISERROR(RIGHT(K73, LEN(K73)-LEN(M73)-1-FIND(M73, K73)))),RIGHT(K73, LEN(K73)-LEN(M73)+1-FIND(M73, K73)),
"")))))), "")</f>
        <v/>
      </c>
      <c r="Q73" s="4"/>
    </row>
    <row r="74" spans="2:17" x14ac:dyDescent="0.4">
      <c r="B74" t="s">
        <v>21</v>
      </c>
      <c r="C74" t="str">
        <f>IF(G74="","",MAX(C$4:C73)+1)</f>
        <v/>
      </c>
      <c r="D74" t="str">
        <f>IF(AND(N74=""),"",MAX(D$4:D73)+1)</f>
        <v/>
      </c>
      <c r="F74" s="26" t="str">
        <f t="shared" si="11"/>
        <v/>
      </c>
      <c r="G74" s="29" t="str">
        <f t="shared" si="12"/>
        <v/>
      </c>
      <c r="H74" s="20" t="str">
        <f t="shared" si="13"/>
        <v/>
      </c>
      <c r="I74" s="20" t="str">
        <f t="shared" si="14"/>
        <v/>
      </c>
      <c r="J74" s="20" t="str">
        <f t="shared" si="15"/>
        <v/>
      </c>
      <c r="K74" s="31" t="str">
        <f t="shared" si="16"/>
        <v/>
      </c>
      <c r="L74" s="23" t="str">
        <f t="shared" si="17"/>
        <v/>
      </c>
      <c r="M74" t="str" cm="1">
        <f t="array" ref="M74">IF(COUNT(INDEX(FIND(ROW($1:$10)-1,K74),)),VALUE(MID(K74,MIN(SEARCH({1,2,3,4,5,6,7,8,9,0},K74&amp;1234567890)),LEN(K74)-(LENB(K74)-LEN(K74)))),"")</f>
        <v/>
      </c>
      <c r="N74" t="str">
        <f>IF(L74&lt;&gt;"○",M74,INDEX(G$4:G73,MATCH(L74&amp;M74,F$4:F73,0)))</f>
        <v/>
      </c>
      <c r="O74" t="str">
        <f t="shared" si="18"/>
        <v/>
      </c>
      <c r="Q74" s="4"/>
    </row>
    <row r="75" spans="2:17" x14ac:dyDescent="0.4">
      <c r="B75" t="s">
        <v>21</v>
      </c>
      <c r="C75" t="str">
        <f>IF(G75="","",MAX(C$4:C74)+1)</f>
        <v/>
      </c>
      <c r="D75" t="str">
        <f>IF(AND(N75=""),"",MAX(D$4:D74)+1)</f>
        <v/>
      </c>
      <c r="F75" s="26" t="str">
        <f t="shared" si="11"/>
        <v/>
      </c>
      <c r="G75" s="29" t="str">
        <f t="shared" si="12"/>
        <v/>
      </c>
      <c r="H75" s="20" t="str">
        <f t="shared" si="13"/>
        <v/>
      </c>
      <c r="I75" s="20" t="str">
        <f t="shared" si="14"/>
        <v/>
      </c>
      <c r="J75" s="20" t="str">
        <f t="shared" si="15"/>
        <v/>
      </c>
      <c r="K75" s="31" t="str">
        <f t="shared" si="16"/>
        <v/>
      </c>
      <c r="L75" s="23" t="str">
        <f t="shared" si="17"/>
        <v/>
      </c>
      <c r="M75" t="str" cm="1">
        <f t="array" ref="M75">IF(COUNT(INDEX(FIND(ROW($1:$10)-1,K75),)),VALUE(MID(K75,MIN(SEARCH({1,2,3,4,5,6,7,8,9,0},K75&amp;1234567890)),LEN(K75)-(LENB(K75)-LEN(K75)))),"")</f>
        <v/>
      </c>
      <c r="N75" t="str">
        <f>IF(L75&lt;&gt;"○",M75,INDEX(G$4:G74,MATCH(L75&amp;M75,F$4:F74,0)))</f>
        <v/>
      </c>
      <c r="O75" t="str">
        <f t="shared" si="18"/>
        <v/>
      </c>
      <c r="Q75" s="4"/>
    </row>
    <row r="76" spans="2:17" x14ac:dyDescent="0.4">
      <c r="B76" t="s">
        <v>21</v>
      </c>
      <c r="C76" t="str">
        <f>IF(G76="","",MAX(C$4:C75)+1)</f>
        <v/>
      </c>
      <c r="D76" t="str">
        <f>IF(AND(N76=""),"",MAX(D$4:D75)+1)</f>
        <v/>
      </c>
      <c r="F76" s="26" t="str">
        <f t="shared" si="11"/>
        <v/>
      </c>
      <c r="G76" s="29" t="str">
        <f t="shared" si="12"/>
        <v/>
      </c>
      <c r="H76" s="20" t="str">
        <f t="shared" si="13"/>
        <v/>
      </c>
      <c r="I76" s="20" t="str">
        <f t="shared" si="14"/>
        <v/>
      </c>
      <c r="J76" s="20" t="str">
        <f t="shared" si="15"/>
        <v/>
      </c>
      <c r="K76" s="31" t="str">
        <f t="shared" si="16"/>
        <v/>
      </c>
      <c r="L76" s="23" t="str">
        <f t="shared" si="17"/>
        <v/>
      </c>
      <c r="M76" t="str" cm="1">
        <f t="array" ref="M76">IF(COUNT(INDEX(FIND(ROW($1:$10)-1,K76),)),VALUE(MID(K76,MIN(SEARCH({1,2,3,4,5,6,7,8,9,0},K76&amp;1234567890)),LEN(K76)-(LENB(K76)-LEN(K76)))),"")</f>
        <v/>
      </c>
      <c r="N76" t="str">
        <f>IF(L76&lt;&gt;"○",M76,INDEX(G$4:G75,MATCH(L76&amp;M76,F$4:F75,0)))</f>
        <v/>
      </c>
      <c r="O76" t="str">
        <f t="shared" si="18"/>
        <v/>
      </c>
      <c r="Q76" s="4"/>
    </row>
    <row r="77" spans="2:17" x14ac:dyDescent="0.4">
      <c r="B77" t="s">
        <v>21</v>
      </c>
      <c r="C77" t="str">
        <f>IF(G77="","",MAX(C$4:C76)+1)</f>
        <v/>
      </c>
      <c r="D77" t="str">
        <f>IF(AND(N77=""),"",MAX(D$4:D76)+1)</f>
        <v/>
      </c>
      <c r="F77" s="26" t="str">
        <f t="shared" si="11"/>
        <v/>
      </c>
      <c r="G77" s="29" t="str">
        <f t="shared" si="12"/>
        <v/>
      </c>
      <c r="H77" s="20" t="str">
        <f t="shared" si="13"/>
        <v/>
      </c>
      <c r="I77" s="20" t="str">
        <f t="shared" si="14"/>
        <v/>
      </c>
      <c r="J77" s="20" t="str">
        <f t="shared" si="15"/>
        <v/>
      </c>
      <c r="K77" s="31" t="str">
        <f t="shared" si="16"/>
        <v/>
      </c>
      <c r="L77" s="23" t="str">
        <f t="shared" si="17"/>
        <v/>
      </c>
      <c r="M77" t="str" cm="1">
        <f t="array" ref="M77">IF(COUNT(INDEX(FIND(ROW($1:$10)-1,K77),)),VALUE(MID(K77,MIN(SEARCH({1,2,3,4,5,6,7,8,9,0},K77&amp;1234567890)),LEN(K77)-(LENB(K77)-LEN(K77)))),"")</f>
        <v/>
      </c>
      <c r="N77" t="str">
        <f>IF(L77&lt;&gt;"○",M77,INDEX(G$4:G76,MATCH(L77&amp;M77,F$4:F76,0)))</f>
        <v/>
      </c>
      <c r="O77" t="str">
        <f t="shared" si="18"/>
        <v/>
      </c>
      <c r="Q77" s="4"/>
    </row>
    <row r="78" spans="2:17" x14ac:dyDescent="0.4">
      <c r="B78" t="s">
        <v>21</v>
      </c>
      <c r="C78" t="str">
        <f>IF(G78="","",MAX(C$4:C77)+1)</f>
        <v/>
      </c>
      <c r="D78" t="str">
        <f>IF(AND(N78=""),"",MAX(D$4:D77)+1)</f>
        <v/>
      </c>
      <c r="F78" s="26" t="str">
        <f t="shared" si="11"/>
        <v/>
      </c>
      <c r="G78" s="29" t="str">
        <f t="shared" si="12"/>
        <v/>
      </c>
      <c r="H78" s="20" t="str">
        <f t="shared" si="13"/>
        <v/>
      </c>
      <c r="I78" s="20" t="str">
        <f t="shared" si="14"/>
        <v/>
      </c>
      <c r="J78" s="20" t="str">
        <f t="shared" si="15"/>
        <v/>
      </c>
      <c r="K78" s="31" t="str">
        <f t="shared" si="16"/>
        <v/>
      </c>
      <c r="L78" s="23" t="str">
        <f t="shared" si="17"/>
        <v/>
      </c>
      <c r="M78" t="str" cm="1">
        <f t="array" ref="M78">IF(COUNT(INDEX(FIND(ROW($1:$10)-1,K78),)),VALUE(MID(K78,MIN(SEARCH({1,2,3,4,5,6,7,8,9,0},K78&amp;1234567890)),LEN(K78)-(LENB(K78)-LEN(K78)))),"")</f>
        <v/>
      </c>
      <c r="N78" t="str">
        <f>IF(L78&lt;&gt;"○",M78,INDEX(G$4:G77,MATCH(L78&amp;M78,F$4:F77,0)))</f>
        <v/>
      </c>
      <c r="O78" t="str">
        <f t="shared" si="18"/>
        <v/>
      </c>
      <c r="Q78" s="4"/>
    </row>
    <row r="79" spans="2:17" x14ac:dyDescent="0.4">
      <c r="B79" t="s">
        <v>21</v>
      </c>
      <c r="C79" t="str">
        <f>IF(G79="","",MAX(C$4:C78)+1)</f>
        <v/>
      </c>
      <c r="D79" t="str">
        <f>IF(AND(N79=""),"",MAX(D$4:D78)+1)</f>
        <v/>
      </c>
      <c r="F79" s="26" t="str">
        <f t="shared" si="11"/>
        <v/>
      </c>
      <c r="G79" s="29" t="str">
        <f t="shared" si="12"/>
        <v/>
      </c>
      <c r="H79" s="20" t="str">
        <f t="shared" si="13"/>
        <v/>
      </c>
      <c r="I79" s="20" t="str">
        <f t="shared" si="14"/>
        <v/>
      </c>
      <c r="J79" s="20" t="str">
        <f t="shared" si="15"/>
        <v/>
      </c>
      <c r="K79" s="31" t="str">
        <f t="shared" si="16"/>
        <v/>
      </c>
      <c r="L79" s="23" t="str">
        <f t="shared" si="17"/>
        <v/>
      </c>
      <c r="M79" t="str" cm="1">
        <f t="array" ref="M79">IF(COUNT(INDEX(FIND(ROW($1:$10)-1,K79),)),VALUE(MID(K79,MIN(SEARCH({1,2,3,4,5,6,7,8,9,0},K79&amp;1234567890)),LEN(K79)-(LENB(K79)-LEN(K79)))),"")</f>
        <v/>
      </c>
      <c r="N79" t="str">
        <f>IF(L79&lt;&gt;"○",M79,INDEX(G$4:G78,MATCH(L79&amp;M79,F$4:F78,0)))</f>
        <v/>
      </c>
      <c r="O79" t="str">
        <f t="shared" si="18"/>
        <v/>
      </c>
      <c r="Q79" s="4"/>
    </row>
    <row r="80" spans="2:17" x14ac:dyDescent="0.4">
      <c r="B80" t="s">
        <v>21</v>
      </c>
      <c r="C80" t="str">
        <f>IF(G80="","",MAX(C$4:C79)+1)</f>
        <v/>
      </c>
      <c r="D80" t="str">
        <f>IF(AND(N80=""),"",MAX(D$4:D79)+1)</f>
        <v/>
      </c>
      <c r="F80" s="26" t="str">
        <f t="shared" si="11"/>
        <v/>
      </c>
      <c r="G80" s="29" t="str">
        <f t="shared" si="12"/>
        <v/>
      </c>
      <c r="H80" s="20" t="str">
        <f t="shared" si="13"/>
        <v/>
      </c>
      <c r="I80" s="20" t="str">
        <f t="shared" si="14"/>
        <v/>
      </c>
      <c r="J80" s="20" t="str">
        <f t="shared" si="15"/>
        <v/>
      </c>
      <c r="K80" s="31" t="str">
        <f t="shared" si="16"/>
        <v/>
      </c>
      <c r="L80" s="23" t="str">
        <f t="shared" si="17"/>
        <v/>
      </c>
      <c r="M80" t="str" cm="1">
        <f t="array" ref="M80">IF(COUNT(INDEX(FIND(ROW($1:$10)-1,K80),)),VALUE(MID(K80,MIN(SEARCH({1,2,3,4,5,6,7,8,9,0},K80&amp;1234567890)),LEN(K80)-(LENB(K80)-LEN(K80)))),"")</f>
        <v/>
      </c>
      <c r="N80" t="str">
        <f>IF(L80&lt;&gt;"○",M80,INDEX(G$4:G79,MATCH(L80&amp;M80,F$4:F79,0)))</f>
        <v/>
      </c>
      <c r="O80" t="str">
        <f t="shared" si="18"/>
        <v/>
      </c>
      <c r="Q80" s="4"/>
    </row>
    <row r="81" spans="2:17" x14ac:dyDescent="0.4">
      <c r="B81" t="s">
        <v>21</v>
      </c>
      <c r="C81" t="str">
        <f>IF(G81="","",MAX(C$4:C80)+1)</f>
        <v/>
      </c>
      <c r="D81" t="str">
        <f>IF(AND(N81=""),"",MAX(D$4:D80)+1)</f>
        <v/>
      </c>
      <c r="F81" s="26" t="str">
        <f t="shared" si="11"/>
        <v/>
      </c>
      <c r="G81" s="29" t="str">
        <f t="shared" si="12"/>
        <v/>
      </c>
      <c r="H81" s="20" t="str">
        <f t="shared" si="13"/>
        <v/>
      </c>
      <c r="I81" s="20" t="str">
        <f t="shared" si="14"/>
        <v/>
      </c>
      <c r="J81" s="20" t="str">
        <f t="shared" si="15"/>
        <v/>
      </c>
      <c r="K81" s="31" t="str">
        <f t="shared" si="16"/>
        <v/>
      </c>
      <c r="L81" s="23" t="str">
        <f t="shared" si="17"/>
        <v/>
      </c>
      <c r="M81" t="str" cm="1">
        <f t="array" ref="M81">IF(COUNT(INDEX(FIND(ROW($1:$10)-1,K81),)),VALUE(MID(K81,MIN(SEARCH({1,2,3,4,5,6,7,8,9,0},K81&amp;1234567890)),LEN(K81)-(LENB(K81)-LEN(K81)))),"")</f>
        <v/>
      </c>
      <c r="N81" t="str">
        <f>IF(L81&lt;&gt;"○",M81,INDEX(G$4:G80,MATCH(L81&amp;M81,F$4:F80,0)))</f>
        <v/>
      </c>
      <c r="O81" t="str">
        <f t="shared" si="18"/>
        <v/>
      </c>
      <c r="Q81" s="4"/>
    </row>
    <row r="82" spans="2:17" x14ac:dyDescent="0.4">
      <c r="B82" t="s">
        <v>21</v>
      </c>
      <c r="C82" t="str">
        <f>IF(G82="","",MAX(C$4:C81)+1)</f>
        <v/>
      </c>
      <c r="D82" t="str">
        <f>IF(AND(N82=""),"",MAX(D$4:D81)+1)</f>
        <v/>
      </c>
      <c r="F82" s="26" t="str">
        <f t="shared" si="11"/>
        <v/>
      </c>
      <c r="G82" s="29" t="str">
        <f t="shared" si="12"/>
        <v/>
      </c>
      <c r="H82" s="20" t="str">
        <f t="shared" si="13"/>
        <v/>
      </c>
      <c r="I82" s="20" t="str">
        <f t="shared" si="14"/>
        <v/>
      </c>
      <c r="J82" s="20" t="str">
        <f t="shared" si="15"/>
        <v/>
      </c>
      <c r="K82" s="31" t="str">
        <f t="shared" si="16"/>
        <v/>
      </c>
      <c r="L82" s="23" t="str">
        <f t="shared" si="17"/>
        <v/>
      </c>
      <c r="M82" t="str" cm="1">
        <f t="array" ref="M82">IF(COUNT(INDEX(FIND(ROW($1:$10)-1,K82),)),VALUE(MID(K82,MIN(SEARCH({1,2,3,4,5,6,7,8,9,0},K82&amp;1234567890)),LEN(K82)-(LENB(K82)-LEN(K82)))),"")</f>
        <v/>
      </c>
      <c r="N82" t="str">
        <f>IF(L82&lt;&gt;"○",M82,INDEX(G$4:G81,MATCH(L82&amp;M82,F$4:F81,0)))</f>
        <v/>
      </c>
      <c r="O82" t="str">
        <f t="shared" si="18"/>
        <v/>
      </c>
      <c r="Q82" s="4"/>
    </row>
    <row r="83" spans="2:17" x14ac:dyDescent="0.4">
      <c r="B83" t="s">
        <v>21</v>
      </c>
      <c r="C83" t="str">
        <f>IF(G83="","",MAX(C$4:C82)+1)</f>
        <v/>
      </c>
      <c r="D83" t="str">
        <f>IF(AND(N83=""),"",MAX(D$4:D82)+1)</f>
        <v/>
      </c>
      <c r="F83" s="26" t="str">
        <f t="shared" si="11"/>
        <v/>
      </c>
      <c r="G83" s="29" t="str">
        <f t="shared" si="12"/>
        <v/>
      </c>
      <c r="H83" s="20" t="str">
        <f t="shared" si="13"/>
        <v/>
      </c>
      <c r="I83" s="20" t="str">
        <f t="shared" si="14"/>
        <v/>
      </c>
      <c r="J83" s="20" t="str">
        <f t="shared" si="15"/>
        <v/>
      </c>
      <c r="K83" s="31" t="str">
        <f t="shared" si="16"/>
        <v/>
      </c>
      <c r="L83" s="23" t="str">
        <f t="shared" si="17"/>
        <v/>
      </c>
      <c r="M83" t="str" cm="1">
        <f t="array" ref="M83">IF(COUNT(INDEX(FIND(ROW($1:$10)-1,K83),)),VALUE(MID(K83,MIN(SEARCH({1,2,3,4,5,6,7,8,9,0},K83&amp;1234567890)),LEN(K83)-(LENB(K83)-LEN(K83)))),"")</f>
        <v/>
      </c>
      <c r="N83" t="str">
        <f>IF(L83&lt;&gt;"○",M83,INDEX(G$4:G82,MATCH(L83&amp;M83,F$4:F82,0)))</f>
        <v/>
      </c>
      <c r="O83" t="str">
        <f t="shared" si="18"/>
        <v/>
      </c>
      <c r="Q83" s="4"/>
    </row>
    <row r="84" spans="2:17" x14ac:dyDescent="0.4">
      <c r="B84" t="s">
        <v>21</v>
      </c>
      <c r="C84" t="str">
        <f>IF(G84="","",MAX(C$4:C83)+1)</f>
        <v/>
      </c>
      <c r="D84" t="str">
        <f>IF(AND(N84=""),"",MAX(D$4:D83)+1)</f>
        <v/>
      </c>
      <c r="F84" s="26" t="str">
        <f t="shared" si="11"/>
        <v/>
      </c>
      <c r="G84" s="29" t="str">
        <f t="shared" si="12"/>
        <v/>
      </c>
      <c r="H84" s="20" t="str">
        <f t="shared" si="13"/>
        <v/>
      </c>
      <c r="I84" s="20" t="str">
        <f t="shared" si="14"/>
        <v/>
      </c>
      <c r="J84" s="20" t="str">
        <f t="shared" si="15"/>
        <v/>
      </c>
      <c r="K84" s="31" t="str">
        <f t="shared" si="16"/>
        <v/>
      </c>
      <c r="L84" s="23" t="str">
        <f t="shared" si="17"/>
        <v/>
      </c>
      <c r="M84" t="str" cm="1">
        <f t="array" ref="M84">IF(COUNT(INDEX(FIND(ROW($1:$10)-1,K84),)),VALUE(MID(K84,MIN(SEARCH({1,2,3,4,5,6,7,8,9,0},K84&amp;1234567890)),LEN(K84)-(LENB(K84)-LEN(K84)))),"")</f>
        <v/>
      </c>
      <c r="N84" t="str">
        <f>IF(L84&lt;&gt;"○",M84,INDEX(G$4:G83,MATCH(L84&amp;M84,F$4:F83,0)))</f>
        <v/>
      </c>
      <c r="O84" t="str">
        <f t="shared" si="18"/>
        <v/>
      </c>
      <c r="Q84" s="4"/>
    </row>
    <row r="85" spans="2:17" x14ac:dyDescent="0.4">
      <c r="B85" t="s">
        <v>21</v>
      </c>
      <c r="C85" t="str">
        <f>IF(G85="","",MAX(C$4:C84)+1)</f>
        <v/>
      </c>
      <c r="D85" t="str">
        <f>IF(AND(N85=""),"",MAX(D$4:D84)+1)</f>
        <v/>
      </c>
      <c r="F85" s="26" t="str">
        <f t="shared" si="11"/>
        <v/>
      </c>
      <c r="G85" s="29" t="str">
        <f t="shared" si="12"/>
        <v/>
      </c>
      <c r="H85" s="20" t="str">
        <f t="shared" si="13"/>
        <v/>
      </c>
      <c r="I85" s="20" t="str">
        <f t="shared" si="14"/>
        <v/>
      </c>
      <c r="J85" s="20" t="str">
        <f t="shared" si="15"/>
        <v/>
      </c>
      <c r="K85" s="31" t="str">
        <f t="shared" si="16"/>
        <v/>
      </c>
      <c r="L85" s="23" t="str">
        <f t="shared" si="17"/>
        <v/>
      </c>
      <c r="M85" t="str" cm="1">
        <f t="array" ref="M85">IF(COUNT(INDEX(FIND(ROW($1:$10)-1,K85),)),VALUE(MID(K85,MIN(SEARCH({1,2,3,4,5,6,7,8,9,0},K85&amp;1234567890)),LEN(K85)-(LENB(K85)-LEN(K85)))),"")</f>
        <v/>
      </c>
      <c r="N85" t="str">
        <f>IF(L85&lt;&gt;"○",M85,INDEX(G$4:G84,MATCH(L85&amp;M85,F$4:F84,0)))</f>
        <v/>
      </c>
      <c r="O85" t="str">
        <f t="shared" si="18"/>
        <v/>
      </c>
      <c r="Q85" s="4"/>
    </row>
    <row r="86" spans="2:17" x14ac:dyDescent="0.4">
      <c r="B86" t="s">
        <v>21</v>
      </c>
      <c r="C86" t="str">
        <f>IF(G86="","",MAX(C$4:C85)+1)</f>
        <v/>
      </c>
      <c r="D86" t="str">
        <f>IF(AND(N86=""),"",MAX(D$4:D85)+1)</f>
        <v/>
      </c>
      <c r="F86" s="26" t="str">
        <f t="shared" si="11"/>
        <v/>
      </c>
      <c r="G86" s="29" t="str">
        <f t="shared" si="12"/>
        <v/>
      </c>
      <c r="H86" s="20" t="str">
        <f t="shared" si="13"/>
        <v/>
      </c>
      <c r="I86" s="20" t="str">
        <f t="shared" si="14"/>
        <v/>
      </c>
      <c r="J86" s="20" t="str">
        <f t="shared" si="15"/>
        <v/>
      </c>
      <c r="K86" s="31" t="str">
        <f t="shared" si="16"/>
        <v/>
      </c>
      <c r="L86" s="23" t="str">
        <f t="shared" si="17"/>
        <v/>
      </c>
      <c r="M86" t="str" cm="1">
        <f t="array" ref="M86">IF(COUNT(INDEX(FIND(ROW($1:$10)-1,K86),)),VALUE(MID(K86,MIN(SEARCH({1,2,3,4,5,6,7,8,9,0},K86&amp;1234567890)),LEN(K86)-(LENB(K86)-LEN(K86)))),"")</f>
        <v/>
      </c>
      <c r="N86" t="str">
        <f>IF(L86&lt;&gt;"○",M86,INDEX(G$4:G85,MATCH(L86&amp;M86,F$4:F85,0)))</f>
        <v/>
      </c>
      <c r="O86" t="str">
        <f t="shared" si="18"/>
        <v/>
      </c>
      <c r="Q86" s="4"/>
    </row>
    <row r="87" spans="2:17" x14ac:dyDescent="0.4">
      <c r="B87" t="s">
        <v>21</v>
      </c>
      <c r="C87" t="str">
        <f>IF(G87="","",MAX(C$4:C86)+1)</f>
        <v/>
      </c>
      <c r="D87" t="str">
        <f>IF(AND(N87=""),"",MAX(D$4:D86)+1)</f>
        <v/>
      </c>
      <c r="F87" s="26" t="str">
        <f t="shared" si="11"/>
        <v/>
      </c>
      <c r="G87" s="29" t="str">
        <f t="shared" si="12"/>
        <v/>
      </c>
      <c r="H87" s="20" t="str">
        <f t="shared" si="13"/>
        <v/>
      </c>
      <c r="I87" s="20" t="str">
        <f t="shared" si="14"/>
        <v/>
      </c>
      <c r="J87" s="20" t="str">
        <f t="shared" si="15"/>
        <v/>
      </c>
      <c r="K87" s="31" t="str">
        <f t="shared" si="16"/>
        <v/>
      </c>
      <c r="L87" s="23" t="str">
        <f t="shared" si="17"/>
        <v/>
      </c>
      <c r="M87" t="str" cm="1">
        <f t="array" ref="M87">IF(COUNT(INDEX(FIND(ROW($1:$10)-1,K87),)),VALUE(MID(K87,MIN(SEARCH({1,2,3,4,5,6,7,8,9,0},K87&amp;1234567890)),LEN(K87)-(LENB(K87)-LEN(K87)))),"")</f>
        <v/>
      </c>
      <c r="N87" t="str">
        <f>IF(L87&lt;&gt;"○",M87,INDEX(G$4:G86,MATCH(L87&amp;M87,F$4:F86,0)))</f>
        <v/>
      </c>
      <c r="O87" t="str">
        <f t="shared" si="18"/>
        <v/>
      </c>
      <c r="Q87" s="4"/>
    </row>
    <row r="88" spans="2:17" x14ac:dyDescent="0.4">
      <c r="B88" t="s">
        <v>21</v>
      </c>
      <c r="C88" t="str">
        <f>IF(G88="","",MAX(C$4:C87)+1)</f>
        <v/>
      </c>
      <c r="D88" t="str">
        <f>IF(AND(N88=""),"",MAX(D$4:D87)+1)</f>
        <v/>
      </c>
      <c r="F88" s="26" t="str">
        <f t="shared" si="11"/>
        <v/>
      </c>
      <c r="G88" s="29" t="str">
        <f t="shared" si="12"/>
        <v/>
      </c>
      <c r="H88" s="20" t="str">
        <f t="shared" si="13"/>
        <v/>
      </c>
      <c r="I88" s="20" t="str">
        <f t="shared" si="14"/>
        <v/>
      </c>
      <c r="J88" s="20" t="str">
        <f t="shared" si="15"/>
        <v/>
      </c>
      <c r="K88" s="31" t="str">
        <f t="shared" si="16"/>
        <v/>
      </c>
      <c r="L88" s="23" t="str">
        <f t="shared" si="17"/>
        <v/>
      </c>
      <c r="M88" t="str" cm="1">
        <f t="array" ref="M88">IF(COUNT(INDEX(FIND(ROW($1:$10)-1,K88),)),VALUE(MID(K88,MIN(SEARCH({1,2,3,4,5,6,7,8,9,0},K88&amp;1234567890)),LEN(K88)-(LENB(K88)-LEN(K88)))),"")</f>
        <v/>
      </c>
      <c r="N88" t="str">
        <f>IF(L88&lt;&gt;"○",M88,INDEX(G$4:G87,MATCH(L88&amp;M88,F$4:F87,0)))</f>
        <v/>
      </c>
      <c r="O88" t="str">
        <f t="shared" si="18"/>
        <v/>
      </c>
      <c r="Q88" s="4"/>
    </row>
    <row r="89" spans="2:17" x14ac:dyDescent="0.4">
      <c r="B89" t="s">
        <v>21</v>
      </c>
      <c r="C89" t="str">
        <f>IF(G89="","",MAX(C$4:C88)+1)</f>
        <v/>
      </c>
      <c r="D89" t="str">
        <f>IF(AND(N89=""),"",MAX(D$4:D88)+1)</f>
        <v/>
      </c>
      <c r="F89" s="26" t="str">
        <f t="shared" si="11"/>
        <v/>
      </c>
      <c r="G89" s="29" t="str">
        <f t="shared" si="12"/>
        <v/>
      </c>
      <c r="H89" s="20" t="str">
        <f t="shared" si="13"/>
        <v/>
      </c>
      <c r="I89" s="20" t="str">
        <f t="shared" si="14"/>
        <v/>
      </c>
      <c r="J89" s="20" t="str">
        <f t="shared" si="15"/>
        <v/>
      </c>
      <c r="K89" s="31" t="str">
        <f t="shared" si="16"/>
        <v/>
      </c>
      <c r="L89" s="23" t="str">
        <f t="shared" si="17"/>
        <v/>
      </c>
      <c r="M89" t="str" cm="1">
        <f t="array" ref="M89">IF(COUNT(INDEX(FIND(ROW($1:$10)-1,K89),)),VALUE(MID(K89,MIN(SEARCH({1,2,3,4,5,6,7,8,9,0},K89&amp;1234567890)),LEN(K89)-(LENB(K89)-LEN(K89)))),"")</f>
        <v/>
      </c>
      <c r="N89" t="str">
        <f>IF(L89&lt;&gt;"○",M89,INDEX(G$4:G88,MATCH(L89&amp;M89,F$4:F88,0)))</f>
        <v/>
      </c>
      <c r="O89" t="str">
        <f t="shared" si="18"/>
        <v/>
      </c>
      <c r="Q89" s="4"/>
    </row>
    <row r="90" spans="2:17" x14ac:dyDescent="0.4">
      <c r="B90" t="s">
        <v>21</v>
      </c>
      <c r="C90" t="str">
        <f>IF(G90="","",MAX(C$4:C89)+1)</f>
        <v/>
      </c>
      <c r="D90" t="str">
        <f>IF(AND(N90=""),"",MAX(D$4:D89)+1)</f>
        <v/>
      </c>
      <c r="F90" s="26" t="str">
        <f t="shared" si="11"/>
        <v/>
      </c>
      <c r="G90" s="29" t="str">
        <f t="shared" si="12"/>
        <v/>
      </c>
      <c r="H90" s="20" t="str">
        <f t="shared" si="13"/>
        <v/>
      </c>
      <c r="I90" s="20" t="str">
        <f t="shared" si="14"/>
        <v/>
      </c>
      <c r="J90" s="20" t="str">
        <f t="shared" si="15"/>
        <v/>
      </c>
      <c r="K90" s="31" t="str">
        <f t="shared" si="16"/>
        <v/>
      </c>
      <c r="L90" s="23" t="str">
        <f t="shared" si="17"/>
        <v/>
      </c>
      <c r="M90" t="str" cm="1">
        <f t="array" ref="M90">IF(COUNT(INDEX(FIND(ROW($1:$10)-1,K90),)),VALUE(MID(K90,MIN(SEARCH({1,2,3,4,5,6,7,8,9,0},K90&amp;1234567890)),LEN(K90)-(LENB(K90)-LEN(K90)))),"")</f>
        <v/>
      </c>
      <c r="N90" t="str">
        <f>IF(L90&lt;&gt;"○",M90,INDEX(G$4:G89,MATCH(L90&amp;M90,F$4:F89,0)))</f>
        <v/>
      </c>
      <c r="O90" t="str">
        <f t="shared" si="18"/>
        <v/>
      </c>
      <c r="Q90" s="4"/>
    </row>
    <row r="91" spans="2:17" x14ac:dyDescent="0.4">
      <c r="B91" t="s">
        <v>21</v>
      </c>
      <c r="C91" t="str">
        <f>IF(G91="","",MAX(C$4:C90)+1)</f>
        <v/>
      </c>
      <c r="D91" t="str">
        <f>IF(AND(N91=""),"",MAX(D$4:D90)+1)</f>
        <v/>
      </c>
      <c r="F91" s="26" t="str">
        <f t="shared" si="11"/>
        <v/>
      </c>
      <c r="G91" s="29" t="str">
        <f t="shared" si="12"/>
        <v/>
      </c>
      <c r="H91" s="20" t="str">
        <f t="shared" si="13"/>
        <v/>
      </c>
      <c r="I91" s="20" t="str">
        <f t="shared" si="14"/>
        <v/>
      </c>
      <c r="J91" s="20" t="str">
        <f t="shared" si="15"/>
        <v/>
      </c>
      <c r="K91" s="31" t="str">
        <f t="shared" si="16"/>
        <v/>
      </c>
      <c r="L91" s="23" t="str">
        <f t="shared" si="17"/>
        <v/>
      </c>
      <c r="M91" t="str" cm="1">
        <f t="array" ref="M91">IF(COUNT(INDEX(FIND(ROW($1:$10)-1,K91),)),VALUE(MID(K91,MIN(SEARCH({1,2,3,4,5,6,7,8,9,0},K91&amp;1234567890)),LEN(K91)-(LENB(K91)-LEN(K91)))),"")</f>
        <v/>
      </c>
      <c r="N91" t="str">
        <f>IF(L91&lt;&gt;"○",M91,INDEX(G$4:G90,MATCH(L91&amp;M91,F$4:F90,0)))</f>
        <v/>
      </c>
      <c r="O91" t="str">
        <f t="shared" si="18"/>
        <v/>
      </c>
      <c r="Q91" s="4"/>
    </row>
    <row r="92" spans="2:17" x14ac:dyDescent="0.4">
      <c r="B92" t="s">
        <v>21</v>
      </c>
      <c r="C92" t="str">
        <f>IF(G92="","",MAX(C$4:C91)+1)</f>
        <v/>
      </c>
      <c r="D92" t="str">
        <f>IF(AND(N92=""),"",MAX(D$4:D91)+1)</f>
        <v/>
      </c>
      <c r="F92" s="26" t="str">
        <f t="shared" si="11"/>
        <v/>
      </c>
      <c r="G92" s="29" t="str">
        <f t="shared" si="12"/>
        <v/>
      </c>
      <c r="H92" s="20" t="str">
        <f t="shared" si="13"/>
        <v/>
      </c>
      <c r="I92" s="20" t="str">
        <f t="shared" si="14"/>
        <v/>
      </c>
      <c r="J92" s="20" t="str">
        <f t="shared" si="15"/>
        <v/>
      </c>
      <c r="K92" s="31" t="str">
        <f t="shared" si="16"/>
        <v/>
      </c>
      <c r="L92" s="23" t="str">
        <f t="shared" si="17"/>
        <v/>
      </c>
      <c r="M92" t="str" cm="1">
        <f t="array" ref="M92">IF(COUNT(INDEX(FIND(ROW($1:$10)-1,K92),)),VALUE(MID(K92,MIN(SEARCH({1,2,3,4,5,6,7,8,9,0},K92&amp;1234567890)),LEN(K92)-(LENB(K92)-LEN(K92)))),"")</f>
        <v/>
      </c>
      <c r="N92" t="str">
        <f>IF(L92&lt;&gt;"○",M92,INDEX(G$4:G91,MATCH(L92&amp;M92,F$4:F91,0)))</f>
        <v/>
      </c>
      <c r="O92" t="str">
        <f t="shared" si="18"/>
        <v/>
      </c>
      <c r="Q92" s="4"/>
    </row>
    <row r="93" spans="2:17" x14ac:dyDescent="0.4">
      <c r="B93" t="s">
        <v>21</v>
      </c>
      <c r="C93" t="str">
        <f>IF(G93="","",MAX(C$4:C92)+1)</f>
        <v/>
      </c>
      <c r="D93" t="str">
        <f>IF(AND(N93=""),"",MAX(D$4:D92)+1)</f>
        <v/>
      </c>
      <c r="F93" s="26" t="str">
        <f t="shared" si="11"/>
        <v/>
      </c>
      <c r="G93" s="29" t="str">
        <f t="shared" si="12"/>
        <v/>
      </c>
      <c r="H93" s="20" t="str">
        <f t="shared" si="13"/>
        <v/>
      </c>
      <c r="I93" s="20" t="str">
        <f t="shared" si="14"/>
        <v/>
      </c>
      <c r="J93" s="20" t="str">
        <f t="shared" si="15"/>
        <v/>
      </c>
      <c r="K93" s="31" t="str">
        <f t="shared" si="16"/>
        <v/>
      </c>
      <c r="L93" s="23" t="str">
        <f t="shared" si="17"/>
        <v/>
      </c>
      <c r="M93" t="str" cm="1">
        <f t="array" ref="M93">IF(COUNT(INDEX(FIND(ROW($1:$10)-1,K93),)),VALUE(MID(K93,MIN(SEARCH({1,2,3,4,5,6,7,8,9,0},K93&amp;1234567890)),LEN(K93)-(LENB(K93)-LEN(K93)))),"")</f>
        <v/>
      </c>
      <c r="N93" t="str">
        <f>IF(L93&lt;&gt;"○",M93,INDEX(G$4:G92,MATCH(L93&amp;M93,F$4:F92,0)))</f>
        <v/>
      </c>
      <c r="O93" t="str">
        <f t="shared" si="18"/>
        <v/>
      </c>
      <c r="Q93" s="4"/>
    </row>
    <row r="94" spans="2:17" x14ac:dyDescent="0.4">
      <c r="B94" t="s">
        <v>21</v>
      </c>
      <c r="C94" t="str">
        <f>IF(G94="","",MAX(C$4:C93)+1)</f>
        <v/>
      </c>
      <c r="D94" t="str">
        <f>IF(AND(N94=""),"",MAX(D$4:D93)+1)</f>
        <v/>
      </c>
      <c r="F94" s="26" t="str">
        <f t="shared" si="11"/>
        <v/>
      </c>
      <c r="G94" s="29" t="str">
        <f t="shared" si="12"/>
        <v/>
      </c>
      <c r="H94" s="20" t="str">
        <f t="shared" si="13"/>
        <v/>
      </c>
      <c r="I94" s="20" t="str">
        <f t="shared" si="14"/>
        <v/>
      </c>
      <c r="J94" s="20" t="str">
        <f t="shared" si="15"/>
        <v/>
      </c>
      <c r="K94" s="31" t="str">
        <f t="shared" si="16"/>
        <v/>
      </c>
      <c r="L94" s="23" t="str">
        <f t="shared" si="17"/>
        <v/>
      </c>
      <c r="M94" t="str" cm="1">
        <f t="array" ref="M94">IF(COUNT(INDEX(FIND(ROW($1:$10)-1,K94),)),VALUE(MID(K94,MIN(SEARCH({1,2,3,4,5,6,7,8,9,0},K94&amp;1234567890)),LEN(K94)-(LENB(K94)-LEN(K94)))),"")</f>
        <v/>
      </c>
      <c r="N94" t="str">
        <f>IF(L94&lt;&gt;"○",M94,INDEX(G$4:G93,MATCH(L94&amp;M94,F$4:F93,0)))</f>
        <v/>
      </c>
      <c r="O94" t="str">
        <f t="shared" si="18"/>
        <v/>
      </c>
      <c r="Q94" s="4"/>
    </row>
    <row r="95" spans="2:17" x14ac:dyDescent="0.4">
      <c r="B95" t="s">
        <v>21</v>
      </c>
      <c r="C95" t="str">
        <f>IF(G95="","",MAX(C$4:C94)+1)</f>
        <v/>
      </c>
      <c r="D95" t="str">
        <f>IF(AND(N95=""),"",MAX(D$4:D94)+1)</f>
        <v/>
      </c>
      <c r="F95" s="26" t="str">
        <f t="shared" si="11"/>
        <v/>
      </c>
      <c r="G95" s="29" t="str">
        <f t="shared" si="12"/>
        <v/>
      </c>
      <c r="H95" s="20" t="str">
        <f t="shared" si="13"/>
        <v/>
      </c>
      <c r="I95" s="20" t="str">
        <f t="shared" si="14"/>
        <v/>
      </c>
      <c r="J95" s="20" t="str">
        <f t="shared" si="15"/>
        <v/>
      </c>
      <c r="K95" s="31" t="str">
        <f t="shared" si="16"/>
        <v/>
      </c>
      <c r="L95" s="23" t="str">
        <f t="shared" si="17"/>
        <v/>
      </c>
      <c r="M95" t="str" cm="1">
        <f t="array" ref="M95">IF(COUNT(INDEX(FIND(ROW($1:$10)-1,K95),)),VALUE(MID(K95,MIN(SEARCH({1,2,3,4,5,6,7,8,9,0},K95&amp;1234567890)),LEN(K95)-(LENB(K95)-LEN(K95)))),"")</f>
        <v/>
      </c>
      <c r="N95" t="str">
        <f>IF(L95&lt;&gt;"○",M95,INDEX(G$4:G94,MATCH(L95&amp;M95,F$4:F94,0)))</f>
        <v/>
      </c>
      <c r="O95" t="str">
        <f t="shared" si="18"/>
        <v/>
      </c>
      <c r="Q95" s="4"/>
    </row>
    <row r="96" spans="2:17" x14ac:dyDescent="0.4">
      <c r="B96" t="s">
        <v>21</v>
      </c>
      <c r="C96" t="str">
        <f>IF(G96="","",MAX(C$4:C95)+1)</f>
        <v/>
      </c>
      <c r="D96" t="str">
        <f>IF(AND(N96=""),"",MAX(D$4:D95)+1)</f>
        <v/>
      </c>
      <c r="F96" s="26" t="str">
        <f t="shared" si="11"/>
        <v/>
      </c>
      <c r="G96" s="29" t="str">
        <f t="shared" si="12"/>
        <v/>
      </c>
      <c r="H96" s="20" t="str">
        <f t="shared" si="13"/>
        <v/>
      </c>
      <c r="I96" s="20" t="str">
        <f t="shared" si="14"/>
        <v/>
      </c>
      <c r="J96" s="20" t="str">
        <f t="shared" si="15"/>
        <v/>
      </c>
      <c r="K96" s="31" t="str">
        <f t="shared" si="16"/>
        <v/>
      </c>
      <c r="L96" s="23" t="str">
        <f t="shared" si="17"/>
        <v/>
      </c>
      <c r="M96" t="str" cm="1">
        <f t="array" ref="M96">IF(COUNT(INDEX(FIND(ROW($1:$10)-1,K96),)),VALUE(MID(K96,MIN(SEARCH({1,2,3,4,5,6,7,8,9,0},K96&amp;1234567890)),LEN(K96)-(LENB(K96)-LEN(K96)))),"")</f>
        <v/>
      </c>
      <c r="N96" t="str">
        <f>IF(L96&lt;&gt;"○",M96,INDEX(G$4:G95,MATCH(L96&amp;M96,F$4:F95,0)))</f>
        <v/>
      </c>
      <c r="O96" t="str">
        <f t="shared" si="18"/>
        <v/>
      </c>
      <c r="Q96" s="4"/>
    </row>
    <row r="97" spans="2:17" x14ac:dyDescent="0.4">
      <c r="B97" t="s">
        <v>21</v>
      </c>
      <c r="C97" t="str">
        <f>IF(G97="","",MAX(C$4:C96)+1)</f>
        <v/>
      </c>
      <c r="D97" t="str">
        <f>IF(AND(N97=""),"",MAX(D$4:D96)+1)</f>
        <v/>
      </c>
      <c r="F97" s="26" t="str">
        <f t="shared" si="11"/>
        <v/>
      </c>
      <c r="G97" s="29" t="str">
        <f t="shared" si="12"/>
        <v/>
      </c>
      <c r="H97" s="20" t="str">
        <f t="shared" si="13"/>
        <v/>
      </c>
      <c r="I97" s="20" t="str">
        <f t="shared" si="14"/>
        <v/>
      </c>
      <c r="J97" s="20" t="str">
        <f t="shared" si="15"/>
        <v/>
      </c>
      <c r="K97" s="31" t="str">
        <f t="shared" si="16"/>
        <v/>
      </c>
      <c r="L97" s="23" t="str">
        <f t="shared" si="17"/>
        <v/>
      </c>
      <c r="M97" t="str" cm="1">
        <f t="array" ref="M97">IF(COUNT(INDEX(FIND(ROW($1:$10)-1,K97),)),VALUE(MID(K97,MIN(SEARCH({1,2,3,4,5,6,7,8,9,0},K97&amp;1234567890)),LEN(K97)-(LENB(K97)-LEN(K97)))),"")</f>
        <v/>
      </c>
      <c r="N97" t="str">
        <f>IF(L97&lt;&gt;"○",M97,INDEX(G$4:G96,MATCH(L97&amp;M97,F$4:F96,0)))</f>
        <v/>
      </c>
      <c r="O97" t="str">
        <f t="shared" si="18"/>
        <v/>
      </c>
      <c r="Q97" s="4"/>
    </row>
    <row r="98" spans="2:17" x14ac:dyDescent="0.4">
      <c r="B98" t="s">
        <v>21</v>
      </c>
      <c r="C98" t="str">
        <f>IF(G98="","",MAX(C$4:C97)+1)</f>
        <v/>
      </c>
      <c r="D98" t="str">
        <f>IF(AND(N98=""),"",MAX(D$4:D97)+1)</f>
        <v/>
      </c>
      <c r="F98" s="26" t="str">
        <f t="shared" si="11"/>
        <v/>
      </c>
      <c r="G98" s="29" t="str">
        <f t="shared" si="12"/>
        <v/>
      </c>
      <c r="H98" s="20" t="str">
        <f t="shared" si="13"/>
        <v/>
      </c>
      <c r="I98" s="20" t="str">
        <f t="shared" si="14"/>
        <v/>
      </c>
      <c r="J98" s="20" t="str">
        <f t="shared" si="15"/>
        <v/>
      </c>
      <c r="K98" s="31" t="str">
        <f t="shared" si="16"/>
        <v/>
      </c>
      <c r="L98" s="23" t="str">
        <f t="shared" si="17"/>
        <v/>
      </c>
      <c r="M98" t="str" cm="1">
        <f t="array" ref="M98">IF(COUNT(INDEX(FIND(ROW($1:$10)-1,K98),)),VALUE(MID(K98,MIN(SEARCH({1,2,3,4,5,6,7,8,9,0},K98&amp;1234567890)),LEN(K98)-(LENB(K98)-LEN(K98)))),"")</f>
        <v/>
      </c>
      <c r="N98" t="str">
        <f>IF(L98&lt;&gt;"○",M98,INDEX(G$4:G97,MATCH(L98&amp;M98,F$4:F97,0)))</f>
        <v/>
      </c>
      <c r="O98" t="str">
        <f t="shared" si="18"/>
        <v/>
      </c>
      <c r="Q98" s="4"/>
    </row>
    <row r="99" spans="2:17" x14ac:dyDescent="0.4">
      <c r="B99" t="s">
        <v>21</v>
      </c>
      <c r="C99" t="str">
        <f>IF(G99="","",MAX(C$4:C98)+1)</f>
        <v/>
      </c>
      <c r="D99" t="str">
        <f>IF(AND(N99=""),"",MAX(D$4:D98)+1)</f>
        <v/>
      </c>
      <c r="F99" s="26" t="str">
        <f t="shared" si="11"/>
        <v/>
      </c>
      <c r="G99" s="29" t="str">
        <f t="shared" si="12"/>
        <v/>
      </c>
      <c r="H99" s="20" t="str">
        <f t="shared" si="13"/>
        <v/>
      </c>
      <c r="I99" s="20" t="str">
        <f t="shared" si="14"/>
        <v/>
      </c>
      <c r="J99" s="20" t="str">
        <f t="shared" si="15"/>
        <v/>
      </c>
      <c r="K99" s="31" t="str">
        <f t="shared" si="16"/>
        <v/>
      </c>
      <c r="L99" s="23" t="str">
        <f t="shared" si="17"/>
        <v/>
      </c>
      <c r="M99" t="str" cm="1">
        <f t="array" ref="M99">IF(COUNT(INDEX(FIND(ROW($1:$10)-1,K99),)),VALUE(MID(K99,MIN(SEARCH({1,2,3,4,5,6,7,8,9,0},K99&amp;1234567890)),LEN(K99)-(LENB(K99)-LEN(K99)))),"")</f>
        <v/>
      </c>
      <c r="N99" t="str">
        <f>IF(L99&lt;&gt;"○",M99,INDEX(G$4:G98,MATCH(L99&amp;M99,F$4:F98,0)))</f>
        <v/>
      </c>
      <c r="O99" t="str">
        <f t="shared" si="18"/>
        <v/>
      </c>
      <c r="Q99" s="4"/>
    </row>
    <row r="100" spans="2:17" x14ac:dyDescent="0.4">
      <c r="B100" t="s">
        <v>21</v>
      </c>
      <c r="C100" t="str">
        <f>IF(G100="","",MAX(C$4:C99)+1)</f>
        <v/>
      </c>
      <c r="D100" t="str">
        <f>IF(AND(N100=""),"",MAX(D$4:D99)+1)</f>
        <v/>
      </c>
      <c r="F100" s="26" t="str">
        <f t="shared" si="11"/>
        <v/>
      </c>
      <c r="G100" s="29" t="str">
        <f t="shared" si="12"/>
        <v/>
      </c>
      <c r="H100" s="20" t="str">
        <f t="shared" si="13"/>
        <v/>
      </c>
      <c r="I100" s="20" t="str">
        <f t="shared" si="14"/>
        <v/>
      </c>
      <c r="J100" s="20" t="str">
        <f t="shared" si="15"/>
        <v/>
      </c>
      <c r="K100" s="31" t="str">
        <f t="shared" si="16"/>
        <v/>
      </c>
      <c r="L100" s="23" t="str">
        <f t="shared" si="17"/>
        <v/>
      </c>
      <c r="M100" t="str" cm="1">
        <f t="array" ref="M100">IF(COUNT(INDEX(FIND(ROW($1:$10)-1,K100),)),VALUE(MID(K100,MIN(SEARCH({1,2,3,4,5,6,7,8,9,0},K100&amp;1234567890)),LEN(K100)-(LENB(K100)-LEN(K100)))),"")</f>
        <v/>
      </c>
      <c r="N100" t="str">
        <f>IF(L100&lt;&gt;"○",M100,INDEX(G$4:G99,MATCH(L100&amp;M100,F$4:F99,0)))</f>
        <v/>
      </c>
      <c r="O100" t="str">
        <f t="shared" si="18"/>
        <v/>
      </c>
      <c r="Q100" s="4"/>
    </row>
    <row r="101" spans="2:17" x14ac:dyDescent="0.4">
      <c r="B101" t="s">
        <v>21</v>
      </c>
      <c r="C101" t="str">
        <f>IF(G101="","",MAX(C$4:C100)+1)</f>
        <v/>
      </c>
      <c r="D101" t="str">
        <f>IF(AND(N101=""),"",MAX(D$4:D100)+1)</f>
        <v/>
      </c>
      <c r="F101" s="26" t="str">
        <f t="shared" si="11"/>
        <v/>
      </c>
      <c r="G101" s="29" t="str">
        <f t="shared" si="12"/>
        <v/>
      </c>
      <c r="H101" s="20" t="str">
        <f t="shared" si="13"/>
        <v/>
      </c>
      <c r="I101" s="20" t="str">
        <f t="shared" si="14"/>
        <v/>
      </c>
      <c r="J101" s="20" t="str">
        <f t="shared" si="15"/>
        <v/>
      </c>
      <c r="K101" s="31" t="str">
        <f t="shared" si="16"/>
        <v/>
      </c>
      <c r="L101" s="23" t="str">
        <f t="shared" si="17"/>
        <v/>
      </c>
      <c r="M101" t="str" cm="1">
        <f t="array" ref="M101">IF(COUNT(INDEX(FIND(ROW($1:$10)-1,K101),)),VALUE(MID(K101,MIN(SEARCH({1,2,3,4,5,6,7,8,9,0},K101&amp;1234567890)),LEN(K101)-(LENB(K101)-LEN(K101)))),"")</f>
        <v/>
      </c>
      <c r="N101" t="str">
        <f>IF(L101&lt;&gt;"○",M101,INDEX(G$4:G100,MATCH(L101&amp;M101,F$4:F100,0)))</f>
        <v/>
      </c>
      <c r="O101" t="str">
        <f t="shared" si="18"/>
        <v/>
      </c>
      <c r="Q101" s="4"/>
    </row>
    <row r="102" spans="2:17" x14ac:dyDescent="0.4">
      <c r="B102" t="s">
        <v>21</v>
      </c>
      <c r="C102" t="str">
        <f>IF(G102="","",MAX(C$4:C101)+1)</f>
        <v/>
      </c>
      <c r="D102" t="str">
        <f>IF(AND(N102=""),"",MAX(D$4:D101)+1)</f>
        <v/>
      </c>
      <c r="F102" s="26" t="str">
        <f t="shared" si="11"/>
        <v/>
      </c>
      <c r="G102" s="29" t="str">
        <f t="shared" si="12"/>
        <v/>
      </c>
      <c r="H102" s="20" t="str">
        <f t="shared" si="13"/>
        <v/>
      </c>
      <c r="I102" s="20" t="str">
        <f t="shared" si="14"/>
        <v/>
      </c>
      <c r="J102" s="20" t="str">
        <f t="shared" si="15"/>
        <v/>
      </c>
      <c r="K102" s="31" t="str">
        <f t="shared" si="16"/>
        <v/>
      </c>
      <c r="L102" s="23" t="str">
        <f t="shared" si="17"/>
        <v/>
      </c>
      <c r="M102" t="str" cm="1">
        <f t="array" ref="M102">IF(COUNT(INDEX(FIND(ROW($1:$10)-1,K102),)),VALUE(MID(K102,MIN(SEARCH({1,2,3,4,5,6,7,8,9,0},K102&amp;1234567890)),LEN(K102)-(LENB(K102)-LEN(K102)))),"")</f>
        <v/>
      </c>
      <c r="N102" t="str">
        <f>IF(L102&lt;&gt;"○",M102,INDEX(G$4:G101,MATCH(L102&amp;M102,F$4:F101,0)))</f>
        <v/>
      </c>
      <c r="O102" t="str">
        <f t="shared" si="18"/>
        <v/>
      </c>
      <c r="Q102" s="4"/>
    </row>
    <row r="103" spans="2:17" x14ac:dyDescent="0.4">
      <c r="B103" t="s">
        <v>21</v>
      </c>
      <c r="C103" t="str">
        <f>IF(G103="","",MAX(C$4:C102)+1)</f>
        <v/>
      </c>
      <c r="D103" t="str">
        <f>IF(AND(N103=""),"",MAX(D$4:D102)+1)</f>
        <v/>
      </c>
      <c r="F103" s="26" t="str">
        <f t="shared" si="11"/>
        <v/>
      </c>
      <c r="G103" s="29" t="str">
        <f t="shared" si="12"/>
        <v/>
      </c>
      <c r="H103" s="20" t="str">
        <f t="shared" si="13"/>
        <v/>
      </c>
      <c r="I103" s="20" t="str">
        <f t="shared" si="14"/>
        <v/>
      </c>
      <c r="J103" s="20" t="str">
        <f t="shared" si="15"/>
        <v/>
      </c>
      <c r="K103" s="31" t="str">
        <f t="shared" si="16"/>
        <v/>
      </c>
      <c r="L103" s="23" t="str">
        <f t="shared" si="17"/>
        <v/>
      </c>
      <c r="M103" t="str" cm="1">
        <f t="array" ref="M103">IF(COUNT(INDEX(FIND(ROW($1:$10)-1,K103),)),VALUE(MID(K103,MIN(SEARCH({1,2,3,4,5,6,7,8,9,0},K103&amp;1234567890)),LEN(K103)-(LENB(K103)-LEN(K103)))),"")</f>
        <v/>
      </c>
      <c r="N103" t="str">
        <f>IF(L103&lt;&gt;"○",M103,INDEX(G$4:G102,MATCH(L103&amp;M103,F$4:F102,0)))</f>
        <v/>
      </c>
      <c r="O103" t="str">
        <f t="shared" si="18"/>
        <v/>
      </c>
      <c r="Q103" s="4"/>
    </row>
    <row r="104" spans="2:17" x14ac:dyDescent="0.4">
      <c r="B104" t="s">
        <v>21</v>
      </c>
      <c r="C104" t="str">
        <f>IF(G104="","",MAX(C$4:C103)+1)</f>
        <v/>
      </c>
      <c r="D104" t="str">
        <f>IF(AND(N104=""),"",MAX(D$4:D103)+1)</f>
        <v/>
      </c>
      <c r="F104" s="26" t="str">
        <f t="shared" si="11"/>
        <v/>
      </c>
      <c r="G104" s="29" t="str">
        <f t="shared" si="12"/>
        <v/>
      </c>
      <c r="H104" s="20" t="str">
        <f t="shared" si="13"/>
        <v/>
      </c>
      <c r="I104" s="20" t="str">
        <f t="shared" si="14"/>
        <v/>
      </c>
      <c r="J104" s="20" t="str">
        <f t="shared" si="15"/>
        <v/>
      </c>
      <c r="K104" s="31" t="str">
        <f t="shared" si="16"/>
        <v/>
      </c>
      <c r="L104" s="23" t="str">
        <f t="shared" si="17"/>
        <v/>
      </c>
      <c r="M104" t="str" cm="1">
        <f t="array" ref="M104">IF(COUNT(INDEX(FIND(ROW($1:$10)-1,K104),)),VALUE(MID(K104,MIN(SEARCH({1,2,3,4,5,6,7,8,9,0},K104&amp;1234567890)),LEN(K104)-(LENB(K104)-LEN(K104)))),"")</f>
        <v/>
      </c>
      <c r="N104" t="str">
        <f>IF(L104&lt;&gt;"○",M104,INDEX(G$4:G103,MATCH(L104&amp;M104,F$4:F103,0)))</f>
        <v/>
      </c>
      <c r="O104" t="str">
        <f t="shared" si="18"/>
        <v/>
      </c>
      <c r="Q104" s="4"/>
    </row>
    <row r="105" spans="2:17" x14ac:dyDescent="0.4">
      <c r="B105" t="s">
        <v>21</v>
      </c>
      <c r="C105" t="str">
        <f>IF(G105="","",MAX(C$4:C104)+1)</f>
        <v/>
      </c>
      <c r="D105" t="str">
        <f>IF(AND(N105=""),"",MAX(D$4:D104)+1)</f>
        <v/>
      </c>
      <c r="F105" s="26" t="str">
        <f t="shared" si="11"/>
        <v/>
      </c>
      <c r="G105" s="29" t="str">
        <f t="shared" si="12"/>
        <v/>
      </c>
      <c r="H105" s="20" t="str">
        <f t="shared" si="13"/>
        <v/>
      </c>
      <c r="I105" s="20" t="str">
        <f t="shared" si="14"/>
        <v/>
      </c>
      <c r="J105" s="20" t="str">
        <f t="shared" si="15"/>
        <v/>
      </c>
      <c r="K105" s="31" t="str">
        <f t="shared" si="16"/>
        <v/>
      </c>
      <c r="L105" s="23" t="str">
        <f t="shared" si="17"/>
        <v/>
      </c>
      <c r="M105" t="str" cm="1">
        <f t="array" ref="M105">IF(COUNT(INDEX(FIND(ROW($1:$10)-1,K105),)),VALUE(MID(K105,MIN(SEARCH({1,2,3,4,5,6,7,8,9,0},K105&amp;1234567890)),LEN(K105)-(LENB(K105)-LEN(K105)))),"")</f>
        <v/>
      </c>
      <c r="N105" t="str">
        <f>IF(L105&lt;&gt;"○",M105,INDEX(G$4:G104,MATCH(L105&amp;M105,F$4:F104,0)))</f>
        <v/>
      </c>
      <c r="O105" t="str">
        <f t="shared" si="18"/>
        <v/>
      </c>
      <c r="Q105" s="4"/>
    </row>
    <row r="106" spans="2:17" x14ac:dyDescent="0.4">
      <c r="B106" t="s">
        <v>21</v>
      </c>
      <c r="C106" t="str">
        <f>IF(G106="","",MAX(C$4:C105)+1)</f>
        <v/>
      </c>
      <c r="D106" t="str">
        <f>IF(AND(N106=""),"",MAX(D$4:D105)+1)</f>
        <v/>
      </c>
      <c r="F106" s="26" t="str">
        <f t="shared" si="11"/>
        <v/>
      </c>
      <c r="G106" s="29" t="str">
        <f t="shared" si="12"/>
        <v/>
      </c>
      <c r="H106" s="20" t="str">
        <f t="shared" si="13"/>
        <v/>
      </c>
      <c r="I106" s="20" t="str">
        <f t="shared" si="14"/>
        <v/>
      </c>
      <c r="J106" s="20" t="str">
        <f t="shared" si="15"/>
        <v/>
      </c>
      <c r="K106" s="31" t="str">
        <f t="shared" si="16"/>
        <v/>
      </c>
      <c r="L106" s="23" t="str">
        <f t="shared" si="17"/>
        <v/>
      </c>
      <c r="M106" t="str" cm="1">
        <f t="array" ref="M106">IF(COUNT(INDEX(FIND(ROW($1:$10)-1,K106),)),VALUE(MID(K106,MIN(SEARCH({1,2,3,4,5,6,7,8,9,0},K106&amp;1234567890)),LEN(K106)-(LENB(K106)-LEN(K106)))),"")</f>
        <v/>
      </c>
      <c r="N106" t="str">
        <f>IF(L106&lt;&gt;"○",M106,INDEX(G$4:G105,MATCH(L106&amp;M106,F$4:F105,0)))</f>
        <v/>
      </c>
      <c r="O106" t="str">
        <f t="shared" si="18"/>
        <v/>
      </c>
      <c r="Q106" s="4"/>
    </row>
    <row r="107" spans="2:17" x14ac:dyDescent="0.4">
      <c r="B107" t="s">
        <v>21</v>
      </c>
      <c r="C107" t="str">
        <f>IF(G107="","",MAX(C$4:C106)+1)</f>
        <v/>
      </c>
      <c r="D107" t="str">
        <f>IF(AND(N107=""),"",MAX(D$4:D106)+1)</f>
        <v/>
      </c>
      <c r="F107" s="26" t="str">
        <f t="shared" si="11"/>
        <v/>
      </c>
      <c r="G107" s="29" t="str">
        <f t="shared" si="12"/>
        <v/>
      </c>
      <c r="H107" s="20" t="str">
        <f t="shared" si="13"/>
        <v/>
      </c>
      <c r="I107" s="20" t="str">
        <f t="shared" si="14"/>
        <v/>
      </c>
      <c r="J107" s="20" t="str">
        <f t="shared" si="15"/>
        <v/>
      </c>
      <c r="K107" s="31" t="str">
        <f t="shared" si="16"/>
        <v/>
      </c>
      <c r="L107" s="23" t="str">
        <f t="shared" si="17"/>
        <v/>
      </c>
      <c r="M107" t="str" cm="1">
        <f t="array" ref="M107">IF(COUNT(INDEX(FIND(ROW($1:$10)-1,K107),)),VALUE(MID(K107,MIN(SEARCH({1,2,3,4,5,6,7,8,9,0},K107&amp;1234567890)),LEN(K107)-(LENB(K107)-LEN(K107)))),"")</f>
        <v/>
      </c>
      <c r="N107" t="str">
        <f>IF(L107&lt;&gt;"○",M107,INDEX(G$4:G106,MATCH(L107&amp;M107,F$4:F106,0)))</f>
        <v/>
      </c>
      <c r="O107" t="str">
        <f t="shared" si="18"/>
        <v/>
      </c>
      <c r="Q107" s="4"/>
    </row>
    <row r="108" spans="2:17" x14ac:dyDescent="0.4">
      <c r="B108" t="s">
        <v>21</v>
      </c>
      <c r="C108" t="str">
        <f>IF(G108="","",MAX(C$4:C107)+1)</f>
        <v/>
      </c>
      <c r="D108" t="str">
        <f>IF(AND(N108=""),"",MAX(D$4:D107)+1)</f>
        <v/>
      </c>
      <c r="F108" s="26" t="str">
        <f t="shared" si="11"/>
        <v/>
      </c>
      <c r="G108" s="29" t="str">
        <f t="shared" si="12"/>
        <v/>
      </c>
      <c r="H108" s="20" t="str">
        <f t="shared" si="13"/>
        <v/>
      </c>
      <c r="I108" s="20" t="str">
        <f t="shared" si="14"/>
        <v/>
      </c>
      <c r="J108" s="20" t="str">
        <f t="shared" si="15"/>
        <v/>
      </c>
      <c r="K108" s="31" t="str">
        <f t="shared" si="16"/>
        <v/>
      </c>
      <c r="L108" s="23" t="str">
        <f t="shared" si="17"/>
        <v/>
      </c>
      <c r="M108" t="str" cm="1">
        <f t="array" ref="M108">IF(COUNT(INDEX(FIND(ROW($1:$10)-1,K108),)),VALUE(MID(K108,MIN(SEARCH({1,2,3,4,5,6,7,8,9,0},K108&amp;1234567890)),LEN(K108)-(LENB(K108)-LEN(K108)))),"")</f>
        <v/>
      </c>
      <c r="N108" t="str">
        <f>IF(L108&lt;&gt;"○",M108,INDEX(G$4:G107,MATCH(L108&amp;M108,F$4:F107,0)))</f>
        <v/>
      </c>
      <c r="O108" t="str">
        <f t="shared" si="18"/>
        <v/>
      </c>
      <c r="Q108" s="4"/>
    </row>
    <row r="109" spans="2:17" x14ac:dyDescent="0.4">
      <c r="B109" t="s">
        <v>21</v>
      </c>
      <c r="C109" t="str">
        <f>IF(G109="","",MAX(C$4:C108)+1)</f>
        <v/>
      </c>
      <c r="D109" t="str">
        <f>IF(AND(N109=""),"",MAX(D$4:D108)+1)</f>
        <v/>
      </c>
      <c r="F109" s="26" t="str">
        <f t="shared" si="11"/>
        <v/>
      </c>
      <c r="G109" s="29" t="str">
        <f t="shared" si="12"/>
        <v/>
      </c>
      <c r="H109" s="20" t="str">
        <f t="shared" si="13"/>
        <v/>
      </c>
      <c r="I109" s="20" t="str">
        <f t="shared" si="14"/>
        <v/>
      </c>
      <c r="J109" s="20" t="str">
        <f t="shared" si="15"/>
        <v/>
      </c>
      <c r="K109" s="31" t="str">
        <f t="shared" si="16"/>
        <v/>
      </c>
      <c r="L109" s="23" t="str">
        <f t="shared" si="17"/>
        <v/>
      </c>
      <c r="M109" t="str" cm="1">
        <f t="array" ref="M109">IF(COUNT(INDEX(FIND(ROW($1:$10)-1,K109),)),VALUE(MID(K109,MIN(SEARCH({1,2,3,4,5,6,7,8,9,0},K109&amp;1234567890)),LEN(K109)-(LENB(K109)-LEN(K109)))),"")</f>
        <v/>
      </c>
      <c r="N109" t="str">
        <f>IF(L109&lt;&gt;"○",M109,INDEX(G$4:G108,MATCH(L109&amp;M109,F$4:F108,0)))</f>
        <v/>
      </c>
      <c r="O109" t="str">
        <f t="shared" si="18"/>
        <v/>
      </c>
      <c r="Q109" s="4"/>
    </row>
    <row r="110" spans="2:17" x14ac:dyDescent="0.4">
      <c r="B110" t="s">
        <v>21</v>
      </c>
      <c r="C110" t="str">
        <f>IF(G110="","",MAX(C$4:C109)+1)</f>
        <v/>
      </c>
      <c r="D110" t="str">
        <f>IF(AND(N110=""),"",MAX(D$4:D109)+1)</f>
        <v/>
      </c>
      <c r="F110" s="26" t="str">
        <f t="shared" si="11"/>
        <v/>
      </c>
      <c r="G110" s="29" t="str">
        <f t="shared" si="12"/>
        <v/>
      </c>
      <c r="H110" s="20" t="str">
        <f t="shared" si="13"/>
        <v/>
      </c>
      <c r="I110" s="20" t="str">
        <f t="shared" si="14"/>
        <v/>
      </c>
      <c r="J110" s="20" t="str">
        <f t="shared" si="15"/>
        <v/>
      </c>
      <c r="K110" s="31" t="str">
        <f t="shared" si="16"/>
        <v/>
      </c>
      <c r="L110" s="23" t="str">
        <f t="shared" si="17"/>
        <v/>
      </c>
      <c r="M110" t="str" cm="1">
        <f t="array" ref="M110">IF(COUNT(INDEX(FIND(ROW($1:$10)-1,K110),)),VALUE(MID(K110,MIN(SEARCH({1,2,3,4,5,6,7,8,9,0},K110&amp;1234567890)),LEN(K110)-(LENB(K110)-LEN(K110)))),"")</f>
        <v/>
      </c>
      <c r="N110" t="str">
        <f>IF(L110&lt;&gt;"○",M110,INDEX(G$4:G109,MATCH(L110&amp;M110,F$4:F109,0)))</f>
        <v/>
      </c>
      <c r="O110" t="str">
        <f t="shared" si="18"/>
        <v/>
      </c>
      <c r="Q110" s="4"/>
    </row>
    <row r="111" spans="2:17" x14ac:dyDescent="0.4">
      <c r="B111" t="s">
        <v>21</v>
      </c>
      <c r="C111" t="str">
        <f>IF(G111="","",MAX(C$4:C110)+1)</f>
        <v/>
      </c>
      <c r="D111" t="str">
        <f>IF(AND(N111=""),"",MAX(D$4:D110)+1)</f>
        <v/>
      </c>
      <c r="F111" s="26" t="str">
        <f t="shared" si="11"/>
        <v/>
      </c>
      <c r="G111" s="29" t="str">
        <f t="shared" si="12"/>
        <v/>
      </c>
      <c r="H111" s="20" t="str">
        <f t="shared" si="13"/>
        <v/>
      </c>
      <c r="I111" s="20" t="str">
        <f t="shared" si="14"/>
        <v/>
      </c>
      <c r="J111" s="20" t="str">
        <f t="shared" si="15"/>
        <v/>
      </c>
      <c r="K111" s="31" t="str">
        <f t="shared" si="16"/>
        <v/>
      </c>
      <c r="L111" s="23" t="str">
        <f t="shared" si="17"/>
        <v/>
      </c>
      <c r="M111" t="str" cm="1">
        <f t="array" ref="M111">IF(COUNT(INDEX(FIND(ROW($1:$10)-1,K111),)),VALUE(MID(K111,MIN(SEARCH({1,2,3,4,5,6,7,8,9,0},K111&amp;1234567890)),LEN(K111)-(LENB(K111)-LEN(K111)))),"")</f>
        <v/>
      </c>
      <c r="N111" t="str">
        <f>IF(L111&lt;&gt;"○",M111,INDEX(G$4:G110,MATCH(L111&amp;M111,F$4:F110,0)))</f>
        <v/>
      </c>
      <c r="O111" t="str">
        <f t="shared" si="18"/>
        <v/>
      </c>
      <c r="Q111" s="4"/>
    </row>
    <row r="112" spans="2:17" x14ac:dyDescent="0.4">
      <c r="B112" t="s">
        <v>21</v>
      </c>
      <c r="C112" t="str">
        <f>IF(G112="","",MAX(C$4:C111)+1)</f>
        <v/>
      </c>
      <c r="D112" t="str">
        <f>IF(AND(N112=""),"",MAX(D$4:D111)+1)</f>
        <v/>
      </c>
      <c r="F112" s="26" t="str">
        <f t="shared" si="11"/>
        <v/>
      </c>
      <c r="G112" s="29" t="str">
        <f t="shared" si="12"/>
        <v/>
      </c>
      <c r="H112" s="20" t="str">
        <f t="shared" si="13"/>
        <v/>
      </c>
      <c r="I112" s="20" t="str">
        <f t="shared" si="14"/>
        <v/>
      </c>
      <c r="J112" s="20" t="str">
        <f t="shared" si="15"/>
        <v/>
      </c>
      <c r="K112" s="31" t="str">
        <f t="shared" si="16"/>
        <v/>
      </c>
      <c r="L112" s="23" t="str">
        <f t="shared" si="17"/>
        <v/>
      </c>
      <c r="M112" t="str" cm="1">
        <f t="array" ref="M112">IF(COUNT(INDEX(FIND(ROW($1:$10)-1,K112),)),VALUE(MID(K112,MIN(SEARCH({1,2,3,4,5,6,7,8,9,0},K112&amp;1234567890)),LEN(K112)-(LENB(K112)-LEN(K112)))),"")</f>
        <v/>
      </c>
      <c r="N112" t="str">
        <f>IF(L112&lt;&gt;"○",M112,INDEX(G$4:G111,MATCH(L112&amp;M112,F$4:F111,0)))</f>
        <v/>
      </c>
      <c r="O112" t="str">
        <f t="shared" si="18"/>
        <v/>
      </c>
      <c r="Q112" s="4"/>
    </row>
    <row r="113" spans="2:17" x14ac:dyDescent="0.4">
      <c r="B113" t="s">
        <v>21</v>
      </c>
      <c r="C113" t="str">
        <f>IF(G113="","",MAX(C$4:C112)+1)</f>
        <v/>
      </c>
      <c r="D113" t="str">
        <f>IF(AND(N113=""),"",MAX(D$4:D112)+1)</f>
        <v/>
      </c>
      <c r="F113" s="26" t="str">
        <f t="shared" si="11"/>
        <v/>
      </c>
      <c r="G113" s="29" t="str">
        <f t="shared" si="12"/>
        <v/>
      </c>
      <c r="H113" s="20" t="str">
        <f t="shared" si="13"/>
        <v/>
      </c>
      <c r="I113" s="20" t="str">
        <f t="shared" si="14"/>
        <v/>
      </c>
      <c r="J113" s="20" t="str">
        <f t="shared" si="15"/>
        <v/>
      </c>
      <c r="K113" s="31" t="str">
        <f t="shared" si="16"/>
        <v/>
      </c>
      <c r="L113" s="23" t="str">
        <f t="shared" si="17"/>
        <v/>
      </c>
      <c r="M113" t="str" cm="1">
        <f t="array" ref="M113">IF(COUNT(INDEX(FIND(ROW($1:$10)-1,K113),)),VALUE(MID(K113,MIN(SEARCH({1,2,3,4,5,6,7,8,9,0},K113&amp;1234567890)),LEN(K113)-(LENB(K113)-LEN(K113)))),"")</f>
        <v/>
      </c>
      <c r="N113" t="str">
        <f>IF(L113&lt;&gt;"○",M113,INDEX(G$4:G112,MATCH(L113&amp;M113,F$4:F112,0)))</f>
        <v/>
      </c>
      <c r="O113" t="str">
        <f t="shared" si="18"/>
        <v/>
      </c>
      <c r="Q113" s="4"/>
    </row>
    <row r="114" spans="2:17" x14ac:dyDescent="0.4">
      <c r="B114" t="s">
        <v>21</v>
      </c>
      <c r="C114" t="str">
        <f>IF(G114="","",MAX(C$4:C113)+1)</f>
        <v/>
      </c>
      <c r="D114" t="str">
        <f>IF(AND(N114=""),"",MAX(D$4:D113)+1)</f>
        <v/>
      </c>
      <c r="F114" s="26" t="str">
        <f t="shared" si="11"/>
        <v/>
      </c>
      <c r="G114" s="29" t="str">
        <f t="shared" si="12"/>
        <v/>
      </c>
      <c r="H114" s="20" t="str">
        <f t="shared" si="13"/>
        <v/>
      </c>
      <c r="I114" s="20" t="str">
        <f t="shared" si="14"/>
        <v/>
      </c>
      <c r="J114" s="20" t="str">
        <f t="shared" si="15"/>
        <v/>
      </c>
      <c r="K114" s="31" t="str">
        <f t="shared" si="16"/>
        <v/>
      </c>
      <c r="L114" s="23" t="str">
        <f t="shared" si="17"/>
        <v/>
      </c>
      <c r="M114" t="str" cm="1">
        <f t="array" ref="M114">IF(COUNT(INDEX(FIND(ROW($1:$10)-1,K114),)),VALUE(MID(K114,MIN(SEARCH({1,2,3,4,5,6,7,8,9,0},K114&amp;1234567890)),LEN(K114)-(LENB(K114)-LEN(K114)))),"")</f>
        <v/>
      </c>
      <c r="N114" t="str">
        <f>IF(L114&lt;&gt;"○",M114,INDEX(G$4:G113,MATCH(L114&amp;M114,F$4:F113,0)))</f>
        <v/>
      </c>
      <c r="O114" t="str">
        <f t="shared" si="18"/>
        <v/>
      </c>
      <c r="Q114" s="4"/>
    </row>
    <row r="115" spans="2:17" x14ac:dyDescent="0.4">
      <c r="B115" t="s">
        <v>21</v>
      </c>
      <c r="C115" t="str">
        <f>IF(G115="","",MAX(C$4:C114)+1)</f>
        <v/>
      </c>
      <c r="D115" t="str">
        <f>IF(AND(N115=""),"",MAX(D$4:D114)+1)</f>
        <v/>
      </c>
      <c r="F115" s="26" t="str">
        <f t="shared" si="11"/>
        <v/>
      </c>
      <c r="G115" s="29" t="str">
        <f t="shared" si="12"/>
        <v/>
      </c>
      <c r="H115" s="20" t="str">
        <f t="shared" si="13"/>
        <v/>
      </c>
      <c r="I115" s="20" t="str">
        <f t="shared" si="14"/>
        <v/>
      </c>
      <c r="J115" s="20" t="str">
        <f t="shared" si="15"/>
        <v/>
      </c>
      <c r="K115" s="31" t="str">
        <f t="shared" si="16"/>
        <v/>
      </c>
      <c r="L115" s="23" t="str">
        <f t="shared" si="17"/>
        <v/>
      </c>
      <c r="M115" t="str" cm="1">
        <f t="array" ref="M115">IF(COUNT(INDEX(FIND(ROW($1:$10)-1,K115),)),VALUE(MID(K115,MIN(SEARCH({1,2,3,4,5,6,7,8,9,0},K115&amp;1234567890)),LEN(K115)-(LENB(K115)-LEN(K115)))),"")</f>
        <v/>
      </c>
      <c r="N115" t="str">
        <f>IF(L115&lt;&gt;"○",M115,INDEX(G$4:G114,MATCH(L115&amp;M115,F$4:F114,0)))</f>
        <v/>
      </c>
      <c r="O115" t="str">
        <f t="shared" si="18"/>
        <v/>
      </c>
      <c r="Q115" s="4"/>
    </row>
    <row r="116" spans="2:17" x14ac:dyDescent="0.4">
      <c r="B116" t="s">
        <v>21</v>
      </c>
      <c r="C116" t="str">
        <f>IF(G116="","",MAX(C$4:C115)+1)</f>
        <v/>
      </c>
      <c r="D116" t="str">
        <f>IF(AND(N116=""),"",MAX(D$4:D115)+1)</f>
        <v/>
      </c>
      <c r="F116" s="26" t="str">
        <f t="shared" si="11"/>
        <v/>
      </c>
      <c r="G116" s="29" t="str">
        <f t="shared" si="12"/>
        <v/>
      </c>
      <c r="H116" s="20" t="str">
        <f t="shared" si="13"/>
        <v/>
      </c>
      <c r="I116" s="20" t="str">
        <f t="shared" si="14"/>
        <v/>
      </c>
      <c r="J116" s="20" t="str">
        <f t="shared" si="15"/>
        <v/>
      </c>
      <c r="K116" s="31" t="str">
        <f t="shared" si="16"/>
        <v/>
      </c>
      <c r="L116" s="23" t="str">
        <f t="shared" si="17"/>
        <v/>
      </c>
      <c r="M116" t="str" cm="1">
        <f t="array" ref="M116">IF(COUNT(INDEX(FIND(ROW($1:$10)-1,K116),)),VALUE(MID(K116,MIN(SEARCH({1,2,3,4,5,6,7,8,9,0},K116&amp;1234567890)),LEN(K116)-(LENB(K116)-LEN(K116)))),"")</f>
        <v/>
      </c>
      <c r="N116" t="str">
        <f>IF(L116&lt;&gt;"○",M116,INDEX(G$4:G115,MATCH(L116&amp;M116,F$4:F115,0)))</f>
        <v/>
      </c>
      <c r="O116" t="str">
        <f t="shared" si="18"/>
        <v/>
      </c>
      <c r="Q116" s="4"/>
    </row>
    <row r="117" spans="2:17" x14ac:dyDescent="0.4">
      <c r="B117" t="s">
        <v>21</v>
      </c>
      <c r="C117" t="str">
        <f>IF(G117="","",MAX(C$4:C116)+1)</f>
        <v/>
      </c>
      <c r="D117" t="str">
        <f>IF(AND(N117=""),"",MAX(D$4:D116)+1)</f>
        <v/>
      </c>
      <c r="F117" s="26" t="str">
        <f t="shared" si="11"/>
        <v/>
      </c>
      <c r="G117" s="29" t="str">
        <f t="shared" si="12"/>
        <v/>
      </c>
      <c r="H117" s="20" t="str">
        <f t="shared" si="13"/>
        <v/>
      </c>
      <c r="I117" s="20" t="str">
        <f t="shared" si="14"/>
        <v/>
      </c>
      <c r="J117" s="20" t="str">
        <f t="shared" si="15"/>
        <v/>
      </c>
      <c r="K117" s="31" t="str">
        <f t="shared" si="16"/>
        <v/>
      </c>
      <c r="L117" s="23" t="str">
        <f t="shared" si="17"/>
        <v/>
      </c>
      <c r="M117" t="str" cm="1">
        <f t="array" ref="M117">IF(COUNT(INDEX(FIND(ROW($1:$10)-1,K117),)),VALUE(MID(K117,MIN(SEARCH({1,2,3,4,5,6,7,8,9,0},K117&amp;1234567890)),LEN(K117)-(LENB(K117)-LEN(K117)))),"")</f>
        <v/>
      </c>
      <c r="N117" t="str">
        <f>IF(L117&lt;&gt;"○",M117,INDEX(G$4:G116,MATCH(L117&amp;M117,F$4:F116,0)))</f>
        <v/>
      </c>
      <c r="O117" t="str">
        <f t="shared" si="18"/>
        <v/>
      </c>
      <c r="Q117" s="4"/>
    </row>
    <row r="118" spans="2:17" x14ac:dyDescent="0.4">
      <c r="B118" t="s">
        <v>21</v>
      </c>
      <c r="C118" t="str">
        <f>IF(G118="","",MAX(C$4:C117)+1)</f>
        <v/>
      </c>
      <c r="D118" t="str">
        <f>IF(AND(N118=""),"",MAX(D$4:D117)+1)</f>
        <v/>
      </c>
      <c r="F118" s="26" t="str">
        <f t="shared" si="11"/>
        <v/>
      </c>
      <c r="G118" s="29" t="str">
        <f t="shared" si="12"/>
        <v/>
      </c>
      <c r="H118" s="20" t="str">
        <f t="shared" si="13"/>
        <v/>
      </c>
      <c r="I118" s="20" t="str">
        <f t="shared" si="14"/>
        <v/>
      </c>
      <c r="J118" s="20" t="str">
        <f t="shared" si="15"/>
        <v/>
      </c>
      <c r="K118" s="31" t="str">
        <f t="shared" si="16"/>
        <v/>
      </c>
      <c r="L118" s="23" t="str">
        <f t="shared" si="17"/>
        <v/>
      </c>
      <c r="M118" t="str" cm="1">
        <f t="array" ref="M118">IF(COUNT(INDEX(FIND(ROW($1:$10)-1,K118),)),VALUE(MID(K118,MIN(SEARCH({1,2,3,4,5,6,7,8,9,0},K118&amp;1234567890)),LEN(K118)-(LENB(K118)-LEN(K118)))),"")</f>
        <v/>
      </c>
      <c r="N118" t="str">
        <f>IF(L118&lt;&gt;"○",M118,INDEX(G$4:G117,MATCH(L118&amp;M118,F$4:F117,0)))</f>
        <v/>
      </c>
      <c r="O118" t="str">
        <f t="shared" si="18"/>
        <v/>
      </c>
      <c r="Q118" s="4"/>
    </row>
    <row r="119" spans="2:17" x14ac:dyDescent="0.4">
      <c r="B119" t="s">
        <v>21</v>
      </c>
      <c r="C119" t="str">
        <f>IF(G119="","",MAX(C$4:C118)+1)</f>
        <v/>
      </c>
      <c r="D119" t="str">
        <f>IF(AND(N119=""),"",MAX(D$4:D118)+1)</f>
        <v/>
      </c>
      <c r="F119" s="26" t="str">
        <f t="shared" si="11"/>
        <v/>
      </c>
      <c r="G119" s="29" t="str">
        <f t="shared" si="12"/>
        <v/>
      </c>
      <c r="H119" s="20" t="str">
        <f t="shared" si="13"/>
        <v/>
      </c>
      <c r="I119" s="20" t="str">
        <f t="shared" si="14"/>
        <v/>
      </c>
      <c r="J119" s="20" t="str">
        <f t="shared" si="15"/>
        <v/>
      </c>
      <c r="K119" s="31" t="str">
        <f t="shared" si="16"/>
        <v/>
      </c>
      <c r="L119" s="23" t="str">
        <f t="shared" si="17"/>
        <v/>
      </c>
      <c r="M119" t="str" cm="1">
        <f t="array" ref="M119">IF(COUNT(INDEX(FIND(ROW($1:$10)-1,K119),)),VALUE(MID(K119,MIN(SEARCH({1,2,3,4,5,6,7,8,9,0},K119&amp;1234567890)),LEN(K119)-(LENB(K119)-LEN(K119)))),"")</f>
        <v/>
      </c>
      <c r="N119" t="str">
        <f>IF(L119&lt;&gt;"○",M119,INDEX(G$4:G118,MATCH(L119&amp;M119,F$4:F118,0)))</f>
        <v/>
      </c>
      <c r="O119" t="str">
        <f t="shared" si="18"/>
        <v/>
      </c>
      <c r="Q119" s="4"/>
    </row>
    <row r="120" spans="2:17" x14ac:dyDescent="0.4">
      <c r="B120" t="s">
        <v>21</v>
      </c>
      <c r="C120" t="str">
        <f>IF(G120="","",MAX(C$4:C119)+1)</f>
        <v/>
      </c>
      <c r="D120" t="str">
        <f>IF(AND(N120=""),"",MAX(D$4:D119)+1)</f>
        <v/>
      </c>
      <c r="F120" s="26" t="str">
        <f t="shared" si="11"/>
        <v/>
      </c>
      <c r="G120" s="29" t="str">
        <f t="shared" si="12"/>
        <v/>
      </c>
      <c r="H120" s="20" t="str">
        <f t="shared" si="13"/>
        <v/>
      </c>
      <c r="I120" s="20" t="str">
        <f t="shared" si="14"/>
        <v/>
      </c>
      <c r="J120" s="20" t="str">
        <f t="shared" si="15"/>
        <v/>
      </c>
      <c r="K120" s="31" t="str">
        <f t="shared" si="16"/>
        <v/>
      </c>
      <c r="L120" s="23" t="str">
        <f t="shared" si="17"/>
        <v/>
      </c>
      <c r="M120" t="str" cm="1">
        <f t="array" ref="M120">IF(COUNT(INDEX(FIND(ROW($1:$10)-1,K120),)),VALUE(MID(K120,MIN(SEARCH({1,2,3,4,5,6,7,8,9,0},K120&amp;1234567890)),LEN(K120)-(LENB(K120)-LEN(K120)))),"")</f>
        <v/>
      </c>
      <c r="N120" t="str">
        <f>IF(L120&lt;&gt;"○",M120,INDEX(G$4:G119,MATCH(L120&amp;M120,F$4:F119,0)))</f>
        <v/>
      </c>
      <c r="O120" t="str">
        <f t="shared" si="18"/>
        <v/>
      </c>
      <c r="Q120" s="4"/>
    </row>
    <row r="121" spans="2:17" x14ac:dyDescent="0.4">
      <c r="B121" t="s">
        <v>21</v>
      </c>
      <c r="C121" t="str">
        <f>IF(G121="","",MAX(C$4:C120)+1)</f>
        <v/>
      </c>
      <c r="D121" t="str">
        <f>IF(AND(N121=""),"",MAX(D$4:D120)+1)</f>
        <v/>
      </c>
      <c r="F121" s="26" t="str">
        <f t="shared" si="11"/>
        <v/>
      </c>
      <c r="G121" s="29" t="str">
        <f t="shared" si="12"/>
        <v/>
      </c>
      <c r="H121" s="20" t="str">
        <f t="shared" si="13"/>
        <v/>
      </c>
      <c r="I121" s="20" t="str">
        <f t="shared" si="14"/>
        <v/>
      </c>
      <c r="J121" s="20" t="str">
        <f t="shared" si="15"/>
        <v/>
      </c>
      <c r="K121" s="31" t="str">
        <f t="shared" si="16"/>
        <v/>
      </c>
      <c r="L121" s="23" t="str">
        <f t="shared" si="17"/>
        <v/>
      </c>
      <c r="M121" t="str" cm="1">
        <f t="array" ref="M121">IF(COUNT(INDEX(FIND(ROW($1:$10)-1,K121),)),VALUE(MID(K121,MIN(SEARCH({1,2,3,4,5,6,7,8,9,0},K121&amp;1234567890)),LEN(K121)-(LENB(K121)-LEN(K121)))),"")</f>
        <v/>
      </c>
      <c r="N121" t="str">
        <f>IF(L121&lt;&gt;"○",M121,INDEX(G$4:G120,MATCH(L121&amp;M121,F$4:F120,0)))</f>
        <v/>
      </c>
      <c r="O121" t="str">
        <f t="shared" si="18"/>
        <v/>
      </c>
      <c r="Q121" s="4"/>
    </row>
    <row r="122" spans="2:17" x14ac:dyDescent="0.4">
      <c r="B122" t="s">
        <v>21</v>
      </c>
      <c r="C122" t="str">
        <f>IF(G122="","",MAX(C$4:C121)+1)</f>
        <v/>
      </c>
      <c r="D122" t="str">
        <f>IF(AND(N122=""),"",MAX(D$4:D121)+1)</f>
        <v/>
      </c>
      <c r="F122" s="26" t="str">
        <f t="shared" si="11"/>
        <v/>
      </c>
      <c r="G122" s="29" t="str">
        <f t="shared" si="12"/>
        <v/>
      </c>
      <c r="H122" s="20" t="str">
        <f t="shared" si="13"/>
        <v/>
      </c>
      <c r="I122" s="20" t="str">
        <f t="shared" si="14"/>
        <v/>
      </c>
      <c r="J122" s="20" t="str">
        <f t="shared" si="15"/>
        <v/>
      </c>
      <c r="K122" s="31" t="str">
        <f t="shared" si="16"/>
        <v/>
      </c>
      <c r="L122" s="23" t="str">
        <f t="shared" si="17"/>
        <v/>
      </c>
      <c r="M122" t="str" cm="1">
        <f t="array" ref="M122">IF(COUNT(INDEX(FIND(ROW($1:$10)-1,K122),)),VALUE(MID(K122,MIN(SEARCH({1,2,3,4,5,6,7,8,9,0},K122&amp;1234567890)),LEN(K122)-(LENB(K122)-LEN(K122)))),"")</f>
        <v/>
      </c>
      <c r="N122" t="str">
        <f>IF(L122&lt;&gt;"○",M122,INDEX(G$4:G121,MATCH(L122&amp;M122,F$4:F121,0)))</f>
        <v/>
      </c>
      <c r="O122" t="str">
        <f t="shared" si="18"/>
        <v/>
      </c>
      <c r="Q122" s="4"/>
    </row>
    <row r="123" spans="2:17" x14ac:dyDescent="0.4">
      <c r="B123" t="s">
        <v>21</v>
      </c>
      <c r="C123" t="str">
        <f>IF(G123="","",MAX(C$4:C122)+1)</f>
        <v/>
      </c>
      <c r="D123" t="str">
        <f>IF(AND(N123=""),"",MAX(D$4:D122)+1)</f>
        <v/>
      </c>
      <c r="F123" s="26" t="str">
        <f t="shared" si="11"/>
        <v/>
      </c>
      <c r="G123" s="29" t="str">
        <f t="shared" si="12"/>
        <v/>
      </c>
      <c r="H123" s="20" t="str">
        <f t="shared" si="13"/>
        <v/>
      </c>
      <c r="I123" s="20" t="str">
        <f t="shared" si="14"/>
        <v/>
      </c>
      <c r="J123" s="20" t="str">
        <f t="shared" si="15"/>
        <v/>
      </c>
      <c r="K123" s="31" t="str">
        <f t="shared" si="16"/>
        <v/>
      </c>
      <c r="L123" s="23" t="str">
        <f t="shared" si="17"/>
        <v/>
      </c>
      <c r="M123" t="str" cm="1">
        <f t="array" ref="M123">IF(COUNT(INDEX(FIND(ROW($1:$10)-1,K123),)),VALUE(MID(K123,MIN(SEARCH({1,2,3,4,5,6,7,8,9,0},K123&amp;1234567890)),LEN(K123)-(LENB(K123)-LEN(K123)))),"")</f>
        <v/>
      </c>
      <c r="N123" t="str">
        <f>IF(L123&lt;&gt;"○",M123,INDEX(G$4:G122,MATCH(L123&amp;M123,F$4:F122,0)))</f>
        <v/>
      </c>
      <c r="O123" t="str">
        <f t="shared" si="18"/>
        <v/>
      </c>
      <c r="Q123" s="4"/>
    </row>
    <row r="124" spans="2:17" x14ac:dyDescent="0.4">
      <c r="B124" t="s">
        <v>21</v>
      </c>
      <c r="C124" t="str">
        <f>IF(G124="","",MAX(C$4:C123)+1)</f>
        <v/>
      </c>
      <c r="D124" t="str">
        <f>IF(AND(N124=""),"",MAX(D$4:D123)+1)</f>
        <v/>
      </c>
      <c r="F124" s="26" t="str">
        <f t="shared" si="11"/>
        <v/>
      </c>
      <c r="G124" s="29" t="str">
        <f t="shared" si="12"/>
        <v/>
      </c>
      <c r="H124" s="20" t="str">
        <f t="shared" si="13"/>
        <v/>
      </c>
      <c r="I124" s="20" t="str">
        <f t="shared" si="14"/>
        <v/>
      </c>
      <c r="J124" s="20" t="str">
        <f t="shared" si="15"/>
        <v/>
      </c>
      <c r="K124" s="31" t="str">
        <f t="shared" si="16"/>
        <v/>
      </c>
      <c r="L124" s="23" t="str">
        <f t="shared" si="17"/>
        <v/>
      </c>
      <c r="M124" t="str" cm="1">
        <f t="array" ref="M124">IF(COUNT(INDEX(FIND(ROW($1:$10)-1,K124),)),VALUE(MID(K124,MIN(SEARCH({1,2,3,4,5,6,7,8,9,0},K124&amp;1234567890)),LEN(K124)-(LENB(K124)-LEN(K124)))),"")</f>
        <v/>
      </c>
      <c r="N124" t="str">
        <f>IF(L124&lt;&gt;"○",M124,INDEX(G$4:G123,MATCH(L124&amp;M124,F$4:F123,0)))</f>
        <v/>
      </c>
      <c r="O124" t="str">
        <f t="shared" si="18"/>
        <v/>
      </c>
      <c r="Q124" s="4"/>
    </row>
    <row r="125" spans="2:17" x14ac:dyDescent="0.4">
      <c r="B125" t="s">
        <v>21</v>
      </c>
      <c r="C125" t="str">
        <f>IF(G125="","",MAX(C$4:C124)+1)</f>
        <v/>
      </c>
      <c r="D125" t="str">
        <f>IF(AND(N125=""),"",MAX(D$4:D124)+1)</f>
        <v/>
      </c>
      <c r="F125" s="26" t="str">
        <f t="shared" si="11"/>
        <v/>
      </c>
      <c r="G125" s="29" t="str">
        <f t="shared" si="12"/>
        <v/>
      </c>
      <c r="H125" s="20" t="str">
        <f t="shared" si="13"/>
        <v/>
      </c>
      <c r="I125" s="20" t="str">
        <f t="shared" si="14"/>
        <v/>
      </c>
      <c r="J125" s="20" t="str">
        <f t="shared" si="15"/>
        <v/>
      </c>
      <c r="K125" s="31" t="str">
        <f t="shared" si="16"/>
        <v/>
      </c>
      <c r="L125" s="23" t="str">
        <f t="shared" si="17"/>
        <v/>
      </c>
      <c r="M125" t="str" cm="1">
        <f t="array" ref="M125">IF(COUNT(INDEX(FIND(ROW($1:$10)-1,K125),)),VALUE(MID(K125,MIN(SEARCH({1,2,3,4,5,6,7,8,9,0},K125&amp;1234567890)),LEN(K125)-(LENB(K125)-LEN(K125)))),"")</f>
        <v/>
      </c>
      <c r="N125" t="str">
        <f>IF(L125&lt;&gt;"○",M125,INDEX(G$4:G124,MATCH(L125&amp;M125,F$4:F124,0)))</f>
        <v/>
      </c>
      <c r="O125" t="str">
        <f t="shared" si="18"/>
        <v/>
      </c>
      <c r="Q125" s="4"/>
    </row>
    <row r="126" spans="2:17" x14ac:dyDescent="0.4">
      <c r="B126" t="s">
        <v>21</v>
      </c>
      <c r="C126" t="str">
        <f>IF(G126="","",MAX(C$4:C125)+1)</f>
        <v/>
      </c>
      <c r="D126" t="str">
        <f>IF(AND(N126=""),"",MAX(D$4:D125)+1)</f>
        <v/>
      </c>
      <c r="F126" s="26" t="str">
        <f t="shared" si="11"/>
        <v/>
      </c>
      <c r="G126" s="29" t="str">
        <f t="shared" si="12"/>
        <v/>
      </c>
      <c r="H126" s="20" t="str">
        <f t="shared" si="13"/>
        <v/>
      </c>
      <c r="I126" s="20" t="str">
        <f t="shared" si="14"/>
        <v/>
      </c>
      <c r="J126" s="20" t="str">
        <f t="shared" si="15"/>
        <v/>
      </c>
      <c r="K126" s="31" t="str">
        <f t="shared" si="16"/>
        <v/>
      </c>
      <c r="L126" s="23" t="str">
        <f t="shared" si="17"/>
        <v/>
      </c>
      <c r="M126" t="str" cm="1">
        <f t="array" ref="M126">IF(COUNT(INDEX(FIND(ROW($1:$10)-1,K126),)),VALUE(MID(K126,MIN(SEARCH({1,2,3,4,5,6,7,8,9,0},K126&amp;1234567890)),LEN(K126)-(LENB(K126)-LEN(K126)))),"")</f>
        <v/>
      </c>
      <c r="N126" t="str">
        <f>IF(L126&lt;&gt;"○",M126,INDEX(G$4:G125,MATCH(L126&amp;M126,F$4:F125,0)))</f>
        <v/>
      </c>
      <c r="O126" t="str">
        <f t="shared" si="18"/>
        <v/>
      </c>
      <c r="Q126" s="4"/>
    </row>
    <row r="127" spans="2:17" x14ac:dyDescent="0.4">
      <c r="B127" t="s">
        <v>21</v>
      </c>
      <c r="C127" t="str">
        <f>IF(G127="","",MAX(C$4:C126)+1)</f>
        <v/>
      </c>
      <c r="D127" t="str">
        <f>IF(AND(N127=""),"",MAX(D$4:D126)+1)</f>
        <v/>
      </c>
      <c r="F127" s="26" t="str">
        <f t="shared" si="11"/>
        <v/>
      </c>
      <c r="G127" s="29" t="str">
        <f t="shared" si="12"/>
        <v/>
      </c>
      <c r="H127" s="20" t="str">
        <f t="shared" si="13"/>
        <v/>
      </c>
      <c r="I127" s="20" t="str">
        <f t="shared" si="14"/>
        <v/>
      </c>
      <c r="J127" s="20" t="str">
        <f t="shared" si="15"/>
        <v/>
      </c>
      <c r="K127" s="31" t="str">
        <f t="shared" si="16"/>
        <v/>
      </c>
      <c r="L127" s="23" t="str">
        <f t="shared" si="17"/>
        <v/>
      </c>
      <c r="M127" t="str" cm="1">
        <f t="array" ref="M127">IF(COUNT(INDEX(FIND(ROW($1:$10)-1,K127),)),VALUE(MID(K127,MIN(SEARCH({1,2,3,4,5,6,7,8,9,0},K127&amp;1234567890)),LEN(K127)-(LENB(K127)-LEN(K127)))),"")</f>
        <v/>
      </c>
      <c r="N127" t="str">
        <f>IF(L127&lt;&gt;"○",M127,INDEX(G$4:G126,MATCH(L127&amp;M127,F$4:F126,0)))</f>
        <v/>
      </c>
      <c r="O127" t="str">
        <f t="shared" si="18"/>
        <v/>
      </c>
      <c r="Q127" s="4"/>
    </row>
    <row r="128" spans="2:17" x14ac:dyDescent="0.4">
      <c r="B128" t="s">
        <v>21</v>
      </c>
      <c r="C128" t="str">
        <f>IF(G128="","",MAX(C$4:C127)+1)</f>
        <v/>
      </c>
      <c r="D128" t="str">
        <f>IF(AND(N128=""),"",MAX(D$4:D127)+1)</f>
        <v/>
      </c>
      <c r="F128" s="26" t="str">
        <f t="shared" si="11"/>
        <v/>
      </c>
      <c r="G128" s="29" t="str">
        <f t="shared" si="12"/>
        <v/>
      </c>
      <c r="H128" s="20" t="str">
        <f t="shared" si="13"/>
        <v/>
      </c>
      <c r="I128" s="20" t="str">
        <f t="shared" si="14"/>
        <v/>
      </c>
      <c r="J128" s="20" t="str">
        <f t="shared" si="15"/>
        <v/>
      </c>
      <c r="K128" s="31" t="str">
        <f t="shared" si="16"/>
        <v/>
      </c>
      <c r="L128" s="23" t="str">
        <f t="shared" si="17"/>
        <v/>
      </c>
      <c r="M128" t="str" cm="1">
        <f t="array" ref="M128">IF(COUNT(INDEX(FIND(ROW($1:$10)-1,K128),)),VALUE(MID(K128,MIN(SEARCH({1,2,3,4,5,6,7,8,9,0},K128&amp;1234567890)),LEN(K128)-(LENB(K128)-LEN(K128)))),"")</f>
        <v/>
      </c>
      <c r="N128" t="str">
        <f>IF(L128&lt;&gt;"○",M128,INDEX(G$4:G127,MATCH(L128&amp;M128,F$4:F127,0)))</f>
        <v/>
      </c>
      <c r="O128" t="str">
        <f t="shared" si="18"/>
        <v/>
      </c>
      <c r="Q128" s="4"/>
    </row>
    <row r="129" spans="2:17" x14ac:dyDescent="0.4">
      <c r="B129" t="s">
        <v>21</v>
      </c>
      <c r="C129" t="str">
        <f>IF(G129="","",MAX(C$4:C128)+1)</f>
        <v/>
      </c>
      <c r="D129" t="str">
        <f>IF(AND(N129=""),"",MAX(D$4:D128)+1)</f>
        <v/>
      </c>
      <c r="F129" s="26" t="str">
        <f t="shared" si="11"/>
        <v/>
      </c>
      <c r="G129" s="29" t="str">
        <f t="shared" si="12"/>
        <v/>
      </c>
      <c r="H129" s="20" t="str">
        <f t="shared" si="13"/>
        <v/>
      </c>
      <c r="I129" s="20" t="str">
        <f t="shared" si="14"/>
        <v/>
      </c>
      <c r="J129" s="20" t="str">
        <f t="shared" si="15"/>
        <v/>
      </c>
      <c r="K129" s="31" t="str">
        <f t="shared" si="16"/>
        <v/>
      </c>
      <c r="L129" s="23" t="str">
        <f t="shared" si="17"/>
        <v/>
      </c>
      <c r="M129" t="str" cm="1">
        <f t="array" ref="M129">IF(COUNT(INDEX(FIND(ROW($1:$10)-1,K129),)),VALUE(MID(K129,MIN(SEARCH({1,2,3,4,5,6,7,8,9,0},K129&amp;1234567890)),LEN(K129)-(LENB(K129)-LEN(K129)))),"")</f>
        <v/>
      </c>
      <c r="N129" t="str">
        <f>IF(L129&lt;&gt;"○",M129,INDEX(G$4:G128,MATCH(L129&amp;M129,F$4:F128,0)))</f>
        <v/>
      </c>
      <c r="O129" t="str">
        <f t="shared" si="18"/>
        <v/>
      </c>
      <c r="Q129" s="4"/>
    </row>
    <row r="130" spans="2:17" x14ac:dyDescent="0.4">
      <c r="B130" t="s">
        <v>21</v>
      </c>
      <c r="C130" t="str">
        <f>IF(G130="","",MAX(C$4:C129)+1)</f>
        <v/>
      </c>
      <c r="D130" t="str">
        <f>IF(AND(N130=""),"",MAX(D$4:D129)+1)</f>
        <v/>
      </c>
      <c r="F130" s="26" t="str">
        <f t="shared" si="11"/>
        <v/>
      </c>
      <c r="G130" s="29" t="str">
        <f t="shared" si="12"/>
        <v/>
      </c>
      <c r="H130" s="20" t="str">
        <f t="shared" si="13"/>
        <v/>
      </c>
      <c r="I130" s="20" t="str">
        <f t="shared" si="14"/>
        <v/>
      </c>
      <c r="J130" s="20" t="str">
        <f t="shared" si="15"/>
        <v/>
      </c>
      <c r="K130" s="31" t="str">
        <f t="shared" si="16"/>
        <v/>
      </c>
      <c r="L130" s="23" t="str">
        <f t="shared" si="17"/>
        <v/>
      </c>
      <c r="M130" t="str" cm="1">
        <f t="array" ref="M130">IF(COUNT(INDEX(FIND(ROW($1:$10)-1,K130),)),VALUE(MID(K130,MIN(SEARCH({1,2,3,4,5,6,7,8,9,0},K130&amp;1234567890)),LEN(K130)-(LENB(K130)-LEN(K130)))),"")</f>
        <v/>
      </c>
      <c r="N130" t="str">
        <f>IF(L130&lt;&gt;"○",M130,INDEX(G$4:G129,MATCH(L130&amp;M130,F$4:F129,0)))</f>
        <v/>
      </c>
      <c r="O130" t="str">
        <f t="shared" si="18"/>
        <v/>
      </c>
      <c r="Q130" s="4"/>
    </row>
    <row r="131" spans="2:17" x14ac:dyDescent="0.4">
      <c r="B131" t="s">
        <v>21</v>
      </c>
      <c r="C131" t="str">
        <f>IF(G131="","",MAX(C$4:C130)+1)</f>
        <v/>
      </c>
      <c r="D131" t="str">
        <f>IF(AND(N131=""),"",MAX(D$4:D130)+1)</f>
        <v/>
      </c>
      <c r="F131" s="26" t="str">
        <f t="shared" si="11"/>
        <v/>
      </c>
      <c r="G131" s="29" t="str">
        <f t="shared" si="12"/>
        <v/>
      </c>
      <c r="H131" s="20" t="str">
        <f t="shared" si="13"/>
        <v/>
      </c>
      <c r="I131" s="20" t="str">
        <f t="shared" si="14"/>
        <v/>
      </c>
      <c r="J131" s="20" t="str">
        <f t="shared" si="15"/>
        <v/>
      </c>
      <c r="K131" s="31" t="str">
        <f t="shared" si="16"/>
        <v/>
      </c>
      <c r="L131" s="23" t="str">
        <f t="shared" si="17"/>
        <v/>
      </c>
      <c r="M131" t="str" cm="1">
        <f t="array" ref="M131">IF(COUNT(INDEX(FIND(ROW($1:$10)-1,K131),)),VALUE(MID(K131,MIN(SEARCH({1,2,3,4,5,6,7,8,9,0},K131&amp;1234567890)),LEN(K131)-(LENB(K131)-LEN(K131)))),"")</f>
        <v/>
      </c>
      <c r="N131" t="str">
        <f>IF(L131&lt;&gt;"○",M131,INDEX(G$4:G130,MATCH(L131&amp;M131,F$4:F130,0)))</f>
        <v/>
      </c>
      <c r="O131" t="str">
        <f t="shared" si="18"/>
        <v/>
      </c>
      <c r="Q131" s="4"/>
    </row>
    <row r="132" spans="2:17" x14ac:dyDescent="0.4">
      <c r="B132" t="s">
        <v>21</v>
      </c>
      <c r="C132" t="str">
        <f>IF(G132="","",MAX(C$4:C131)+1)</f>
        <v/>
      </c>
      <c r="D132" t="str">
        <f>IF(AND(N132=""),"",MAX(D$4:D131)+1)</f>
        <v/>
      </c>
      <c r="F132" s="26" t="str">
        <f t="shared" si="11"/>
        <v/>
      </c>
      <c r="G132" s="29" t="str">
        <f t="shared" si="12"/>
        <v/>
      </c>
      <c r="H132" s="20" t="str">
        <f t="shared" si="13"/>
        <v/>
      </c>
      <c r="I132" s="20" t="str">
        <f t="shared" si="14"/>
        <v/>
      </c>
      <c r="J132" s="20" t="str">
        <f t="shared" si="15"/>
        <v/>
      </c>
      <c r="K132" s="31" t="str">
        <f t="shared" si="16"/>
        <v/>
      </c>
      <c r="L132" s="23" t="str">
        <f t="shared" si="17"/>
        <v/>
      </c>
      <c r="M132" t="str" cm="1">
        <f t="array" ref="M132">IF(COUNT(INDEX(FIND(ROW($1:$10)-1,K132),)),VALUE(MID(K132,MIN(SEARCH({1,2,3,4,5,6,7,8,9,0},K132&amp;1234567890)),LEN(K132)-(LENB(K132)-LEN(K132)))),"")</f>
        <v/>
      </c>
      <c r="N132" t="str">
        <f>IF(L132&lt;&gt;"○",M132,INDEX(G$4:G131,MATCH(L132&amp;M132,F$4:F131,0)))</f>
        <v/>
      </c>
      <c r="O132" t="str">
        <f t="shared" si="18"/>
        <v/>
      </c>
      <c r="Q132" s="4"/>
    </row>
    <row r="133" spans="2:17" x14ac:dyDescent="0.4">
      <c r="B133" t="s">
        <v>21</v>
      </c>
      <c r="C133" t="str">
        <f>IF(G133="","",MAX(C$4:C132)+1)</f>
        <v/>
      </c>
      <c r="D133" t="str">
        <f>IF(AND(N133=""),"",MAX(D$4:D132)+1)</f>
        <v/>
      </c>
      <c r="F133" s="26" t="str">
        <f t="shared" si="11"/>
        <v/>
      </c>
      <c r="G133" s="29" t="str">
        <f t="shared" si="12"/>
        <v/>
      </c>
      <c r="H133" s="20" t="str">
        <f t="shared" si="13"/>
        <v/>
      </c>
      <c r="I133" s="20" t="str">
        <f t="shared" si="14"/>
        <v/>
      </c>
      <c r="J133" s="20" t="str">
        <f t="shared" si="15"/>
        <v/>
      </c>
      <c r="K133" s="31" t="str">
        <f t="shared" si="16"/>
        <v/>
      </c>
      <c r="L133" s="23" t="str">
        <f t="shared" si="17"/>
        <v/>
      </c>
      <c r="M133" t="str" cm="1">
        <f t="array" ref="M133">IF(COUNT(INDEX(FIND(ROW($1:$10)-1,K133),)),VALUE(MID(K133,MIN(SEARCH({1,2,3,4,5,6,7,8,9,0},K133&amp;1234567890)),LEN(K133)-(LENB(K133)-LEN(K133)))),"")</f>
        <v/>
      </c>
      <c r="N133" t="str">
        <f>IF(L133&lt;&gt;"○",M133,INDEX(G$4:G132,MATCH(L133&amp;M133,F$4:F132,0)))</f>
        <v/>
      </c>
      <c r="O133" t="str">
        <f t="shared" si="18"/>
        <v/>
      </c>
      <c r="Q133" s="4"/>
    </row>
    <row r="134" spans="2:17" x14ac:dyDescent="0.4">
      <c r="B134" t="s">
        <v>21</v>
      </c>
      <c r="C134" t="str">
        <f>IF(G134="","",MAX(C$4:C133)+1)</f>
        <v/>
      </c>
      <c r="D134" t="str">
        <f>IF(AND(N134=""),"",MAX(D$4:D133)+1)</f>
        <v/>
      </c>
      <c r="F134" s="26" t="str">
        <f t="shared" si="11"/>
        <v/>
      </c>
      <c r="G134" s="29" t="str">
        <f t="shared" si="12"/>
        <v/>
      </c>
      <c r="H134" s="20" t="str">
        <f t="shared" si="13"/>
        <v/>
      </c>
      <c r="I134" s="20" t="str">
        <f t="shared" si="14"/>
        <v/>
      </c>
      <c r="J134" s="20" t="str">
        <f t="shared" si="15"/>
        <v/>
      </c>
      <c r="K134" s="31" t="str">
        <f t="shared" si="16"/>
        <v/>
      </c>
      <c r="L134" s="23" t="str">
        <f t="shared" si="17"/>
        <v/>
      </c>
      <c r="M134" t="str" cm="1">
        <f t="array" ref="M134">IF(COUNT(INDEX(FIND(ROW($1:$10)-1,K134),)),VALUE(MID(K134,MIN(SEARCH({1,2,3,4,5,6,7,8,9,0},K134&amp;1234567890)),LEN(K134)-(LENB(K134)-LEN(K134)))),"")</f>
        <v/>
      </c>
      <c r="N134" t="str">
        <f>IF(L134&lt;&gt;"○",M134,INDEX(G$4:G133,MATCH(L134&amp;M134,F$4:F133,0)))</f>
        <v/>
      </c>
      <c r="O134" t="str">
        <f t="shared" si="18"/>
        <v/>
      </c>
      <c r="Q134" s="4"/>
    </row>
    <row r="135" spans="2:17" x14ac:dyDescent="0.4">
      <c r="B135" t="s">
        <v>21</v>
      </c>
      <c r="C135" t="str">
        <f>IF(G135="","",MAX(C$4:C134)+1)</f>
        <v/>
      </c>
      <c r="D135" t="str">
        <f>IF(AND(N135=""),"",MAX(D$4:D134)+1)</f>
        <v/>
      </c>
      <c r="F135" s="26" t="str">
        <f t="shared" si="11"/>
        <v/>
      </c>
      <c r="G135" s="29" t="str">
        <f t="shared" si="12"/>
        <v/>
      </c>
      <c r="H135" s="20" t="str">
        <f t="shared" si="13"/>
        <v/>
      </c>
      <c r="I135" s="20" t="str">
        <f t="shared" si="14"/>
        <v/>
      </c>
      <c r="J135" s="20" t="str">
        <f t="shared" si="15"/>
        <v/>
      </c>
      <c r="K135" s="31" t="str">
        <f t="shared" si="16"/>
        <v/>
      </c>
      <c r="L135" s="23" t="str">
        <f t="shared" si="17"/>
        <v/>
      </c>
      <c r="M135" t="str" cm="1">
        <f t="array" ref="M135">IF(COUNT(INDEX(FIND(ROW($1:$10)-1,K135),)),VALUE(MID(K135,MIN(SEARCH({1,2,3,4,5,6,7,8,9,0},K135&amp;1234567890)),LEN(K135)-(LENB(K135)-LEN(K135)))),"")</f>
        <v/>
      </c>
      <c r="N135" t="str">
        <f>IF(L135&lt;&gt;"○",M135,INDEX(G$4:G134,MATCH(L135&amp;M135,F$4:F134,0)))</f>
        <v/>
      </c>
      <c r="O135" t="str">
        <f t="shared" si="18"/>
        <v/>
      </c>
      <c r="Q135" s="4"/>
    </row>
    <row r="136" spans="2:17" x14ac:dyDescent="0.4">
      <c r="B136" t="s">
        <v>21</v>
      </c>
      <c r="C136" t="str">
        <f>IF(G136="","",MAX(C$4:C135)+1)</f>
        <v/>
      </c>
      <c r="D136" t="str">
        <f>IF(AND(N136=""),"",MAX(D$4:D135)+1)</f>
        <v/>
      </c>
      <c r="F136" s="26" t="str">
        <f t="shared" si="11"/>
        <v/>
      </c>
      <c r="G136" s="29" t="str">
        <f t="shared" si="12"/>
        <v/>
      </c>
      <c r="H136" s="20" t="str">
        <f t="shared" si="13"/>
        <v/>
      </c>
      <c r="I136" s="20" t="str">
        <f t="shared" si="14"/>
        <v/>
      </c>
      <c r="J136" s="20" t="str">
        <f t="shared" si="15"/>
        <v/>
      </c>
      <c r="K136" s="31" t="str">
        <f t="shared" si="16"/>
        <v/>
      </c>
      <c r="L136" s="23" t="str">
        <f t="shared" si="17"/>
        <v/>
      </c>
      <c r="M136" t="str" cm="1">
        <f t="array" ref="M136">IF(COUNT(INDEX(FIND(ROW($1:$10)-1,K136),)),VALUE(MID(K136,MIN(SEARCH({1,2,3,4,5,6,7,8,9,0},K136&amp;1234567890)),LEN(K136)-(LENB(K136)-LEN(K136)))),"")</f>
        <v/>
      </c>
      <c r="N136" t="str">
        <f>IF(L136&lt;&gt;"○",M136,INDEX(G$4:G135,MATCH(L136&amp;M136,F$4:F135,0)))</f>
        <v/>
      </c>
      <c r="O136" t="str">
        <f t="shared" si="18"/>
        <v/>
      </c>
      <c r="Q136" s="4"/>
    </row>
    <row r="137" spans="2:17" x14ac:dyDescent="0.4">
      <c r="B137" t="s">
        <v>21</v>
      </c>
      <c r="C137" t="str">
        <f>IF(G137="","",MAX(C$4:C136)+1)</f>
        <v/>
      </c>
      <c r="D137" t="str">
        <f>IF(AND(N137=""),"",MAX(D$4:D136)+1)</f>
        <v/>
      </c>
      <c r="F137" s="26" t="str">
        <f t="shared" ref="F137:F199" si="19">IF(G137&lt;&gt;"",R137&amp;S137,"")</f>
        <v/>
      </c>
      <c r="G137" s="29" t="str">
        <f t="shared" ref="G137:G199" si="20">IF(AND((S137 &lt;&gt; ""),(S137 &gt;= 0)), ABS(IF(OR((R137=""),(R137="　")), S137, T137)), "")</f>
        <v/>
      </c>
      <c r="H137" s="20" t="str">
        <f t="shared" ref="H137:H199" si="21">IF(OR((R137=""),(R137="　")),IF(G137 &lt;&gt; "", T137, ""),IF(G137 &lt;&gt; "", U137, ""))</f>
        <v/>
      </c>
      <c r="I137" s="20" t="str">
        <f t="shared" ref="I137:I199" si="22">IF(G137 &lt;&gt; "", IF(COUNTIF(IF(OR((R137=""),(R137="　")), U137, V137),"*男*"),"男性",IF(COUNTIF(IF(OR((R137=""),(R137="　")), U137, V137),"*女*"),"女性","ー")),"")</f>
        <v/>
      </c>
      <c r="J137" s="20" t="str">
        <f t="shared" ref="J137:J199" si="23">IF(G137 &lt;&gt; "", IF(OR((R137=""),(R137="　")), V137, W137),"")</f>
        <v/>
      </c>
      <c r="K137" s="31" t="str">
        <f t="shared" ref="K137:K199" si="24">SUBSTITUTE(IF(OR(G137 &lt;&gt; "",AA137&lt;&gt; "",AB137&lt;&gt; ""), IF(OR((R137=""),(R137="　")), IF(AB137&lt;&gt;"", AB137, ""), AA137), IF(AND((AA137 &lt;&gt; ""), (R137&lt;&gt;""), (R137&lt;&gt;"　")), AA137, ""))," ","")</f>
        <v/>
      </c>
      <c r="L137" s="23" t="str">
        <f t="shared" ref="L137:L199" si="25">IF(COUNTIF(K137,"*市*"),"○","")</f>
        <v/>
      </c>
      <c r="M137" t="str" cm="1">
        <f t="array" ref="M137">IF(COUNT(INDEX(FIND(ROW($1:$10)-1,K137),)),VALUE(MID(K137,MIN(SEARCH({1,2,3,4,5,6,7,8,9,0},K137&amp;1234567890)),LEN(K137)-(LENB(K137)-LEN(K137)))),"")</f>
        <v/>
      </c>
      <c r="N137" t="str">
        <f>IF(L137&lt;&gt;"○",M137,INDEX(G$4:G136,MATCH(L137&amp;M137,F$4:F136,0)))</f>
        <v/>
      </c>
      <c r="O137" t="str">
        <f t="shared" ref="O137:O199" si="26">IF(M137 &lt;&gt; "",
IF(NOT(ISERROR(RIGHT(K137, LEN(K137)-LEN(M137)-1-FIND(M137&amp;"例目の", K137)))),RIGHT(K137, LEN(K137)-LEN(M137)-2-FIND(M137&amp;"例目の", K137)),
IF(NOT(ISERROR(RIGHT(K137, LEN(K137)-LEN(M137)-1-FIND(M137&amp;"例と", K137)))),RIGHT(K137, LEN(K137)-LEN(M137)-1-FIND(M137&amp;"例と", K137)),
IF(NOT(ISERROR(RIGHT(K137, LEN(K137)-LEN(M137)-1-FIND(M137&amp;"例の", K137)))),RIGHT(K137, LEN(K137)-LEN(M137)-1-FIND(M137&amp;"例の", K137)),
IF(NOT(ISERROR(RIGHT(K137, LEN(K137)-LEN(M137)-1-FIND(M137&amp;"の", K137)))),RIGHT(K137, LEN(K137)-LEN(M137)-FIND(M137&amp;"の", K137)),
IF(NOT(ISERROR(RIGHT(K137, LEN(K137)-LEN(M137)-1-FIND(M137&amp;"例", K137)))),RIGHT(K137, LEN(K137)-LEN(M137)-FIND(M137&amp;"例", K137)),
IF(NOT(ISERROR(RIGHT(K137, LEN(K137)-LEN(M137)-1-FIND(M137, K137)))),RIGHT(K137, LEN(K137)-LEN(M137)+1-FIND(M137, K137)),
"")))))), "")</f>
        <v/>
      </c>
      <c r="Q137" s="4"/>
    </row>
    <row r="138" spans="2:17" x14ac:dyDescent="0.4">
      <c r="B138" t="s">
        <v>21</v>
      </c>
      <c r="C138" t="str">
        <f>IF(G138="","",MAX(C$4:C137)+1)</f>
        <v/>
      </c>
      <c r="D138" t="str">
        <f>IF(AND(N138=""),"",MAX(D$4:D137)+1)</f>
        <v/>
      </c>
      <c r="F138" s="26" t="str">
        <f t="shared" si="19"/>
        <v/>
      </c>
      <c r="G138" s="29" t="str">
        <f t="shared" si="20"/>
        <v/>
      </c>
      <c r="H138" s="20" t="str">
        <f t="shared" si="21"/>
        <v/>
      </c>
      <c r="I138" s="20" t="str">
        <f t="shared" si="22"/>
        <v/>
      </c>
      <c r="J138" s="20" t="str">
        <f t="shared" si="23"/>
        <v/>
      </c>
      <c r="K138" s="31" t="str">
        <f t="shared" si="24"/>
        <v/>
      </c>
      <c r="L138" s="23" t="str">
        <f t="shared" si="25"/>
        <v/>
      </c>
      <c r="M138" t="str" cm="1">
        <f t="array" ref="M138">IF(COUNT(INDEX(FIND(ROW($1:$10)-1,K138),)),VALUE(MID(K138,MIN(SEARCH({1,2,3,4,5,6,7,8,9,0},K138&amp;1234567890)),LEN(K138)-(LENB(K138)-LEN(K138)))),"")</f>
        <v/>
      </c>
      <c r="N138" t="str">
        <f>IF(L138&lt;&gt;"○",M138,INDEX(G$4:G137,MATCH(L138&amp;M138,F$4:F137,0)))</f>
        <v/>
      </c>
      <c r="O138" t="str">
        <f t="shared" si="26"/>
        <v/>
      </c>
      <c r="Q138" s="4"/>
    </row>
    <row r="139" spans="2:17" x14ac:dyDescent="0.4">
      <c r="B139" t="s">
        <v>21</v>
      </c>
      <c r="C139" t="str">
        <f>IF(G139="","",MAX(C$4:C138)+1)</f>
        <v/>
      </c>
      <c r="D139" t="str">
        <f>IF(AND(N139=""),"",MAX(D$4:D138)+1)</f>
        <v/>
      </c>
      <c r="F139" s="26" t="str">
        <f t="shared" si="19"/>
        <v/>
      </c>
      <c r="G139" s="29" t="str">
        <f t="shared" si="20"/>
        <v/>
      </c>
      <c r="H139" s="20" t="str">
        <f t="shared" si="21"/>
        <v/>
      </c>
      <c r="I139" s="20" t="str">
        <f t="shared" si="22"/>
        <v/>
      </c>
      <c r="J139" s="20" t="str">
        <f t="shared" si="23"/>
        <v/>
      </c>
      <c r="K139" s="31" t="str">
        <f t="shared" si="24"/>
        <v/>
      </c>
      <c r="L139" s="23" t="str">
        <f t="shared" si="25"/>
        <v/>
      </c>
      <c r="M139" t="str" cm="1">
        <f t="array" ref="M139">IF(COUNT(INDEX(FIND(ROW($1:$10)-1,K139),)),VALUE(MID(K139,MIN(SEARCH({1,2,3,4,5,6,7,8,9,0},K139&amp;1234567890)),LEN(K139)-(LENB(K139)-LEN(K139)))),"")</f>
        <v/>
      </c>
      <c r="N139" t="str">
        <f>IF(L139&lt;&gt;"○",M139,INDEX(G$4:G138,MATCH(L139&amp;M139,F$4:F138,0)))</f>
        <v/>
      </c>
      <c r="O139" t="str">
        <f t="shared" si="26"/>
        <v/>
      </c>
      <c r="Q139" s="4"/>
    </row>
    <row r="140" spans="2:17" x14ac:dyDescent="0.4">
      <c r="B140" t="s">
        <v>21</v>
      </c>
      <c r="C140" t="str">
        <f>IF(G140="","",MAX(C$4:C139)+1)</f>
        <v/>
      </c>
      <c r="D140" t="str">
        <f>IF(AND(N140=""),"",MAX(D$4:D139)+1)</f>
        <v/>
      </c>
      <c r="F140" s="26" t="str">
        <f t="shared" si="19"/>
        <v/>
      </c>
      <c r="G140" s="29" t="str">
        <f t="shared" si="20"/>
        <v/>
      </c>
      <c r="H140" s="20" t="str">
        <f t="shared" si="21"/>
        <v/>
      </c>
      <c r="I140" s="20" t="str">
        <f t="shared" si="22"/>
        <v/>
      </c>
      <c r="J140" s="20" t="str">
        <f t="shared" si="23"/>
        <v/>
      </c>
      <c r="K140" s="31" t="str">
        <f t="shared" si="24"/>
        <v/>
      </c>
      <c r="L140" s="23" t="str">
        <f t="shared" si="25"/>
        <v/>
      </c>
      <c r="M140" t="str" cm="1">
        <f t="array" ref="M140">IF(COUNT(INDEX(FIND(ROW($1:$10)-1,K140),)),VALUE(MID(K140,MIN(SEARCH({1,2,3,4,5,6,7,8,9,0},K140&amp;1234567890)),LEN(K140)-(LENB(K140)-LEN(K140)))),"")</f>
        <v/>
      </c>
      <c r="N140" t="str">
        <f>IF(L140&lt;&gt;"○",M140,INDEX(G$4:G139,MATCH(L140&amp;M140,F$4:F139,0)))</f>
        <v/>
      </c>
      <c r="O140" t="str">
        <f t="shared" si="26"/>
        <v/>
      </c>
      <c r="Q140" s="4"/>
    </row>
    <row r="141" spans="2:17" x14ac:dyDescent="0.4">
      <c r="B141" t="s">
        <v>21</v>
      </c>
      <c r="C141" t="str">
        <f>IF(G141="","",MAX(C$4:C140)+1)</f>
        <v/>
      </c>
      <c r="D141" t="str">
        <f>IF(AND(N141=""),"",MAX(D$4:D140)+1)</f>
        <v/>
      </c>
      <c r="F141" s="26" t="str">
        <f t="shared" si="19"/>
        <v/>
      </c>
      <c r="G141" s="29" t="str">
        <f t="shared" si="20"/>
        <v/>
      </c>
      <c r="H141" s="20" t="str">
        <f t="shared" si="21"/>
        <v/>
      </c>
      <c r="I141" s="20" t="str">
        <f t="shared" si="22"/>
        <v/>
      </c>
      <c r="J141" s="20" t="str">
        <f t="shared" si="23"/>
        <v/>
      </c>
      <c r="K141" s="31" t="str">
        <f t="shared" si="24"/>
        <v/>
      </c>
      <c r="L141" s="23" t="str">
        <f t="shared" si="25"/>
        <v/>
      </c>
      <c r="M141" t="str" cm="1">
        <f t="array" ref="M141">IF(COUNT(INDEX(FIND(ROW($1:$10)-1,K141),)),VALUE(MID(K141,MIN(SEARCH({1,2,3,4,5,6,7,8,9,0},K141&amp;1234567890)),LEN(K141)-(LENB(K141)-LEN(K141)))),"")</f>
        <v/>
      </c>
      <c r="N141" t="str">
        <f>IF(L141&lt;&gt;"○",M141,INDEX(G$4:G140,MATCH(L141&amp;M141,F$4:F140,0)))</f>
        <v/>
      </c>
      <c r="O141" t="str">
        <f t="shared" si="26"/>
        <v/>
      </c>
      <c r="Q141" s="4"/>
    </row>
    <row r="142" spans="2:17" x14ac:dyDescent="0.4">
      <c r="B142" t="s">
        <v>21</v>
      </c>
      <c r="C142" t="str">
        <f>IF(G142="","",MAX(C$4:C141)+1)</f>
        <v/>
      </c>
      <c r="D142" t="str">
        <f>IF(AND(N142=""),"",MAX(D$4:D141)+1)</f>
        <v/>
      </c>
      <c r="F142" s="26" t="str">
        <f t="shared" si="19"/>
        <v/>
      </c>
      <c r="G142" s="29" t="str">
        <f t="shared" si="20"/>
        <v/>
      </c>
      <c r="H142" s="20" t="str">
        <f t="shared" si="21"/>
        <v/>
      </c>
      <c r="I142" s="20" t="str">
        <f t="shared" si="22"/>
        <v/>
      </c>
      <c r="J142" s="20" t="str">
        <f t="shared" si="23"/>
        <v/>
      </c>
      <c r="K142" s="31" t="str">
        <f t="shared" si="24"/>
        <v/>
      </c>
      <c r="L142" s="23" t="str">
        <f t="shared" si="25"/>
        <v/>
      </c>
      <c r="M142" t="str" cm="1">
        <f t="array" ref="M142">IF(COUNT(INDEX(FIND(ROW($1:$10)-1,K142),)),VALUE(MID(K142,MIN(SEARCH({1,2,3,4,5,6,7,8,9,0},K142&amp;1234567890)),LEN(K142)-(LENB(K142)-LEN(K142)))),"")</f>
        <v/>
      </c>
      <c r="N142" t="str">
        <f>IF(L142&lt;&gt;"○",M142,INDEX(G$4:G141,MATCH(L142&amp;M142,F$4:F141,0)))</f>
        <v/>
      </c>
      <c r="O142" t="str">
        <f t="shared" si="26"/>
        <v/>
      </c>
      <c r="Q142" s="4"/>
    </row>
    <row r="143" spans="2:17" x14ac:dyDescent="0.4">
      <c r="B143" t="s">
        <v>21</v>
      </c>
      <c r="C143" t="str">
        <f>IF(G143="","",MAX(C$4:C142)+1)</f>
        <v/>
      </c>
      <c r="D143" t="str">
        <f>IF(AND(N143=""),"",MAX(D$4:D142)+1)</f>
        <v/>
      </c>
      <c r="F143" s="26" t="str">
        <f t="shared" si="19"/>
        <v/>
      </c>
      <c r="G143" s="29" t="str">
        <f t="shared" si="20"/>
        <v/>
      </c>
      <c r="H143" s="20" t="str">
        <f t="shared" si="21"/>
        <v/>
      </c>
      <c r="I143" s="20" t="str">
        <f t="shared" si="22"/>
        <v/>
      </c>
      <c r="J143" s="20" t="str">
        <f t="shared" si="23"/>
        <v/>
      </c>
      <c r="K143" s="31" t="str">
        <f t="shared" si="24"/>
        <v/>
      </c>
      <c r="L143" s="23" t="str">
        <f t="shared" si="25"/>
        <v/>
      </c>
      <c r="M143" t="str" cm="1">
        <f t="array" ref="M143">IF(COUNT(INDEX(FIND(ROW($1:$10)-1,K143),)),VALUE(MID(K143,MIN(SEARCH({1,2,3,4,5,6,7,8,9,0},K143&amp;1234567890)),LEN(K143)-(LENB(K143)-LEN(K143)))),"")</f>
        <v/>
      </c>
      <c r="N143" t="str">
        <f>IF(L143&lt;&gt;"○",M143,INDEX(G$4:G142,MATCH(L143&amp;M143,F$4:F142,0)))</f>
        <v/>
      </c>
      <c r="O143" t="str">
        <f t="shared" si="26"/>
        <v/>
      </c>
      <c r="Q143" s="4"/>
    </row>
    <row r="144" spans="2:17" x14ac:dyDescent="0.4">
      <c r="B144" t="s">
        <v>21</v>
      </c>
      <c r="C144" t="str">
        <f>IF(G144="","",MAX(C$4:C143)+1)</f>
        <v/>
      </c>
      <c r="D144" t="str">
        <f>IF(AND(N144=""),"",MAX(D$4:D143)+1)</f>
        <v/>
      </c>
      <c r="F144" s="26" t="str">
        <f t="shared" si="19"/>
        <v/>
      </c>
      <c r="G144" s="29" t="str">
        <f t="shared" si="20"/>
        <v/>
      </c>
      <c r="H144" s="20" t="str">
        <f t="shared" si="21"/>
        <v/>
      </c>
      <c r="I144" s="20" t="str">
        <f t="shared" si="22"/>
        <v/>
      </c>
      <c r="J144" s="20" t="str">
        <f t="shared" si="23"/>
        <v/>
      </c>
      <c r="K144" s="31" t="str">
        <f t="shared" si="24"/>
        <v/>
      </c>
      <c r="L144" s="23" t="str">
        <f t="shared" si="25"/>
        <v/>
      </c>
      <c r="M144" t="str" cm="1">
        <f t="array" ref="M144">IF(COUNT(INDEX(FIND(ROW($1:$10)-1,K144),)),VALUE(MID(K144,MIN(SEARCH({1,2,3,4,5,6,7,8,9,0},K144&amp;1234567890)),LEN(K144)-(LENB(K144)-LEN(K144)))),"")</f>
        <v/>
      </c>
      <c r="N144" t="str">
        <f>IF(L144&lt;&gt;"○",M144,INDEX(G$4:G143,MATCH(L144&amp;M144,F$4:F143,0)))</f>
        <v/>
      </c>
      <c r="O144" t="str">
        <f t="shared" si="26"/>
        <v/>
      </c>
      <c r="Q144" s="4"/>
    </row>
    <row r="145" spans="2:17" x14ac:dyDescent="0.4">
      <c r="B145" t="s">
        <v>21</v>
      </c>
      <c r="C145" t="str">
        <f>IF(G145="","",MAX(C$4:C144)+1)</f>
        <v/>
      </c>
      <c r="D145" t="str">
        <f>IF(AND(N145=""),"",MAX(D$4:D144)+1)</f>
        <v/>
      </c>
      <c r="F145" s="26" t="str">
        <f t="shared" si="19"/>
        <v/>
      </c>
      <c r="G145" s="29" t="str">
        <f t="shared" si="20"/>
        <v/>
      </c>
      <c r="H145" s="20" t="str">
        <f t="shared" si="21"/>
        <v/>
      </c>
      <c r="I145" s="20" t="str">
        <f t="shared" si="22"/>
        <v/>
      </c>
      <c r="J145" s="20" t="str">
        <f t="shared" si="23"/>
        <v/>
      </c>
      <c r="K145" s="31" t="str">
        <f t="shared" si="24"/>
        <v/>
      </c>
      <c r="L145" s="23" t="str">
        <f t="shared" si="25"/>
        <v/>
      </c>
      <c r="M145" t="str" cm="1">
        <f t="array" ref="M145">IF(COUNT(INDEX(FIND(ROW($1:$10)-1,K145),)),VALUE(MID(K145,MIN(SEARCH({1,2,3,4,5,6,7,8,9,0},K145&amp;1234567890)),LEN(K145)-(LENB(K145)-LEN(K145)))),"")</f>
        <v/>
      </c>
      <c r="N145" t="str">
        <f>IF(L145&lt;&gt;"○",M145,INDEX(G$4:G144,MATCH(L145&amp;M145,F$4:F144,0)))</f>
        <v/>
      </c>
      <c r="O145" t="str">
        <f t="shared" si="26"/>
        <v/>
      </c>
      <c r="Q145" s="4"/>
    </row>
    <row r="146" spans="2:17" x14ac:dyDescent="0.4">
      <c r="B146" t="s">
        <v>21</v>
      </c>
      <c r="C146" t="str">
        <f>IF(G146="","",MAX(C$4:C145)+1)</f>
        <v/>
      </c>
      <c r="D146" t="str">
        <f>IF(AND(N146=""),"",MAX(D$4:D145)+1)</f>
        <v/>
      </c>
      <c r="F146" s="26" t="str">
        <f t="shared" si="19"/>
        <v/>
      </c>
      <c r="G146" s="29" t="str">
        <f t="shared" si="20"/>
        <v/>
      </c>
      <c r="H146" s="20" t="str">
        <f t="shared" si="21"/>
        <v/>
      </c>
      <c r="I146" s="20" t="str">
        <f t="shared" si="22"/>
        <v/>
      </c>
      <c r="J146" s="20" t="str">
        <f t="shared" si="23"/>
        <v/>
      </c>
      <c r="K146" s="31" t="str">
        <f t="shared" si="24"/>
        <v/>
      </c>
      <c r="L146" s="23" t="str">
        <f t="shared" si="25"/>
        <v/>
      </c>
      <c r="M146" t="str" cm="1">
        <f t="array" ref="M146">IF(COUNT(INDEX(FIND(ROW($1:$10)-1,K146),)),VALUE(MID(K146,MIN(SEARCH({1,2,3,4,5,6,7,8,9,0},K146&amp;1234567890)),LEN(K146)-(LENB(K146)-LEN(K146)))),"")</f>
        <v/>
      </c>
      <c r="N146" t="str">
        <f>IF(L146&lt;&gt;"○",M146,INDEX(G$4:G145,MATCH(L146&amp;M146,F$4:F145,0)))</f>
        <v/>
      </c>
      <c r="O146" t="str">
        <f t="shared" si="26"/>
        <v/>
      </c>
      <c r="Q146" s="4"/>
    </row>
    <row r="147" spans="2:17" x14ac:dyDescent="0.4">
      <c r="B147" t="s">
        <v>21</v>
      </c>
      <c r="C147" t="str">
        <f>IF(G147="","",MAX(C$4:C146)+1)</f>
        <v/>
      </c>
      <c r="D147" t="str">
        <f>IF(AND(N147=""),"",MAX(D$4:D146)+1)</f>
        <v/>
      </c>
      <c r="F147" s="26" t="str">
        <f t="shared" si="19"/>
        <v/>
      </c>
      <c r="G147" s="29" t="str">
        <f t="shared" si="20"/>
        <v/>
      </c>
      <c r="H147" s="20" t="str">
        <f t="shared" si="21"/>
        <v/>
      </c>
      <c r="I147" s="20" t="str">
        <f t="shared" si="22"/>
        <v/>
      </c>
      <c r="J147" s="20" t="str">
        <f t="shared" si="23"/>
        <v/>
      </c>
      <c r="K147" s="31" t="str">
        <f t="shared" si="24"/>
        <v/>
      </c>
      <c r="L147" s="23" t="str">
        <f t="shared" si="25"/>
        <v/>
      </c>
      <c r="M147" t="str" cm="1">
        <f t="array" ref="M147">IF(COUNT(INDEX(FIND(ROW($1:$10)-1,K147),)),VALUE(MID(K147,MIN(SEARCH({1,2,3,4,5,6,7,8,9,0},K147&amp;1234567890)),LEN(K147)-(LENB(K147)-LEN(K147)))),"")</f>
        <v/>
      </c>
      <c r="N147" t="str">
        <f>IF(L147&lt;&gt;"○",M147,INDEX(G$4:G146,MATCH(L147&amp;M147,F$4:F146,0)))</f>
        <v/>
      </c>
      <c r="O147" t="str">
        <f t="shared" si="26"/>
        <v/>
      </c>
      <c r="Q147" s="4"/>
    </row>
    <row r="148" spans="2:17" x14ac:dyDescent="0.4">
      <c r="B148" t="s">
        <v>21</v>
      </c>
      <c r="C148" t="str">
        <f>IF(G148="","",MAX(C$4:C147)+1)</f>
        <v/>
      </c>
      <c r="D148" t="str">
        <f>IF(AND(N148=""),"",MAX(D$4:D147)+1)</f>
        <v/>
      </c>
      <c r="F148" s="26" t="str">
        <f t="shared" si="19"/>
        <v/>
      </c>
      <c r="G148" s="29" t="str">
        <f t="shared" si="20"/>
        <v/>
      </c>
      <c r="H148" s="20" t="str">
        <f t="shared" si="21"/>
        <v/>
      </c>
      <c r="I148" s="20" t="str">
        <f t="shared" si="22"/>
        <v/>
      </c>
      <c r="J148" s="20" t="str">
        <f t="shared" si="23"/>
        <v/>
      </c>
      <c r="K148" s="31" t="str">
        <f t="shared" si="24"/>
        <v/>
      </c>
      <c r="L148" s="23" t="str">
        <f t="shared" si="25"/>
        <v/>
      </c>
      <c r="M148" t="str" cm="1">
        <f t="array" ref="M148">IF(COUNT(INDEX(FIND(ROW($1:$10)-1,K148),)),VALUE(MID(K148,MIN(SEARCH({1,2,3,4,5,6,7,8,9,0},K148&amp;1234567890)),LEN(K148)-(LENB(K148)-LEN(K148)))),"")</f>
        <v/>
      </c>
      <c r="N148" t="str">
        <f>IF(L148&lt;&gt;"○",M148,INDEX(G$4:G147,MATCH(L148&amp;M148,F$4:F147,0)))</f>
        <v/>
      </c>
      <c r="O148" t="str">
        <f t="shared" si="26"/>
        <v/>
      </c>
      <c r="Q148" s="4"/>
    </row>
    <row r="149" spans="2:17" x14ac:dyDescent="0.4">
      <c r="B149" t="s">
        <v>21</v>
      </c>
      <c r="C149" t="str">
        <f>IF(G149="","",MAX(C$4:C148)+1)</f>
        <v/>
      </c>
      <c r="D149" t="str">
        <f>IF(AND(N149=""),"",MAX(D$4:D148)+1)</f>
        <v/>
      </c>
      <c r="F149" s="26" t="str">
        <f t="shared" si="19"/>
        <v/>
      </c>
      <c r="G149" s="29" t="str">
        <f t="shared" si="20"/>
        <v/>
      </c>
      <c r="H149" s="20" t="str">
        <f t="shared" si="21"/>
        <v/>
      </c>
      <c r="I149" s="20" t="str">
        <f t="shared" si="22"/>
        <v/>
      </c>
      <c r="J149" s="20" t="str">
        <f t="shared" si="23"/>
        <v/>
      </c>
      <c r="K149" s="31" t="str">
        <f t="shared" si="24"/>
        <v/>
      </c>
      <c r="L149" s="23" t="str">
        <f t="shared" si="25"/>
        <v/>
      </c>
      <c r="M149" t="str" cm="1">
        <f t="array" ref="M149">IF(COUNT(INDEX(FIND(ROW($1:$10)-1,K149),)),VALUE(MID(K149,MIN(SEARCH({1,2,3,4,5,6,7,8,9,0},K149&amp;1234567890)),LEN(K149)-(LENB(K149)-LEN(K149)))),"")</f>
        <v/>
      </c>
      <c r="N149" t="str">
        <f>IF(L149&lt;&gt;"○",M149,INDEX(G$4:G148,MATCH(L149&amp;M149,F$4:F148,0)))</f>
        <v/>
      </c>
      <c r="O149" t="str">
        <f t="shared" si="26"/>
        <v/>
      </c>
      <c r="Q149" s="4"/>
    </row>
    <row r="150" spans="2:17" x14ac:dyDescent="0.4">
      <c r="B150" t="s">
        <v>21</v>
      </c>
      <c r="C150" t="str">
        <f>IF(G150="","",MAX(C$4:C149)+1)</f>
        <v/>
      </c>
      <c r="D150" t="str">
        <f>IF(AND(N150=""),"",MAX(D$4:D149)+1)</f>
        <v/>
      </c>
      <c r="F150" s="26" t="str">
        <f t="shared" si="19"/>
        <v/>
      </c>
      <c r="G150" s="29" t="str">
        <f t="shared" si="20"/>
        <v/>
      </c>
      <c r="H150" s="20" t="str">
        <f t="shared" si="21"/>
        <v/>
      </c>
      <c r="I150" s="20" t="str">
        <f t="shared" si="22"/>
        <v/>
      </c>
      <c r="J150" s="20" t="str">
        <f t="shared" si="23"/>
        <v/>
      </c>
      <c r="K150" s="31" t="str">
        <f t="shared" si="24"/>
        <v/>
      </c>
      <c r="L150" s="23" t="str">
        <f t="shared" si="25"/>
        <v/>
      </c>
      <c r="M150" t="str" cm="1">
        <f t="array" ref="M150">IF(COUNT(INDEX(FIND(ROW($1:$10)-1,K150),)),VALUE(MID(K150,MIN(SEARCH({1,2,3,4,5,6,7,8,9,0},K150&amp;1234567890)),LEN(K150)-(LENB(K150)-LEN(K150)))),"")</f>
        <v/>
      </c>
      <c r="N150" t="str">
        <f>IF(L150&lt;&gt;"○",M150,INDEX(G$4:G149,MATCH(L150&amp;M150,F$4:F149,0)))</f>
        <v/>
      </c>
      <c r="O150" t="str">
        <f t="shared" si="26"/>
        <v/>
      </c>
      <c r="Q150" s="4"/>
    </row>
    <row r="151" spans="2:17" x14ac:dyDescent="0.4">
      <c r="B151" t="s">
        <v>21</v>
      </c>
      <c r="C151" t="str">
        <f>IF(G151="","",MAX(C$4:C150)+1)</f>
        <v/>
      </c>
      <c r="D151" t="str">
        <f>IF(AND(N151=""),"",MAX(D$4:D150)+1)</f>
        <v/>
      </c>
      <c r="F151" s="26" t="str">
        <f t="shared" si="19"/>
        <v/>
      </c>
      <c r="G151" s="29" t="str">
        <f t="shared" si="20"/>
        <v/>
      </c>
      <c r="H151" s="20" t="str">
        <f t="shared" si="21"/>
        <v/>
      </c>
      <c r="I151" s="20" t="str">
        <f t="shared" si="22"/>
        <v/>
      </c>
      <c r="J151" s="20" t="str">
        <f t="shared" si="23"/>
        <v/>
      </c>
      <c r="K151" s="31" t="str">
        <f t="shared" si="24"/>
        <v/>
      </c>
      <c r="L151" s="23" t="str">
        <f t="shared" si="25"/>
        <v/>
      </c>
      <c r="M151" t="str" cm="1">
        <f t="array" ref="M151">IF(COUNT(INDEX(FIND(ROW($1:$10)-1,K151),)),VALUE(MID(K151,MIN(SEARCH({1,2,3,4,5,6,7,8,9,0},K151&amp;1234567890)),LEN(K151)-(LENB(K151)-LEN(K151)))),"")</f>
        <v/>
      </c>
      <c r="N151" t="str">
        <f>IF(L151&lt;&gt;"○",M151,INDEX(G$4:G150,MATCH(L151&amp;M151,F$4:F150,0)))</f>
        <v/>
      </c>
      <c r="O151" t="str">
        <f t="shared" si="26"/>
        <v/>
      </c>
      <c r="Q151" s="4"/>
    </row>
    <row r="152" spans="2:17" x14ac:dyDescent="0.4">
      <c r="B152" t="s">
        <v>21</v>
      </c>
      <c r="C152" t="str">
        <f>IF(G152="","",MAX(C$4:C151)+1)</f>
        <v/>
      </c>
      <c r="D152" t="str">
        <f>IF(AND(N152=""),"",MAX(D$4:D151)+1)</f>
        <v/>
      </c>
      <c r="F152" s="26" t="str">
        <f t="shared" si="19"/>
        <v/>
      </c>
      <c r="G152" s="29" t="str">
        <f t="shared" si="20"/>
        <v/>
      </c>
      <c r="H152" s="20" t="str">
        <f t="shared" si="21"/>
        <v/>
      </c>
      <c r="I152" s="20" t="str">
        <f t="shared" si="22"/>
        <v/>
      </c>
      <c r="J152" s="20" t="str">
        <f t="shared" si="23"/>
        <v/>
      </c>
      <c r="K152" s="31" t="str">
        <f t="shared" si="24"/>
        <v/>
      </c>
      <c r="L152" s="23" t="str">
        <f t="shared" si="25"/>
        <v/>
      </c>
      <c r="M152" t="str" cm="1">
        <f t="array" ref="M152">IF(COUNT(INDEX(FIND(ROW($1:$10)-1,K152),)),VALUE(MID(K152,MIN(SEARCH({1,2,3,4,5,6,7,8,9,0},K152&amp;1234567890)),LEN(K152)-(LENB(K152)-LEN(K152)))),"")</f>
        <v/>
      </c>
      <c r="N152" t="str">
        <f>IF(L152&lt;&gt;"○",M152,INDEX(G$4:G151,MATCH(L152&amp;M152,F$4:F151,0)))</f>
        <v/>
      </c>
      <c r="O152" t="str">
        <f t="shared" si="26"/>
        <v/>
      </c>
      <c r="Q152" s="4"/>
    </row>
    <row r="153" spans="2:17" x14ac:dyDescent="0.4">
      <c r="B153" t="s">
        <v>21</v>
      </c>
      <c r="C153" t="str">
        <f>IF(G153="","",MAX(C$4:C152)+1)</f>
        <v/>
      </c>
      <c r="D153" t="str">
        <f>IF(AND(N153=""),"",MAX(D$4:D152)+1)</f>
        <v/>
      </c>
      <c r="F153" s="26" t="str">
        <f t="shared" si="19"/>
        <v/>
      </c>
      <c r="G153" s="29" t="str">
        <f t="shared" si="20"/>
        <v/>
      </c>
      <c r="H153" s="20" t="str">
        <f t="shared" si="21"/>
        <v/>
      </c>
      <c r="I153" s="20" t="str">
        <f t="shared" si="22"/>
        <v/>
      </c>
      <c r="J153" s="20" t="str">
        <f t="shared" si="23"/>
        <v/>
      </c>
      <c r="K153" s="31" t="str">
        <f t="shared" si="24"/>
        <v/>
      </c>
      <c r="L153" s="23" t="str">
        <f t="shared" si="25"/>
        <v/>
      </c>
      <c r="M153" t="str" cm="1">
        <f t="array" ref="M153">IF(COUNT(INDEX(FIND(ROW($1:$10)-1,K153),)),VALUE(MID(K153,MIN(SEARCH({1,2,3,4,5,6,7,8,9,0},K153&amp;1234567890)),LEN(K153)-(LENB(K153)-LEN(K153)))),"")</f>
        <v/>
      </c>
      <c r="N153" t="str">
        <f>IF(L153&lt;&gt;"○",M153,INDEX(G$4:G152,MATCH(L153&amp;M153,F$4:F152,0)))</f>
        <v/>
      </c>
      <c r="O153" t="str">
        <f t="shared" si="26"/>
        <v/>
      </c>
      <c r="Q153" s="4"/>
    </row>
    <row r="154" spans="2:17" x14ac:dyDescent="0.4">
      <c r="B154" t="s">
        <v>21</v>
      </c>
      <c r="C154" t="str">
        <f>IF(G154="","",MAX(C$4:C153)+1)</f>
        <v/>
      </c>
      <c r="D154" t="str">
        <f>IF(AND(N154=""),"",MAX(D$4:D153)+1)</f>
        <v/>
      </c>
      <c r="F154" s="26" t="str">
        <f t="shared" si="19"/>
        <v/>
      </c>
      <c r="G154" s="29" t="str">
        <f t="shared" si="20"/>
        <v/>
      </c>
      <c r="H154" s="20" t="str">
        <f t="shared" si="21"/>
        <v/>
      </c>
      <c r="I154" s="20" t="str">
        <f t="shared" si="22"/>
        <v/>
      </c>
      <c r="J154" s="20" t="str">
        <f t="shared" si="23"/>
        <v/>
      </c>
      <c r="K154" s="31" t="str">
        <f t="shared" si="24"/>
        <v/>
      </c>
      <c r="L154" s="23" t="str">
        <f t="shared" si="25"/>
        <v/>
      </c>
      <c r="M154" t="str" cm="1">
        <f t="array" ref="M154">IF(COUNT(INDEX(FIND(ROW($1:$10)-1,K154),)),VALUE(MID(K154,MIN(SEARCH({1,2,3,4,5,6,7,8,9,0},K154&amp;1234567890)),LEN(K154)-(LENB(K154)-LEN(K154)))),"")</f>
        <v/>
      </c>
      <c r="N154" t="str">
        <f>IF(L154&lt;&gt;"○",M154,INDEX(G$4:G153,MATCH(L154&amp;M154,F$4:F153,0)))</f>
        <v/>
      </c>
      <c r="O154" t="str">
        <f t="shared" si="26"/>
        <v/>
      </c>
      <c r="Q154" s="4"/>
    </row>
    <row r="155" spans="2:17" x14ac:dyDescent="0.4">
      <c r="B155" t="s">
        <v>21</v>
      </c>
      <c r="C155" t="str">
        <f>IF(G155="","",MAX(C$4:C154)+1)</f>
        <v/>
      </c>
      <c r="D155" t="str">
        <f>IF(AND(N155=""),"",MAX(D$4:D154)+1)</f>
        <v/>
      </c>
      <c r="F155" s="26" t="str">
        <f t="shared" si="19"/>
        <v/>
      </c>
      <c r="G155" s="29" t="str">
        <f t="shared" si="20"/>
        <v/>
      </c>
      <c r="H155" s="20" t="str">
        <f t="shared" si="21"/>
        <v/>
      </c>
      <c r="I155" s="20" t="str">
        <f t="shared" si="22"/>
        <v/>
      </c>
      <c r="J155" s="20" t="str">
        <f t="shared" si="23"/>
        <v/>
      </c>
      <c r="K155" s="31" t="str">
        <f t="shared" si="24"/>
        <v/>
      </c>
      <c r="L155" s="23" t="str">
        <f t="shared" si="25"/>
        <v/>
      </c>
      <c r="M155" t="str" cm="1">
        <f t="array" ref="M155">IF(COUNT(INDEX(FIND(ROW($1:$10)-1,K155),)),VALUE(MID(K155,MIN(SEARCH({1,2,3,4,5,6,7,8,9,0},K155&amp;1234567890)),LEN(K155)-(LENB(K155)-LEN(K155)))),"")</f>
        <v/>
      </c>
      <c r="N155" t="str">
        <f>IF(L155&lt;&gt;"○",M155,INDEX(G$4:G154,MATCH(L155&amp;M155,F$4:F154,0)))</f>
        <v/>
      </c>
      <c r="O155" t="str">
        <f t="shared" si="26"/>
        <v/>
      </c>
      <c r="Q155" s="4"/>
    </row>
    <row r="156" spans="2:17" x14ac:dyDescent="0.4">
      <c r="B156" t="s">
        <v>21</v>
      </c>
      <c r="C156" t="str">
        <f>IF(G156="","",MAX(C$4:C155)+1)</f>
        <v/>
      </c>
      <c r="D156" t="str">
        <f>IF(AND(N156=""),"",MAX(D$4:D155)+1)</f>
        <v/>
      </c>
      <c r="F156" s="26" t="str">
        <f t="shared" si="19"/>
        <v/>
      </c>
      <c r="G156" s="29" t="str">
        <f t="shared" si="20"/>
        <v/>
      </c>
      <c r="H156" s="20" t="str">
        <f t="shared" si="21"/>
        <v/>
      </c>
      <c r="I156" s="20" t="str">
        <f t="shared" si="22"/>
        <v/>
      </c>
      <c r="J156" s="20" t="str">
        <f t="shared" si="23"/>
        <v/>
      </c>
      <c r="K156" s="31" t="str">
        <f t="shared" si="24"/>
        <v/>
      </c>
      <c r="L156" s="23" t="str">
        <f t="shared" si="25"/>
        <v/>
      </c>
      <c r="M156" t="str" cm="1">
        <f t="array" ref="M156">IF(COUNT(INDEX(FIND(ROW($1:$10)-1,K156),)),VALUE(MID(K156,MIN(SEARCH({1,2,3,4,5,6,7,8,9,0},K156&amp;1234567890)),LEN(K156)-(LENB(K156)-LEN(K156)))),"")</f>
        <v/>
      </c>
      <c r="N156" t="str">
        <f>IF(L156&lt;&gt;"○",M156,INDEX(G$4:G155,MATCH(L156&amp;M156,F$4:F155,0)))</f>
        <v/>
      </c>
      <c r="O156" t="str">
        <f t="shared" si="26"/>
        <v/>
      </c>
      <c r="Q156" s="4"/>
    </row>
    <row r="157" spans="2:17" x14ac:dyDescent="0.4">
      <c r="B157" t="s">
        <v>21</v>
      </c>
      <c r="C157" t="str">
        <f>IF(G157="","",MAX(C$4:C156)+1)</f>
        <v/>
      </c>
      <c r="D157" t="str">
        <f>IF(AND(N157=""),"",MAX(D$4:D156)+1)</f>
        <v/>
      </c>
      <c r="F157" s="26" t="str">
        <f t="shared" si="19"/>
        <v/>
      </c>
      <c r="G157" s="29" t="str">
        <f t="shared" si="20"/>
        <v/>
      </c>
      <c r="H157" s="20" t="str">
        <f t="shared" si="21"/>
        <v/>
      </c>
      <c r="I157" s="20" t="str">
        <f t="shared" si="22"/>
        <v/>
      </c>
      <c r="J157" s="20" t="str">
        <f t="shared" si="23"/>
        <v/>
      </c>
      <c r="K157" s="31" t="str">
        <f t="shared" si="24"/>
        <v/>
      </c>
      <c r="L157" s="23" t="str">
        <f t="shared" si="25"/>
        <v/>
      </c>
      <c r="M157" t="str" cm="1">
        <f t="array" ref="M157">IF(COUNT(INDEX(FIND(ROW($1:$10)-1,K157),)),VALUE(MID(K157,MIN(SEARCH({1,2,3,4,5,6,7,8,9,0},K157&amp;1234567890)),LEN(K157)-(LENB(K157)-LEN(K157)))),"")</f>
        <v/>
      </c>
      <c r="N157" t="str">
        <f>IF(L157&lt;&gt;"○",M157,INDEX(G$4:G156,MATCH(L157&amp;M157,F$4:F156,0)))</f>
        <v/>
      </c>
      <c r="O157" t="str">
        <f t="shared" si="26"/>
        <v/>
      </c>
      <c r="Q157" s="4"/>
    </row>
    <row r="158" spans="2:17" x14ac:dyDescent="0.4">
      <c r="B158" t="s">
        <v>21</v>
      </c>
      <c r="C158" t="str">
        <f>IF(G158="","",MAX(C$4:C157)+1)</f>
        <v/>
      </c>
      <c r="D158" t="str">
        <f>IF(AND(N158=""),"",MAX(D$4:D157)+1)</f>
        <v/>
      </c>
      <c r="F158" s="26" t="str">
        <f t="shared" si="19"/>
        <v/>
      </c>
      <c r="G158" s="29" t="str">
        <f t="shared" si="20"/>
        <v/>
      </c>
      <c r="H158" s="20" t="str">
        <f t="shared" si="21"/>
        <v/>
      </c>
      <c r="I158" s="20" t="str">
        <f t="shared" si="22"/>
        <v/>
      </c>
      <c r="J158" s="20" t="str">
        <f t="shared" si="23"/>
        <v/>
      </c>
      <c r="K158" s="31" t="str">
        <f t="shared" si="24"/>
        <v/>
      </c>
      <c r="L158" s="23" t="str">
        <f t="shared" si="25"/>
        <v/>
      </c>
      <c r="M158" t="str" cm="1">
        <f t="array" ref="M158">IF(COUNT(INDEX(FIND(ROW($1:$10)-1,K158),)),VALUE(MID(K158,MIN(SEARCH({1,2,3,4,5,6,7,8,9,0},K158&amp;1234567890)),LEN(K158)-(LENB(K158)-LEN(K158)))),"")</f>
        <v/>
      </c>
      <c r="N158" t="str">
        <f>IF(L158&lt;&gt;"○",M158,INDEX(G$4:G157,MATCH(L158&amp;M158,F$4:F157,0)))</f>
        <v/>
      </c>
      <c r="O158" t="str">
        <f t="shared" si="26"/>
        <v/>
      </c>
      <c r="Q158" s="4"/>
    </row>
    <row r="159" spans="2:17" x14ac:dyDescent="0.4">
      <c r="B159" t="s">
        <v>21</v>
      </c>
      <c r="C159" t="str">
        <f>IF(G159="","",MAX(C$4:C158)+1)</f>
        <v/>
      </c>
      <c r="D159" t="str">
        <f>IF(AND(N159=""),"",MAX(D$4:D158)+1)</f>
        <v/>
      </c>
      <c r="F159" s="26" t="str">
        <f t="shared" si="19"/>
        <v/>
      </c>
      <c r="G159" s="29" t="str">
        <f t="shared" si="20"/>
        <v/>
      </c>
      <c r="H159" s="20" t="str">
        <f t="shared" si="21"/>
        <v/>
      </c>
      <c r="I159" s="20" t="str">
        <f t="shared" si="22"/>
        <v/>
      </c>
      <c r="J159" s="20" t="str">
        <f t="shared" si="23"/>
        <v/>
      </c>
      <c r="K159" s="31" t="str">
        <f t="shared" si="24"/>
        <v/>
      </c>
      <c r="L159" s="23" t="str">
        <f t="shared" si="25"/>
        <v/>
      </c>
      <c r="M159" t="str" cm="1">
        <f t="array" ref="M159">IF(COUNT(INDEX(FIND(ROW($1:$10)-1,K159),)),VALUE(MID(K159,MIN(SEARCH({1,2,3,4,5,6,7,8,9,0},K159&amp;1234567890)),LEN(K159)-(LENB(K159)-LEN(K159)))),"")</f>
        <v/>
      </c>
      <c r="N159" t="str">
        <f>IF(L159&lt;&gt;"○",M159,INDEX(G$4:G158,MATCH(L159&amp;M159,F$4:F158,0)))</f>
        <v/>
      </c>
      <c r="O159" t="str">
        <f t="shared" si="26"/>
        <v/>
      </c>
      <c r="Q159" s="4"/>
    </row>
    <row r="160" spans="2:17" x14ac:dyDescent="0.4">
      <c r="B160" t="s">
        <v>21</v>
      </c>
      <c r="C160" t="str">
        <f>IF(G160="","",MAX(C$4:C159)+1)</f>
        <v/>
      </c>
      <c r="D160" t="str">
        <f>IF(AND(N160=""),"",MAX(D$4:D159)+1)</f>
        <v/>
      </c>
      <c r="F160" s="26" t="str">
        <f t="shared" si="19"/>
        <v/>
      </c>
      <c r="G160" s="29" t="str">
        <f t="shared" si="20"/>
        <v/>
      </c>
      <c r="H160" s="20" t="str">
        <f t="shared" si="21"/>
        <v/>
      </c>
      <c r="I160" s="20" t="str">
        <f t="shared" si="22"/>
        <v/>
      </c>
      <c r="J160" s="20" t="str">
        <f t="shared" si="23"/>
        <v/>
      </c>
      <c r="K160" s="31" t="str">
        <f t="shared" si="24"/>
        <v/>
      </c>
      <c r="L160" s="23" t="str">
        <f t="shared" si="25"/>
        <v/>
      </c>
      <c r="M160" t="str" cm="1">
        <f t="array" ref="M160">IF(COUNT(INDEX(FIND(ROW($1:$10)-1,K160),)),VALUE(MID(K160,MIN(SEARCH({1,2,3,4,5,6,7,8,9,0},K160&amp;1234567890)),LEN(K160)-(LENB(K160)-LEN(K160)))),"")</f>
        <v/>
      </c>
      <c r="N160" t="str">
        <f>IF(L160&lt;&gt;"○",M160,INDEX(G$4:G159,MATCH(L160&amp;M160,F$4:F159,0)))</f>
        <v/>
      </c>
      <c r="O160" t="str">
        <f t="shared" si="26"/>
        <v/>
      </c>
      <c r="Q160" s="4"/>
    </row>
    <row r="161" spans="2:17" x14ac:dyDescent="0.4">
      <c r="B161" t="s">
        <v>21</v>
      </c>
      <c r="C161" t="str">
        <f>IF(G161="","",MAX(C$4:C160)+1)</f>
        <v/>
      </c>
      <c r="D161" t="str">
        <f>IF(AND(N161=""),"",MAX(D$4:D160)+1)</f>
        <v/>
      </c>
      <c r="F161" s="26" t="str">
        <f t="shared" si="19"/>
        <v/>
      </c>
      <c r="G161" s="29" t="str">
        <f t="shared" si="20"/>
        <v/>
      </c>
      <c r="H161" s="20" t="str">
        <f t="shared" si="21"/>
        <v/>
      </c>
      <c r="I161" s="20" t="str">
        <f t="shared" si="22"/>
        <v/>
      </c>
      <c r="J161" s="20" t="str">
        <f t="shared" si="23"/>
        <v/>
      </c>
      <c r="K161" s="31" t="str">
        <f t="shared" si="24"/>
        <v/>
      </c>
      <c r="L161" s="23" t="str">
        <f t="shared" si="25"/>
        <v/>
      </c>
      <c r="M161" t="str" cm="1">
        <f t="array" ref="M161">IF(COUNT(INDEX(FIND(ROW($1:$10)-1,K161),)),VALUE(MID(K161,MIN(SEARCH({1,2,3,4,5,6,7,8,9,0},K161&amp;1234567890)),LEN(K161)-(LENB(K161)-LEN(K161)))),"")</f>
        <v/>
      </c>
      <c r="N161" t="str">
        <f>IF(L161&lt;&gt;"○",M161,INDEX(G$4:G160,MATCH(L161&amp;M161,F$4:F160,0)))</f>
        <v/>
      </c>
      <c r="O161" t="str">
        <f t="shared" si="26"/>
        <v/>
      </c>
      <c r="Q161" s="4"/>
    </row>
    <row r="162" spans="2:17" x14ac:dyDescent="0.4">
      <c r="B162" t="s">
        <v>21</v>
      </c>
      <c r="C162" t="str">
        <f>IF(G162="","",MAX(C$4:C161)+1)</f>
        <v/>
      </c>
      <c r="D162" t="str">
        <f>IF(AND(N162=""),"",MAX(D$4:D161)+1)</f>
        <v/>
      </c>
      <c r="F162" s="26" t="str">
        <f t="shared" si="19"/>
        <v/>
      </c>
      <c r="G162" s="29" t="str">
        <f t="shared" si="20"/>
        <v/>
      </c>
      <c r="H162" s="20" t="str">
        <f t="shared" si="21"/>
        <v/>
      </c>
      <c r="I162" s="20" t="str">
        <f t="shared" si="22"/>
        <v/>
      </c>
      <c r="J162" s="20" t="str">
        <f t="shared" si="23"/>
        <v/>
      </c>
      <c r="K162" s="31" t="str">
        <f t="shared" si="24"/>
        <v/>
      </c>
      <c r="L162" s="23" t="str">
        <f t="shared" si="25"/>
        <v/>
      </c>
      <c r="M162" t="str" cm="1">
        <f t="array" ref="M162">IF(COUNT(INDEX(FIND(ROW($1:$10)-1,K162),)),VALUE(MID(K162,MIN(SEARCH({1,2,3,4,5,6,7,8,9,0},K162&amp;1234567890)),LEN(K162)-(LENB(K162)-LEN(K162)))),"")</f>
        <v/>
      </c>
      <c r="N162" t="str">
        <f>IF(L162&lt;&gt;"○",M162,INDEX(G$4:G161,MATCH(L162&amp;M162,F$4:F161,0)))</f>
        <v/>
      </c>
      <c r="O162" t="str">
        <f t="shared" si="26"/>
        <v/>
      </c>
      <c r="Q162" s="4"/>
    </row>
    <row r="163" spans="2:17" x14ac:dyDescent="0.4">
      <c r="B163" t="s">
        <v>21</v>
      </c>
      <c r="C163" t="str">
        <f>IF(G163="","",MAX(C$4:C162)+1)</f>
        <v/>
      </c>
      <c r="D163" t="str">
        <f>IF(AND(N163=""),"",MAX(D$4:D162)+1)</f>
        <v/>
      </c>
      <c r="F163" s="26" t="str">
        <f t="shared" si="19"/>
        <v/>
      </c>
      <c r="G163" s="29" t="str">
        <f t="shared" si="20"/>
        <v/>
      </c>
      <c r="H163" s="20" t="str">
        <f t="shared" si="21"/>
        <v/>
      </c>
      <c r="I163" s="20" t="str">
        <f t="shared" si="22"/>
        <v/>
      </c>
      <c r="J163" s="20" t="str">
        <f t="shared" si="23"/>
        <v/>
      </c>
      <c r="K163" s="31" t="str">
        <f t="shared" si="24"/>
        <v/>
      </c>
      <c r="L163" s="23" t="str">
        <f t="shared" si="25"/>
        <v/>
      </c>
      <c r="M163" t="str" cm="1">
        <f t="array" ref="M163">IF(COUNT(INDEX(FIND(ROW($1:$10)-1,K163),)),VALUE(MID(K163,MIN(SEARCH({1,2,3,4,5,6,7,8,9,0},K163&amp;1234567890)),LEN(K163)-(LENB(K163)-LEN(K163)))),"")</f>
        <v/>
      </c>
      <c r="N163" t="str">
        <f>IF(L163&lt;&gt;"○",M163,INDEX(G$4:G162,MATCH(L163&amp;M163,F$4:F162,0)))</f>
        <v/>
      </c>
      <c r="O163" t="str">
        <f t="shared" si="26"/>
        <v/>
      </c>
      <c r="Q163" s="4"/>
    </row>
    <row r="164" spans="2:17" x14ac:dyDescent="0.4">
      <c r="B164" t="s">
        <v>21</v>
      </c>
      <c r="C164" t="str">
        <f>IF(G164="","",MAX(C$4:C163)+1)</f>
        <v/>
      </c>
      <c r="D164" t="str">
        <f>IF(AND(N164=""),"",MAX(D$4:D163)+1)</f>
        <v/>
      </c>
      <c r="F164" s="26" t="str">
        <f t="shared" si="19"/>
        <v/>
      </c>
      <c r="G164" s="29" t="str">
        <f t="shared" si="20"/>
        <v/>
      </c>
      <c r="H164" s="20" t="str">
        <f t="shared" si="21"/>
        <v/>
      </c>
      <c r="I164" s="20" t="str">
        <f t="shared" si="22"/>
        <v/>
      </c>
      <c r="J164" s="20" t="str">
        <f t="shared" si="23"/>
        <v/>
      </c>
      <c r="K164" s="31" t="str">
        <f t="shared" si="24"/>
        <v/>
      </c>
      <c r="L164" s="23" t="str">
        <f t="shared" si="25"/>
        <v/>
      </c>
      <c r="M164" t="str" cm="1">
        <f t="array" ref="M164">IF(COUNT(INDEX(FIND(ROW($1:$10)-1,K164),)),VALUE(MID(K164,MIN(SEARCH({1,2,3,4,5,6,7,8,9,0},K164&amp;1234567890)),LEN(K164)-(LENB(K164)-LEN(K164)))),"")</f>
        <v/>
      </c>
      <c r="N164" t="str">
        <f>IF(L164&lt;&gt;"○",M164,INDEX(G$4:G163,MATCH(L164&amp;M164,F$4:F163,0)))</f>
        <v/>
      </c>
      <c r="O164" t="str">
        <f t="shared" si="26"/>
        <v/>
      </c>
      <c r="Q164" s="4"/>
    </row>
    <row r="165" spans="2:17" x14ac:dyDescent="0.4">
      <c r="B165" t="s">
        <v>21</v>
      </c>
      <c r="C165" t="str">
        <f>IF(G165="","",MAX(C$4:C164)+1)</f>
        <v/>
      </c>
      <c r="D165" t="str">
        <f>IF(AND(N165=""),"",MAX(D$4:D164)+1)</f>
        <v/>
      </c>
      <c r="F165" s="26" t="str">
        <f t="shared" si="19"/>
        <v/>
      </c>
      <c r="G165" s="29" t="str">
        <f t="shared" si="20"/>
        <v/>
      </c>
      <c r="H165" s="20" t="str">
        <f t="shared" si="21"/>
        <v/>
      </c>
      <c r="I165" s="20" t="str">
        <f t="shared" si="22"/>
        <v/>
      </c>
      <c r="J165" s="20" t="str">
        <f t="shared" si="23"/>
        <v/>
      </c>
      <c r="K165" s="31" t="str">
        <f t="shared" si="24"/>
        <v/>
      </c>
      <c r="L165" s="23" t="str">
        <f t="shared" si="25"/>
        <v/>
      </c>
      <c r="M165" t="str" cm="1">
        <f t="array" ref="M165">IF(COUNT(INDEX(FIND(ROW($1:$10)-1,K165),)),VALUE(MID(K165,MIN(SEARCH({1,2,3,4,5,6,7,8,9,0},K165&amp;1234567890)),LEN(K165)-(LENB(K165)-LEN(K165)))),"")</f>
        <v/>
      </c>
      <c r="N165" t="str">
        <f>IF(L165&lt;&gt;"○",M165,INDEX(G$4:G164,MATCH(L165&amp;M165,F$4:F164,0)))</f>
        <v/>
      </c>
      <c r="O165" t="str">
        <f t="shared" si="26"/>
        <v/>
      </c>
      <c r="Q165" s="4"/>
    </row>
    <row r="166" spans="2:17" x14ac:dyDescent="0.4">
      <c r="B166" t="s">
        <v>21</v>
      </c>
      <c r="C166" t="str">
        <f>IF(G166="","",MAX(C$4:C165)+1)</f>
        <v/>
      </c>
      <c r="D166" t="str">
        <f>IF(AND(N166=""),"",MAX(D$4:D165)+1)</f>
        <v/>
      </c>
      <c r="F166" s="26" t="str">
        <f t="shared" si="19"/>
        <v/>
      </c>
      <c r="G166" s="29" t="str">
        <f t="shared" si="20"/>
        <v/>
      </c>
      <c r="H166" s="20" t="str">
        <f t="shared" si="21"/>
        <v/>
      </c>
      <c r="I166" s="20" t="str">
        <f t="shared" si="22"/>
        <v/>
      </c>
      <c r="J166" s="20" t="str">
        <f t="shared" si="23"/>
        <v/>
      </c>
      <c r="K166" s="31" t="str">
        <f t="shared" si="24"/>
        <v/>
      </c>
      <c r="L166" s="23" t="str">
        <f t="shared" si="25"/>
        <v/>
      </c>
      <c r="M166" t="str" cm="1">
        <f t="array" ref="M166">IF(COUNT(INDEX(FIND(ROW($1:$10)-1,K166),)),VALUE(MID(K166,MIN(SEARCH({1,2,3,4,5,6,7,8,9,0},K166&amp;1234567890)),LEN(K166)-(LENB(K166)-LEN(K166)))),"")</f>
        <v/>
      </c>
      <c r="N166" t="str">
        <f>IF(L166&lt;&gt;"○",M166,INDEX(G$4:G165,MATCH(L166&amp;M166,F$4:F165,0)))</f>
        <v/>
      </c>
      <c r="O166" t="str">
        <f t="shared" si="26"/>
        <v/>
      </c>
      <c r="Q166" s="4"/>
    </row>
    <row r="167" spans="2:17" x14ac:dyDescent="0.4">
      <c r="B167" t="s">
        <v>21</v>
      </c>
      <c r="C167" t="str">
        <f>IF(G167="","",MAX(C$4:C166)+1)</f>
        <v/>
      </c>
      <c r="D167" t="str">
        <f>IF(AND(N167=""),"",MAX(D$4:D166)+1)</f>
        <v/>
      </c>
      <c r="F167" s="26" t="str">
        <f t="shared" si="19"/>
        <v/>
      </c>
      <c r="G167" s="29" t="str">
        <f t="shared" si="20"/>
        <v/>
      </c>
      <c r="H167" s="20" t="str">
        <f t="shared" si="21"/>
        <v/>
      </c>
      <c r="I167" s="20" t="str">
        <f t="shared" si="22"/>
        <v/>
      </c>
      <c r="J167" s="20" t="str">
        <f t="shared" si="23"/>
        <v/>
      </c>
      <c r="K167" s="31" t="str">
        <f t="shared" si="24"/>
        <v/>
      </c>
      <c r="L167" s="23" t="str">
        <f t="shared" si="25"/>
        <v/>
      </c>
      <c r="M167" t="str" cm="1">
        <f t="array" ref="M167">IF(COUNT(INDEX(FIND(ROW($1:$10)-1,K167),)),VALUE(MID(K167,MIN(SEARCH({1,2,3,4,5,6,7,8,9,0},K167&amp;1234567890)),LEN(K167)-(LENB(K167)-LEN(K167)))),"")</f>
        <v/>
      </c>
      <c r="N167" t="str">
        <f>IF(L167&lt;&gt;"○",M167,INDEX(G$4:G166,MATCH(L167&amp;M167,F$4:F166,0)))</f>
        <v/>
      </c>
      <c r="O167" t="str">
        <f t="shared" si="26"/>
        <v/>
      </c>
      <c r="Q167" s="4"/>
    </row>
    <row r="168" spans="2:17" x14ac:dyDescent="0.4">
      <c r="B168" t="s">
        <v>21</v>
      </c>
      <c r="C168" t="str">
        <f>IF(G168="","",MAX(C$4:C167)+1)</f>
        <v/>
      </c>
      <c r="D168" t="str">
        <f>IF(AND(N168=""),"",MAX(D$4:D167)+1)</f>
        <v/>
      </c>
      <c r="F168" s="26" t="str">
        <f t="shared" si="19"/>
        <v/>
      </c>
      <c r="G168" s="29" t="str">
        <f t="shared" si="20"/>
        <v/>
      </c>
      <c r="H168" s="20" t="str">
        <f t="shared" si="21"/>
        <v/>
      </c>
      <c r="I168" s="20" t="str">
        <f t="shared" si="22"/>
        <v/>
      </c>
      <c r="J168" s="20" t="str">
        <f t="shared" si="23"/>
        <v/>
      </c>
      <c r="K168" s="31" t="str">
        <f t="shared" si="24"/>
        <v/>
      </c>
      <c r="L168" s="23" t="str">
        <f t="shared" si="25"/>
        <v/>
      </c>
      <c r="M168" t="str" cm="1">
        <f t="array" ref="M168">IF(COUNT(INDEX(FIND(ROW($1:$10)-1,K168),)),VALUE(MID(K168,MIN(SEARCH({1,2,3,4,5,6,7,8,9,0},K168&amp;1234567890)),LEN(K168)-(LENB(K168)-LEN(K168)))),"")</f>
        <v/>
      </c>
      <c r="N168" t="str">
        <f>IF(L168&lt;&gt;"○",M168,INDEX(G$4:G167,MATCH(L168&amp;M168,F$4:F167,0)))</f>
        <v/>
      </c>
      <c r="O168" t="str">
        <f t="shared" si="26"/>
        <v/>
      </c>
      <c r="Q168" s="4"/>
    </row>
    <row r="169" spans="2:17" x14ac:dyDescent="0.4">
      <c r="B169" t="s">
        <v>21</v>
      </c>
      <c r="C169" t="str">
        <f>IF(G169="","",MAX(C$4:C168)+1)</f>
        <v/>
      </c>
      <c r="D169" t="str">
        <f>IF(AND(N169=""),"",MAX(D$4:D168)+1)</f>
        <v/>
      </c>
      <c r="F169" s="26" t="str">
        <f t="shared" si="19"/>
        <v/>
      </c>
      <c r="G169" s="29" t="str">
        <f t="shared" si="20"/>
        <v/>
      </c>
      <c r="H169" s="20" t="str">
        <f t="shared" si="21"/>
        <v/>
      </c>
      <c r="I169" s="20" t="str">
        <f t="shared" si="22"/>
        <v/>
      </c>
      <c r="J169" s="20" t="str">
        <f t="shared" si="23"/>
        <v/>
      </c>
      <c r="K169" s="31" t="str">
        <f t="shared" si="24"/>
        <v/>
      </c>
      <c r="L169" s="23" t="str">
        <f t="shared" si="25"/>
        <v/>
      </c>
      <c r="M169" t="str" cm="1">
        <f t="array" ref="M169">IF(COUNT(INDEX(FIND(ROW($1:$10)-1,K169),)),VALUE(MID(K169,MIN(SEARCH({1,2,3,4,5,6,7,8,9,0},K169&amp;1234567890)),LEN(K169)-(LENB(K169)-LEN(K169)))),"")</f>
        <v/>
      </c>
      <c r="N169" t="str">
        <f>IF(L169&lt;&gt;"○",M169,INDEX(G$4:G168,MATCH(L169&amp;M169,F$4:F168,0)))</f>
        <v/>
      </c>
      <c r="O169" t="str">
        <f t="shared" si="26"/>
        <v/>
      </c>
      <c r="Q169" s="4"/>
    </row>
    <row r="170" spans="2:17" x14ac:dyDescent="0.4">
      <c r="B170" t="s">
        <v>21</v>
      </c>
      <c r="C170" t="str">
        <f>IF(G170="","",MAX(C$4:C169)+1)</f>
        <v/>
      </c>
      <c r="D170" t="str">
        <f>IF(AND(N170=""),"",MAX(D$4:D169)+1)</f>
        <v/>
      </c>
      <c r="F170" s="26" t="str">
        <f t="shared" si="19"/>
        <v/>
      </c>
      <c r="G170" s="29" t="str">
        <f t="shared" si="20"/>
        <v/>
      </c>
      <c r="H170" s="20" t="str">
        <f t="shared" si="21"/>
        <v/>
      </c>
      <c r="I170" s="20" t="str">
        <f t="shared" si="22"/>
        <v/>
      </c>
      <c r="J170" s="20" t="str">
        <f t="shared" si="23"/>
        <v/>
      </c>
      <c r="K170" s="31" t="str">
        <f t="shared" si="24"/>
        <v/>
      </c>
      <c r="L170" s="23" t="str">
        <f t="shared" si="25"/>
        <v/>
      </c>
      <c r="M170" t="str" cm="1">
        <f t="array" ref="M170">IF(COUNT(INDEX(FIND(ROW($1:$10)-1,K170),)),VALUE(MID(K170,MIN(SEARCH({1,2,3,4,5,6,7,8,9,0},K170&amp;1234567890)),LEN(K170)-(LENB(K170)-LEN(K170)))),"")</f>
        <v/>
      </c>
      <c r="N170" t="str">
        <f>IF(L170&lt;&gt;"○",M170,INDEX(G$4:G169,MATCH(L170&amp;M170,F$4:F169,0)))</f>
        <v/>
      </c>
      <c r="O170" t="str">
        <f t="shared" si="26"/>
        <v/>
      </c>
      <c r="Q170" s="4"/>
    </row>
    <row r="171" spans="2:17" x14ac:dyDescent="0.4">
      <c r="B171" t="s">
        <v>21</v>
      </c>
      <c r="C171" t="str">
        <f>IF(G171="","",MAX(C$4:C170)+1)</f>
        <v/>
      </c>
      <c r="D171" t="str">
        <f>IF(AND(N171=""),"",MAX(D$4:D170)+1)</f>
        <v/>
      </c>
      <c r="F171" s="26" t="str">
        <f t="shared" si="19"/>
        <v/>
      </c>
      <c r="G171" s="29" t="str">
        <f t="shared" si="20"/>
        <v/>
      </c>
      <c r="H171" s="20" t="str">
        <f t="shared" si="21"/>
        <v/>
      </c>
      <c r="I171" s="20" t="str">
        <f t="shared" si="22"/>
        <v/>
      </c>
      <c r="J171" s="20" t="str">
        <f t="shared" si="23"/>
        <v/>
      </c>
      <c r="K171" s="31" t="str">
        <f t="shared" si="24"/>
        <v/>
      </c>
      <c r="L171" s="23" t="str">
        <f t="shared" si="25"/>
        <v/>
      </c>
      <c r="M171" t="str" cm="1">
        <f t="array" ref="M171">IF(COUNT(INDEX(FIND(ROW($1:$10)-1,K171),)),VALUE(MID(K171,MIN(SEARCH({1,2,3,4,5,6,7,8,9,0},K171&amp;1234567890)),LEN(K171)-(LENB(K171)-LEN(K171)))),"")</f>
        <v/>
      </c>
      <c r="N171" t="str">
        <f>IF(L171&lt;&gt;"○",M171,INDEX(G$4:G170,MATCH(L171&amp;M171,F$4:F170,0)))</f>
        <v/>
      </c>
      <c r="O171" t="str">
        <f t="shared" si="26"/>
        <v/>
      </c>
      <c r="Q171" s="4"/>
    </row>
    <row r="172" spans="2:17" x14ac:dyDescent="0.4">
      <c r="B172" t="s">
        <v>21</v>
      </c>
      <c r="C172" t="str">
        <f>IF(G172="","",MAX(C$4:C171)+1)</f>
        <v/>
      </c>
      <c r="D172" t="str">
        <f>IF(AND(N172=""),"",MAX(D$4:D171)+1)</f>
        <v/>
      </c>
      <c r="F172" s="26" t="str">
        <f t="shared" si="19"/>
        <v/>
      </c>
      <c r="G172" s="29" t="str">
        <f t="shared" si="20"/>
        <v/>
      </c>
      <c r="H172" s="20" t="str">
        <f t="shared" si="21"/>
        <v/>
      </c>
      <c r="I172" s="20" t="str">
        <f t="shared" si="22"/>
        <v/>
      </c>
      <c r="J172" s="20" t="str">
        <f t="shared" si="23"/>
        <v/>
      </c>
      <c r="K172" s="31" t="str">
        <f t="shared" si="24"/>
        <v/>
      </c>
      <c r="L172" s="23" t="str">
        <f t="shared" si="25"/>
        <v/>
      </c>
      <c r="M172" t="str" cm="1">
        <f t="array" ref="M172">IF(COUNT(INDEX(FIND(ROW($1:$10)-1,K172),)),VALUE(MID(K172,MIN(SEARCH({1,2,3,4,5,6,7,8,9,0},K172&amp;1234567890)),LEN(K172)-(LENB(K172)-LEN(K172)))),"")</f>
        <v/>
      </c>
      <c r="N172" t="str">
        <f>IF(L172&lt;&gt;"○",M172,INDEX(G$4:G171,MATCH(L172&amp;M172,F$4:F171,0)))</f>
        <v/>
      </c>
      <c r="O172" t="str">
        <f t="shared" si="26"/>
        <v/>
      </c>
      <c r="Q172" s="4"/>
    </row>
    <row r="173" spans="2:17" x14ac:dyDescent="0.4">
      <c r="B173" t="s">
        <v>21</v>
      </c>
      <c r="C173" t="str">
        <f>IF(G173="","",MAX(C$4:C172)+1)</f>
        <v/>
      </c>
      <c r="D173" t="str">
        <f>IF(AND(N173=""),"",MAX(D$4:D172)+1)</f>
        <v/>
      </c>
      <c r="F173" s="26" t="str">
        <f t="shared" si="19"/>
        <v/>
      </c>
      <c r="G173" s="29" t="str">
        <f t="shared" si="20"/>
        <v/>
      </c>
      <c r="H173" s="20" t="str">
        <f t="shared" si="21"/>
        <v/>
      </c>
      <c r="I173" s="20" t="str">
        <f t="shared" si="22"/>
        <v/>
      </c>
      <c r="J173" s="20" t="str">
        <f t="shared" si="23"/>
        <v/>
      </c>
      <c r="K173" s="31" t="str">
        <f t="shared" si="24"/>
        <v/>
      </c>
      <c r="L173" s="23" t="str">
        <f t="shared" si="25"/>
        <v/>
      </c>
      <c r="M173" t="str" cm="1">
        <f t="array" ref="M173">IF(COUNT(INDEX(FIND(ROW($1:$10)-1,K173),)),VALUE(MID(K173,MIN(SEARCH({1,2,3,4,5,6,7,8,9,0},K173&amp;1234567890)),LEN(K173)-(LENB(K173)-LEN(K173)))),"")</f>
        <v/>
      </c>
      <c r="N173" t="str">
        <f>IF(L173&lt;&gt;"○",M173,INDEX(G$4:G172,MATCH(L173&amp;M173,F$4:F172,0)))</f>
        <v/>
      </c>
      <c r="O173" t="str">
        <f t="shared" si="26"/>
        <v/>
      </c>
      <c r="Q173" s="4"/>
    </row>
    <row r="174" spans="2:17" x14ac:dyDescent="0.4">
      <c r="B174" t="s">
        <v>21</v>
      </c>
      <c r="C174" t="str">
        <f>IF(G174="","",MAX(C$4:C173)+1)</f>
        <v/>
      </c>
      <c r="D174" t="str">
        <f>IF(AND(N174=""),"",MAX(D$4:D173)+1)</f>
        <v/>
      </c>
      <c r="F174" s="26" t="str">
        <f t="shared" si="19"/>
        <v/>
      </c>
      <c r="G174" s="29" t="str">
        <f t="shared" si="20"/>
        <v/>
      </c>
      <c r="H174" s="20" t="str">
        <f t="shared" si="21"/>
        <v/>
      </c>
      <c r="I174" s="20" t="str">
        <f t="shared" si="22"/>
        <v/>
      </c>
      <c r="J174" s="20" t="str">
        <f t="shared" si="23"/>
        <v/>
      </c>
      <c r="K174" s="31" t="str">
        <f t="shared" si="24"/>
        <v/>
      </c>
      <c r="L174" s="23" t="str">
        <f t="shared" si="25"/>
        <v/>
      </c>
      <c r="M174" t="str" cm="1">
        <f t="array" ref="M174">IF(COUNT(INDEX(FIND(ROW($1:$10)-1,K174),)),VALUE(MID(K174,MIN(SEARCH({1,2,3,4,5,6,7,8,9,0},K174&amp;1234567890)),LEN(K174)-(LENB(K174)-LEN(K174)))),"")</f>
        <v/>
      </c>
      <c r="N174" t="str">
        <f>IF(L174&lt;&gt;"○",M174,INDEX(G$4:G173,MATCH(L174&amp;M174,F$4:F173,0)))</f>
        <v/>
      </c>
      <c r="O174" t="str">
        <f t="shared" si="26"/>
        <v/>
      </c>
      <c r="Q174" s="4"/>
    </row>
    <row r="175" spans="2:17" x14ac:dyDescent="0.4">
      <c r="B175" t="s">
        <v>21</v>
      </c>
      <c r="C175" t="str">
        <f>IF(G175="","",MAX(C$4:C174)+1)</f>
        <v/>
      </c>
      <c r="D175" t="str">
        <f>IF(AND(N175=""),"",MAX(D$4:D174)+1)</f>
        <v/>
      </c>
      <c r="F175" s="26" t="str">
        <f t="shared" si="19"/>
        <v/>
      </c>
      <c r="G175" s="29" t="str">
        <f t="shared" si="20"/>
        <v/>
      </c>
      <c r="H175" s="20" t="str">
        <f t="shared" si="21"/>
        <v/>
      </c>
      <c r="I175" s="20" t="str">
        <f t="shared" si="22"/>
        <v/>
      </c>
      <c r="J175" s="20" t="str">
        <f t="shared" si="23"/>
        <v/>
      </c>
      <c r="K175" s="31" t="str">
        <f t="shared" si="24"/>
        <v/>
      </c>
      <c r="L175" s="23" t="str">
        <f t="shared" si="25"/>
        <v/>
      </c>
      <c r="M175" t="str" cm="1">
        <f t="array" ref="M175">IF(COUNT(INDEX(FIND(ROW($1:$10)-1,K175),)),VALUE(MID(K175,MIN(SEARCH({1,2,3,4,5,6,7,8,9,0},K175&amp;1234567890)),LEN(K175)-(LENB(K175)-LEN(K175)))),"")</f>
        <v/>
      </c>
      <c r="N175" t="str">
        <f>IF(L175&lt;&gt;"○",M175,INDEX(G$4:G174,MATCH(L175&amp;M175,F$4:F174,0)))</f>
        <v/>
      </c>
      <c r="O175" t="str">
        <f t="shared" si="26"/>
        <v/>
      </c>
      <c r="Q175" s="4"/>
    </row>
    <row r="176" spans="2:17" x14ac:dyDescent="0.4">
      <c r="B176" t="s">
        <v>21</v>
      </c>
      <c r="C176" t="str">
        <f>IF(G176="","",MAX(C$4:C175)+1)</f>
        <v/>
      </c>
      <c r="D176" t="str">
        <f>IF(AND(N176=""),"",MAX(D$4:D175)+1)</f>
        <v/>
      </c>
      <c r="F176" s="26" t="str">
        <f t="shared" si="19"/>
        <v/>
      </c>
      <c r="G176" s="29" t="str">
        <f t="shared" si="20"/>
        <v/>
      </c>
      <c r="H176" s="20" t="str">
        <f t="shared" si="21"/>
        <v/>
      </c>
      <c r="I176" s="20" t="str">
        <f t="shared" si="22"/>
        <v/>
      </c>
      <c r="J176" s="20" t="str">
        <f t="shared" si="23"/>
        <v/>
      </c>
      <c r="K176" s="31" t="str">
        <f t="shared" si="24"/>
        <v/>
      </c>
      <c r="L176" s="23" t="str">
        <f t="shared" si="25"/>
        <v/>
      </c>
      <c r="M176" t="str" cm="1">
        <f t="array" ref="M176">IF(COUNT(INDEX(FIND(ROW($1:$10)-1,K176),)),VALUE(MID(K176,MIN(SEARCH({1,2,3,4,5,6,7,8,9,0},K176&amp;1234567890)),LEN(K176)-(LENB(K176)-LEN(K176)))),"")</f>
        <v/>
      </c>
      <c r="N176" t="str">
        <f>IF(L176&lt;&gt;"○",M176,INDEX(G$4:G175,MATCH(L176&amp;M176,F$4:F175,0)))</f>
        <v/>
      </c>
      <c r="O176" t="str">
        <f t="shared" si="26"/>
        <v/>
      </c>
      <c r="Q176" s="4"/>
    </row>
    <row r="177" spans="2:17" x14ac:dyDescent="0.4">
      <c r="B177" t="s">
        <v>21</v>
      </c>
      <c r="C177" t="str">
        <f>IF(G177="","",MAX(C$4:C176)+1)</f>
        <v/>
      </c>
      <c r="D177" t="str">
        <f>IF(AND(N177=""),"",MAX(D$4:D176)+1)</f>
        <v/>
      </c>
      <c r="F177" s="26" t="str">
        <f t="shared" si="19"/>
        <v/>
      </c>
      <c r="G177" s="29" t="str">
        <f t="shared" si="20"/>
        <v/>
      </c>
      <c r="H177" s="20" t="str">
        <f t="shared" si="21"/>
        <v/>
      </c>
      <c r="I177" s="20" t="str">
        <f t="shared" si="22"/>
        <v/>
      </c>
      <c r="J177" s="20" t="str">
        <f t="shared" si="23"/>
        <v/>
      </c>
      <c r="K177" s="31" t="str">
        <f t="shared" si="24"/>
        <v/>
      </c>
      <c r="L177" s="23" t="str">
        <f t="shared" si="25"/>
        <v/>
      </c>
      <c r="M177" t="str" cm="1">
        <f t="array" ref="M177">IF(COUNT(INDEX(FIND(ROW($1:$10)-1,K177),)),VALUE(MID(K177,MIN(SEARCH({1,2,3,4,5,6,7,8,9,0},K177&amp;1234567890)),LEN(K177)-(LENB(K177)-LEN(K177)))),"")</f>
        <v/>
      </c>
      <c r="N177" t="str">
        <f>IF(L177&lt;&gt;"○",M177,INDEX(G$4:G176,MATCH(L177&amp;M177,F$4:F176,0)))</f>
        <v/>
      </c>
      <c r="O177" t="str">
        <f t="shared" si="26"/>
        <v/>
      </c>
      <c r="Q177" s="4"/>
    </row>
    <row r="178" spans="2:17" x14ac:dyDescent="0.4">
      <c r="B178" t="s">
        <v>21</v>
      </c>
      <c r="C178" t="str">
        <f>IF(G178="","",MAX(C$4:C177)+1)</f>
        <v/>
      </c>
      <c r="D178" t="str">
        <f>IF(AND(N178=""),"",MAX(D$4:D177)+1)</f>
        <v/>
      </c>
      <c r="F178" s="26" t="str">
        <f t="shared" si="19"/>
        <v/>
      </c>
      <c r="G178" s="29" t="str">
        <f t="shared" si="20"/>
        <v/>
      </c>
      <c r="H178" s="20" t="str">
        <f t="shared" si="21"/>
        <v/>
      </c>
      <c r="I178" s="20" t="str">
        <f t="shared" si="22"/>
        <v/>
      </c>
      <c r="J178" s="20" t="str">
        <f t="shared" si="23"/>
        <v/>
      </c>
      <c r="K178" s="31" t="str">
        <f t="shared" si="24"/>
        <v/>
      </c>
      <c r="L178" s="23" t="str">
        <f t="shared" si="25"/>
        <v/>
      </c>
      <c r="M178" t="str" cm="1">
        <f t="array" ref="M178">IF(COUNT(INDEX(FIND(ROW($1:$10)-1,K178),)),VALUE(MID(K178,MIN(SEARCH({1,2,3,4,5,6,7,8,9,0},K178&amp;1234567890)),LEN(K178)-(LENB(K178)-LEN(K178)))),"")</f>
        <v/>
      </c>
      <c r="N178" t="str">
        <f>IF(L178&lt;&gt;"○",M178,INDEX(G$4:G177,MATCH(L178&amp;M178,F$4:F177,0)))</f>
        <v/>
      </c>
      <c r="O178" t="str">
        <f t="shared" si="26"/>
        <v/>
      </c>
      <c r="Q178" s="4"/>
    </row>
    <row r="179" spans="2:17" x14ac:dyDescent="0.4">
      <c r="B179" t="s">
        <v>21</v>
      </c>
      <c r="C179" t="str">
        <f>IF(G179="","",MAX(C$4:C178)+1)</f>
        <v/>
      </c>
      <c r="D179" t="str">
        <f>IF(AND(N179=""),"",MAX(D$4:D178)+1)</f>
        <v/>
      </c>
      <c r="F179" s="26" t="str">
        <f t="shared" si="19"/>
        <v/>
      </c>
      <c r="G179" s="29" t="str">
        <f t="shared" si="20"/>
        <v/>
      </c>
      <c r="H179" s="20" t="str">
        <f t="shared" si="21"/>
        <v/>
      </c>
      <c r="I179" s="20" t="str">
        <f t="shared" si="22"/>
        <v/>
      </c>
      <c r="J179" s="20" t="str">
        <f t="shared" si="23"/>
        <v/>
      </c>
      <c r="K179" s="31" t="str">
        <f t="shared" si="24"/>
        <v/>
      </c>
      <c r="L179" s="23" t="str">
        <f t="shared" si="25"/>
        <v/>
      </c>
      <c r="M179" t="str" cm="1">
        <f t="array" ref="M179">IF(COUNT(INDEX(FIND(ROW($1:$10)-1,K179),)),VALUE(MID(K179,MIN(SEARCH({1,2,3,4,5,6,7,8,9,0},K179&amp;1234567890)),LEN(K179)-(LENB(K179)-LEN(K179)))),"")</f>
        <v/>
      </c>
      <c r="N179" t="str">
        <f>IF(L179&lt;&gt;"○",M179,INDEX(G$4:G178,MATCH(L179&amp;M179,F$4:F178,0)))</f>
        <v/>
      </c>
      <c r="O179" t="str">
        <f t="shared" si="26"/>
        <v/>
      </c>
      <c r="Q179" s="4"/>
    </row>
    <row r="180" spans="2:17" x14ac:dyDescent="0.4">
      <c r="B180" t="s">
        <v>21</v>
      </c>
      <c r="C180" t="str">
        <f>IF(G180="","",MAX(C$4:C179)+1)</f>
        <v/>
      </c>
      <c r="D180" t="str">
        <f>IF(AND(N180=""),"",MAX(D$4:D179)+1)</f>
        <v/>
      </c>
      <c r="F180" s="26" t="str">
        <f t="shared" si="19"/>
        <v/>
      </c>
      <c r="G180" s="29" t="str">
        <f t="shared" si="20"/>
        <v/>
      </c>
      <c r="H180" s="20" t="str">
        <f t="shared" si="21"/>
        <v/>
      </c>
      <c r="I180" s="20" t="str">
        <f t="shared" si="22"/>
        <v/>
      </c>
      <c r="J180" s="20" t="str">
        <f t="shared" si="23"/>
        <v/>
      </c>
      <c r="K180" s="31" t="str">
        <f t="shared" si="24"/>
        <v/>
      </c>
      <c r="L180" s="23" t="str">
        <f t="shared" si="25"/>
        <v/>
      </c>
      <c r="M180" t="str" cm="1">
        <f t="array" ref="M180">IF(COUNT(INDEX(FIND(ROW($1:$10)-1,K180),)),VALUE(MID(K180,MIN(SEARCH({1,2,3,4,5,6,7,8,9,0},K180&amp;1234567890)),LEN(K180)-(LENB(K180)-LEN(K180)))),"")</f>
        <v/>
      </c>
      <c r="N180" t="str">
        <f>IF(L180&lt;&gt;"○",M180,INDEX(G$4:G179,MATCH(L180&amp;M180,F$4:F179,0)))</f>
        <v/>
      </c>
      <c r="O180" t="str">
        <f t="shared" si="26"/>
        <v/>
      </c>
      <c r="Q180" s="4"/>
    </row>
    <row r="181" spans="2:17" x14ac:dyDescent="0.4">
      <c r="B181" t="s">
        <v>21</v>
      </c>
      <c r="C181" t="str">
        <f>IF(G181="","",MAX(C$4:C180)+1)</f>
        <v/>
      </c>
      <c r="D181" t="str">
        <f>IF(AND(N181=""),"",MAX(D$4:D180)+1)</f>
        <v/>
      </c>
      <c r="F181" s="26" t="str">
        <f t="shared" si="19"/>
        <v/>
      </c>
      <c r="G181" s="29" t="str">
        <f t="shared" si="20"/>
        <v/>
      </c>
      <c r="H181" s="20" t="str">
        <f t="shared" si="21"/>
        <v/>
      </c>
      <c r="I181" s="20" t="str">
        <f t="shared" si="22"/>
        <v/>
      </c>
      <c r="J181" s="20" t="str">
        <f t="shared" si="23"/>
        <v/>
      </c>
      <c r="K181" s="31" t="str">
        <f t="shared" si="24"/>
        <v/>
      </c>
      <c r="L181" s="23" t="str">
        <f t="shared" si="25"/>
        <v/>
      </c>
      <c r="M181" t="str" cm="1">
        <f t="array" ref="M181">IF(COUNT(INDEX(FIND(ROW($1:$10)-1,K181),)),VALUE(MID(K181,MIN(SEARCH({1,2,3,4,5,6,7,8,9,0},K181&amp;1234567890)),LEN(K181)-(LENB(K181)-LEN(K181)))),"")</f>
        <v/>
      </c>
      <c r="N181" t="str">
        <f>IF(L181&lt;&gt;"○",M181,INDEX(G$4:G180,MATCH(L181&amp;M181,F$4:F180,0)))</f>
        <v/>
      </c>
      <c r="O181" t="str">
        <f t="shared" si="26"/>
        <v/>
      </c>
      <c r="Q181" s="4"/>
    </row>
    <row r="182" spans="2:17" x14ac:dyDescent="0.4">
      <c r="B182" t="s">
        <v>21</v>
      </c>
      <c r="C182" t="str">
        <f>IF(G182="","",MAX(C$4:C181)+1)</f>
        <v/>
      </c>
      <c r="D182" t="str">
        <f>IF(AND(N182=""),"",MAX(D$4:D181)+1)</f>
        <v/>
      </c>
      <c r="F182" s="26" t="str">
        <f t="shared" si="19"/>
        <v/>
      </c>
      <c r="G182" s="29" t="str">
        <f t="shared" si="20"/>
        <v/>
      </c>
      <c r="H182" s="20" t="str">
        <f t="shared" si="21"/>
        <v/>
      </c>
      <c r="I182" s="20" t="str">
        <f t="shared" si="22"/>
        <v/>
      </c>
      <c r="J182" s="20" t="str">
        <f t="shared" si="23"/>
        <v/>
      </c>
      <c r="K182" s="31" t="str">
        <f t="shared" si="24"/>
        <v/>
      </c>
      <c r="L182" s="23" t="str">
        <f t="shared" si="25"/>
        <v/>
      </c>
      <c r="M182" t="str" cm="1">
        <f t="array" ref="M182">IF(COUNT(INDEX(FIND(ROW($1:$10)-1,K182),)),VALUE(MID(K182,MIN(SEARCH({1,2,3,4,5,6,7,8,9,0},K182&amp;1234567890)),LEN(K182)-(LENB(K182)-LEN(K182)))),"")</f>
        <v/>
      </c>
      <c r="N182" t="str">
        <f>IF(L182&lt;&gt;"○",M182,INDEX(G$4:G181,MATCH(L182&amp;M182,F$4:F181,0)))</f>
        <v/>
      </c>
      <c r="O182" t="str">
        <f t="shared" si="26"/>
        <v/>
      </c>
      <c r="Q182" s="4"/>
    </row>
    <row r="183" spans="2:17" x14ac:dyDescent="0.4">
      <c r="B183" t="s">
        <v>21</v>
      </c>
      <c r="C183" t="str">
        <f>IF(G183="","",MAX(C$4:C182)+1)</f>
        <v/>
      </c>
      <c r="D183" t="str">
        <f>IF(AND(N183=""),"",MAX(D$4:D182)+1)</f>
        <v/>
      </c>
      <c r="F183" s="26" t="str">
        <f t="shared" si="19"/>
        <v/>
      </c>
      <c r="G183" s="29" t="str">
        <f t="shared" si="20"/>
        <v/>
      </c>
      <c r="H183" s="20" t="str">
        <f t="shared" si="21"/>
        <v/>
      </c>
      <c r="I183" s="20" t="str">
        <f t="shared" si="22"/>
        <v/>
      </c>
      <c r="J183" s="20" t="str">
        <f t="shared" si="23"/>
        <v/>
      </c>
      <c r="K183" s="31" t="str">
        <f t="shared" si="24"/>
        <v/>
      </c>
      <c r="L183" s="23" t="str">
        <f t="shared" si="25"/>
        <v/>
      </c>
      <c r="M183" t="str" cm="1">
        <f t="array" ref="M183">IF(COUNT(INDEX(FIND(ROW($1:$10)-1,K183),)),VALUE(MID(K183,MIN(SEARCH({1,2,3,4,5,6,7,8,9,0},K183&amp;1234567890)),LEN(K183)-(LENB(K183)-LEN(K183)))),"")</f>
        <v/>
      </c>
      <c r="N183" t="str">
        <f>IF(L183&lt;&gt;"○",M183,INDEX(G$4:G182,MATCH(L183&amp;M183,F$4:F182,0)))</f>
        <v/>
      </c>
      <c r="O183" t="str">
        <f t="shared" si="26"/>
        <v/>
      </c>
      <c r="Q183" s="4"/>
    </row>
    <row r="184" spans="2:17" x14ac:dyDescent="0.4">
      <c r="B184" t="s">
        <v>21</v>
      </c>
      <c r="C184" t="str">
        <f>IF(G184="","",MAX(C$4:C183)+1)</f>
        <v/>
      </c>
      <c r="D184" t="str">
        <f>IF(AND(N184=""),"",MAX(D$4:D183)+1)</f>
        <v/>
      </c>
      <c r="F184" s="26" t="str">
        <f t="shared" si="19"/>
        <v/>
      </c>
      <c r="G184" s="29" t="str">
        <f t="shared" si="20"/>
        <v/>
      </c>
      <c r="H184" s="20" t="str">
        <f t="shared" si="21"/>
        <v/>
      </c>
      <c r="I184" s="20" t="str">
        <f t="shared" si="22"/>
        <v/>
      </c>
      <c r="J184" s="20" t="str">
        <f t="shared" si="23"/>
        <v/>
      </c>
      <c r="K184" s="31" t="str">
        <f t="shared" si="24"/>
        <v/>
      </c>
      <c r="L184" s="23" t="str">
        <f t="shared" si="25"/>
        <v/>
      </c>
      <c r="M184" t="str" cm="1">
        <f t="array" ref="M184">IF(COUNT(INDEX(FIND(ROW($1:$10)-1,K184),)),VALUE(MID(K184,MIN(SEARCH({1,2,3,4,5,6,7,8,9,0},K184&amp;1234567890)),LEN(K184)-(LENB(K184)-LEN(K184)))),"")</f>
        <v/>
      </c>
      <c r="N184" t="str">
        <f>IF(L184&lt;&gt;"○",M184,INDEX(G$4:G183,MATCH(L184&amp;M184,F$4:F183,0)))</f>
        <v/>
      </c>
      <c r="O184" t="str">
        <f t="shared" si="26"/>
        <v/>
      </c>
      <c r="Q184" s="4"/>
    </row>
    <row r="185" spans="2:17" x14ac:dyDescent="0.4">
      <c r="B185" t="s">
        <v>21</v>
      </c>
      <c r="C185" t="str">
        <f>IF(G185="","",MAX(C$4:C184)+1)</f>
        <v/>
      </c>
      <c r="D185" t="str">
        <f>IF(AND(N185=""),"",MAX(D$4:D184)+1)</f>
        <v/>
      </c>
      <c r="F185" s="26" t="str">
        <f t="shared" si="19"/>
        <v/>
      </c>
      <c r="G185" s="29" t="str">
        <f t="shared" si="20"/>
        <v/>
      </c>
      <c r="H185" s="20" t="str">
        <f t="shared" si="21"/>
        <v/>
      </c>
      <c r="I185" s="20" t="str">
        <f t="shared" si="22"/>
        <v/>
      </c>
      <c r="J185" s="20" t="str">
        <f t="shared" si="23"/>
        <v/>
      </c>
      <c r="K185" s="31" t="str">
        <f t="shared" si="24"/>
        <v/>
      </c>
      <c r="L185" s="23" t="str">
        <f t="shared" si="25"/>
        <v/>
      </c>
      <c r="M185" t="str" cm="1">
        <f t="array" ref="M185">IF(COUNT(INDEX(FIND(ROW($1:$10)-1,K185),)),VALUE(MID(K185,MIN(SEARCH({1,2,3,4,5,6,7,8,9,0},K185&amp;1234567890)),LEN(K185)-(LENB(K185)-LEN(K185)))),"")</f>
        <v/>
      </c>
      <c r="N185" t="str">
        <f>IF(L185&lt;&gt;"○",M185,INDEX(G$4:G184,MATCH(L185&amp;M185,F$4:F184,0)))</f>
        <v/>
      </c>
      <c r="O185" t="str">
        <f t="shared" si="26"/>
        <v/>
      </c>
      <c r="Q185" s="4"/>
    </row>
    <row r="186" spans="2:17" x14ac:dyDescent="0.4">
      <c r="B186" t="s">
        <v>21</v>
      </c>
      <c r="C186" t="str">
        <f>IF(G186="","",MAX(C$4:C185)+1)</f>
        <v/>
      </c>
      <c r="D186" t="str">
        <f>IF(AND(N186=""),"",MAX(D$4:D185)+1)</f>
        <v/>
      </c>
      <c r="F186" s="26" t="str">
        <f t="shared" si="19"/>
        <v/>
      </c>
      <c r="G186" s="29" t="str">
        <f t="shared" si="20"/>
        <v/>
      </c>
      <c r="H186" s="20" t="str">
        <f t="shared" si="21"/>
        <v/>
      </c>
      <c r="I186" s="20" t="str">
        <f t="shared" si="22"/>
        <v/>
      </c>
      <c r="J186" s="20" t="str">
        <f t="shared" si="23"/>
        <v/>
      </c>
      <c r="K186" s="31" t="str">
        <f t="shared" si="24"/>
        <v/>
      </c>
      <c r="L186" s="23" t="str">
        <f t="shared" si="25"/>
        <v/>
      </c>
      <c r="M186" t="str" cm="1">
        <f t="array" ref="M186">IF(COUNT(INDEX(FIND(ROW($1:$10)-1,K186),)),VALUE(MID(K186,MIN(SEARCH({1,2,3,4,5,6,7,8,9,0},K186&amp;1234567890)),LEN(K186)-(LENB(K186)-LEN(K186)))),"")</f>
        <v/>
      </c>
      <c r="N186" t="str">
        <f>IF(L186&lt;&gt;"○",M186,INDEX(G$4:G185,MATCH(L186&amp;M186,F$4:F185,0)))</f>
        <v/>
      </c>
      <c r="O186" t="str">
        <f t="shared" si="26"/>
        <v/>
      </c>
      <c r="Q186" s="4"/>
    </row>
    <row r="187" spans="2:17" x14ac:dyDescent="0.4">
      <c r="B187" t="s">
        <v>21</v>
      </c>
      <c r="C187" t="str">
        <f>IF(G187="","",MAX(C$4:C186)+1)</f>
        <v/>
      </c>
      <c r="D187" t="str">
        <f>IF(AND(N187=""),"",MAX(D$4:D186)+1)</f>
        <v/>
      </c>
      <c r="F187" s="26" t="str">
        <f t="shared" si="19"/>
        <v/>
      </c>
      <c r="G187" s="29" t="str">
        <f t="shared" si="20"/>
        <v/>
      </c>
      <c r="H187" s="20" t="str">
        <f t="shared" si="21"/>
        <v/>
      </c>
      <c r="I187" s="20" t="str">
        <f t="shared" si="22"/>
        <v/>
      </c>
      <c r="J187" s="20" t="str">
        <f t="shared" si="23"/>
        <v/>
      </c>
      <c r="K187" s="31" t="str">
        <f t="shared" si="24"/>
        <v/>
      </c>
      <c r="L187" s="23" t="str">
        <f t="shared" si="25"/>
        <v/>
      </c>
      <c r="M187" t="str" cm="1">
        <f t="array" ref="M187">IF(COUNT(INDEX(FIND(ROW($1:$10)-1,K187),)),VALUE(MID(K187,MIN(SEARCH({1,2,3,4,5,6,7,8,9,0},K187&amp;1234567890)),LEN(K187)-(LENB(K187)-LEN(K187)))),"")</f>
        <v/>
      </c>
      <c r="N187" t="str">
        <f>IF(L187&lt;&gt;"○",M187,INDEX(G$4:G186,MATCH(L187&amp;M187,F$4:F186,0)))</f>
        <v/>
      </c>
      <c r="O187" t="str">
        <f t="shared" si="26"/>
        <v/>
      </c>
      <c r="Q187" s="4"/>
    </row>
    <row r="188" spans="2:17" x14ac:dyDescent="0.4">
      <c r="B188" t="s">
        <v>21</v>
      </c>
      <c r="C188" t="str">
        <f>IF(G188="","",MAX(C$4:C187)+1)</f>
        <v/>
      </c>
      <c r="D188" t="str">
        <f>IF(AND(N188=""),"",MAX(D$4:D187)+1)</f>
        <v/>
      </c>
      <c r="F188" s="26" t="str">
        <f t="shared" si="19"/>
        <v/>
      </c>
      <c r="G188" s="29" t="str">
        <f t="shared" si="20"/>
        <v/>
      </c>
      <c r="H188" s="20" t="str">
        <f t="shared" si="21"/>
        <v/>
      </c>
      <c r="I188" s="20" t="str">
        <f t="shared" si="22"/>
        <v/>
      </c>
      <c r="J188" s="20" t="str">
        <f t="shared" si="23"/>
        <v/>
      </c>
      <c r="K188" s="31" t="str">
        <f t="shared" si="24"/>
        <v/>
      </c>
      <c r="L188" s="23" t="str">
        <f t="shared" si="25"/>
        <v/>
      </c>
      <c r="M188" t="str" cm="1">
        <f t="array" ref="M188">IF(COUNT(INDEX(FIND(ROW($1:$10)-1,K188),)),VALUE(MID(K188,MIN(SEARCH({1,2,3,4,5,6,7,8,9,0},K188&amp;1234567890)),LEN(K188)-(LENB(K188)-LEN(K188)))),"")</f>
        <v/>
      </c>
      <c r="N188" t="str">
        <f>IF(L188&lt;&gt;"○",M188,INDEX(G$4:G187,MATCH(L188&amp;M188,F$4:F187,0)))</f>
        <v/>
      </c>
      <c r="O188" t="str">
        <f t="shared" si="26"/>
        <v/>
      </c>
      <c r="Q188" s="4"/>
    </row>
    <row r="189" spans="2:17" x14ac:dyDescent="0.4">
      <c r="B189" t="s">
        <v>21</v>
      </c>
      <c r="C189" t="str">
        <f>IF(G189="","",MAX(C$4:C188)+1)</f>
        <v/>
      </c>
      <c r="D189" t="str">
        <f>IF(AND(N189=""),"",MAX(D$4:D188)+1)</f>
        <v/>
      </c>
      <c r="F189" s="26" t="str">
        <f t="shared" si="19"/>
        <v/>
      </c>
      <c r="G189" s="29" t="str">
        <f t="shared" si="20"/>
        <v/>
      </c>
      <c r="H189" s="20" t="str">
        <f t="shared" si="21"/>
        <v/>
      </c>
      <c r="I189" s="20" t="str">
        <f t="shared" si="22"/>
        <v/>
      </c>
      <c r="J189" s="20" t="str">
        <f t="shared" si="23"/>
        <v/>
      </c>
      <c r="K189" s="31" t="str">
        <f t="shared" si="24"/>
        <v/>
      </c>
      <c r="L189" s="23" t="str">
        <f t="shared" si="25"/>
        <v/>
      </c>
      <c r="M189" t="str" cm="1">
        <f t="array" ref="M189">IF(COUNT(INDEX(FIND(ROW($1:$10)-1,K189),)),VALUE(MID(K189,MIN(SEARCH({1,2,3,4,5,6,7,8,9,0},K189&amp;1234567890)),LEN(K189)-(LENB(K189)-LEN(K189)))),"")</f>
        <v/>
      </c>
      <c r="N189" t="str">
        <f>IF(L189&lt;&gt;"○",M189,INDEX(G$4:G188,MATCH(L189&amp;M189,F$4:F188,0)))</f>
        <v/>
      </c>
      <c r="O189" t="str">
        <f t="shared" si="26"/>
        <v/>
      </c>
      <c r="Q189" s="4"/>
    </row>
    <row r="190" spans="2:17" x14ac:dyDescent="0.4">
      <c r="B190" t="s">
        <v>21</v>
      </c>
      <c r="C190" t="str">
        <f>IF(G190="","",MAX(C$4:C189)+1)</f>
        <v/>
      </c>
      <c r="D190" t="str">
        <f>IF(AND(N190=""),"",MAX(D$4:D189)+1)</f>
        <v/>
      </c>
      <c r="F190" s="26" t="str">
        <f t="shared" si="19"/>
        <v/>
      </c>
      <c r="G190" s="29" t="str">
        <f t="shared" si="20"/>
        <v/>
      </c>
      <c r="H190" s="20" t="str">
        <f t="shared" si="21"/>
        <v/>
      </c>
      <c r="I190" s="20" t="str">
        <f t="shared" si="22"/>
        <v/>
      </c>
      <c r="J190" s="20" t="str">
        <f t="shared" si="23"/>
        <v/>
      </c>
      <c r="K190" s="31" t="str">
        <f t="shared" si="24"/>
        <v/>
      </c>
      <c r="L190" s="23" t="str">
        <f t="shared" si="25"/>
        <v/>
      </c>
      <c r="M190" t="str" cm="1">
        <f t="array" ref="M190">IF(COUNT(INDEX(FIND(ROW($1:$10)-1,K190),)),VALUE(MID(K190,MIN(SEARCH({1,2,3,4,5,6,7,8,9,0},K190&amp;1234567890)),LEN(K190)-(LENB(K190)-LEN(K190)))),"")</f>
        <v/>
      </c>
      <c r="N190" t="str">
        <f>IF(L190&lt;&gt;"○",M190,INDEX(G$4:G189,MATCH(L190&amp;M190,F$4:F189,0)))</f>
        <v/>
      </c>
      <c r="O190" t="str">
        <f t="shared" si="26"/>
        <v/>
      </c>
      <c r="Q190" s="4"/>
    </row>
    <row r="191" spans="2:17" x14ac:dyDescent="0.4">
      <c r="B191" t="s">
        <v>21</v>
      </c>
      <c r="C191" t="str">
        <f>IF(G191="","",MAX(C$4:C190)+1)</f>
        <v/>
      </c>
      <c r="D191" t="str">
        <f>IF(AND(N191=""),"",MAX(D$4:D190)+1)</f>
        <v/>
      </c>
      <c r="F191" s="26" t="str">
        <f t="shared" si="19"/>
        <v/>
      </c>
      <c r="G191" s="29" t="str">
        <f t="shared" si="20"/>
        <v/>
      </c>
      <c r="H191" s="20" t="str">
        <f t="shared" si="21"/>
        <v/>
      </c>
      <c r="I191" s="20" t="str">
        <f t="shared" si="22"/>
        <v/>
      </c>
      <c r="J191" s="20" t="str">
        <f t="shared" si="23"/>
        <v/>
      </c>
      <c r="K191" s="31" t="str">
        <f t="shared" si="24"/>
        <v/>
      </c>
      <c r="L191" s="23" t="str">
        <f t="shared" si="25"/>
        <v/>
      </c>
      <c r="M191" t="str" cm="1">
        <f t="array" ref="M191">IF(COUNT(INDEX(FIND(ROW($1:$10)-1,K191),)),VALUE(MID(K191,MIN(SEARCH({1,2,3,4,5,6,7,8,9,0},K191&amp;1234567890)),LEN(K191)-(LENB(K191)-LEN(K191)))),"")</f>
        <v/>
      </c>
      <c r="N191" t="str">
        <f>IF(L191&lt;&gt;"○",M191,INDEX(G$4:G190,MATCH(L191&amp;M191,F$4:F190,0)))</f>
        <v/>
      </c>
      <c r="O191" t="str">
        <f t="shared" si="26"/>
        <v/>
      </c>
      <c r="Q191" s="4"/>
    </row>
    <row r="192" spans="2:17" x14ac:dyDescent="0.4">
      <c r="B192" t="s">
        <v>21</v>
      </c>
      <c r="C192" t="str">
        <f>IF(G192="","",MAX(C$4:C191)+1)</f>
        <v/>
      </c>
      <c r="D192" t="str">
        <f>IF(AND(N192=""),"",MAX(D$4:D191)+1)</f>
        <v/>
      </c>
      <c r="F192" s="26" t="str">
        <f t="shared" si="19"/>
        <v/>
      </c>
      <c r="G192" s="29" t="str">
        <f t="shared" si="20"/>
        <v/>
      </c>
      <c r="H192" s="20" t="str">
        <f t="shared" si="21"/>
        <v/>
      </c>
      <c r="I192" s="20" t="str">
        <f t="shared" si="22"/>
        <v/>
      </c>
      <c r="J192" s="20" t="str">
        <f t="shared" si="23"/>
        <v/>
      </c>
      <c r="K192" s="31" t="str">
        <f t="shared" si="24"/>
        <v/>
      </c>
      <c r="L192" s="23" t="str">
        <f t="shared" si="25"/>
        <v/>
      </c>
      <c r="M192" t="str" cm="1">
        <f t="array" ref="M192">IF(COUNT(INDEX(FIND(ROW($1:$10)-1,K192),)),VALUE(MID(K192,MIN(SEARCH({1,2,3,4,5,6,7,8,9,0},K192&amp;1234567890)),LEN(K192)-(LENB(K192)-LEN(K192)))),"")</f>
        <v/>
      </c>
      <c r="N192" t="str">
        <f>IF(L192&lt;&gt;"○",M192,INDEX(G$4:G191,MATCH(L192&amp;M192,F$4:F191,0)))</f>
        <v/>
      </c>
      <c r="O192" t="str">
        <f t="shared" si="26"/>
        <v/>
      </c>
      <c r="Q192" s="4"/>
    </row>
    <row r="193" spans="2:17" x14ac:dyDescent="0.4">
      <c r="B193" t="s">
        <v>21</v>
      </c>
      <c r="C193" t="str">
        <f>IF(G193="","",MAX(C$4:C192)+1)</f>
        <v/>
      </c>
      <c r="D193" t="str">
        <f>IF(AND(N193=""),"",MAX(D$4:D192)+1)</f>
        <v/>
      </c>
      <c r="F193" s="26" t="str">
        <f t="shared" si="19"/>
        <v/>
      </c>
      <c r="G193" s="29" t="str">
        <f t="shared" si="20"/>
        <v/>
      </c>
      <c r="H193" s="20" t="str">
        <f t="shared" si="21"/>
        <v/>
      </c>
      <c r="I193" s="20" t="str">
        <f t="shared" si="22"/>
        <v/>
      </c>
      <c r="J193" s="20" t="str">
        <f t="shared" si="23"/>
        <v/>
      </c>
      <c r="K193" s="31" t="str">
        <f t="shared" si="24"/>
        <v/>
      </c>
      <c r="L193" s="23" t="str">
        <f t="shared" si="25"/>
        <v/>
      </c>
      <c r="M193" t="str" cm="1">
        <f t="array" ref="M193">IF(COUNT(INDEX(FIND(ROW($1:$10)-1,K193),)),VALUE(MID(K193,MIN(SEARCH({1,2,3,4,5,6,7,8,9,0},K193&amp;1234567890)),LEN(K193)-(LENB(K193)-LEN(K193)))),"")</f>
        <v/>
      </c>
      <c r="N193" t="str">
        <f>IF(L193&lt;&gt;"○",M193,INDEX(G$4:G192,MATCH(L193&amp;M193,F$4:F192,0)))</f>
        <v/>
      </c>
      <c r="O193" t="str">
        <f t="shared" si="26"/>
        <v/>
      </c>
      <c r="Q193" s="4"/>
    </row>
    <row r="194" spans="2:17" x14ac:dyDescent="0.4">
      <c r="B194" t="s">
        <v>21</v>
      </c>
      <c r="C194" t="str">
        <f>IF(G194="","",MAX(C$4:C193)+1)</f>
        <v/>
      </c>
      <c r="D194" t="str">
        <f>IF(AND(N194=""),"",MAX(D$4:D193)+1)</f>
        <v/>
      </c>
      <c r="F194" s="26" t="str">
        <f t="shared" si="19"/>
        <v/>
      </c>
      <c r="G194" s="29" t="str">
        <f t="shared" si="20"/>
        <v/>
      </c>
      <c r="H194" s="20" t="str">
        <f t="shared" si="21"/>
        <v/>
      </c>
      <c r="I194" s="20" t="str">
        <f t="shared" si="22"/>
        <v/>
      </c>
      <c r="J194" s="20" t="str">
        <f t="shared" si="23"/>
        <v/>
      </c>
      <c r="K194" s="31" t="str">
        <f t="shared" si="24"/>
        <v/>
      </c>
      <c r="L194" s="23" t="str">
        <f t="shared" si="25"/>
        <v/>
      </c>
      <c r="M194" t="str" cm="1">
        <f t="array" ref="M194">IF(COUNT(INDEX(FIND(ROW($1:$10)-1,K194),)),VALUE(MID(K194,MIN(SEARCH({1,2,3,4,5,6,7,8,9,0},K194&amp;1234567890)),LEN(K194)-(LENB(K194)-LEN(K194)))),"")</f>
        <v/>
      </c>
      <c r="N194" t="str">
        <f>IF(L194&lt;&gt;"○",M194,INDEX(G$4:G193,MATCH(L194&amp;M194,F$4:F193,0)))</f>
        <v/>
      </c>
      <c r="O194" t="str">
        <f t="shared" si="26"/>
        <v/>
      </c>
      <c r="Q194" s="4"/>
    </row>
    <row r="195" spans="2:17" x14ac:dyDescent="0.4">
      <c r="B195" t="s">
        <v>21</v>
      </c>
      <c r="C195" t="str">
        <f>IF(G195="","",MAX(C$4:C194)+1)</f>
        <v/>
      </c>
      <c r="D195" t="str">
        <f>IF(AND(N195=""),"",MAX(D$4:D194)+1)</f>
        <v/>
      </c>
      <c r="F195" s="26" t="str">
        <f t="shared" si="19"/>
        <v/>
      </c>
      <c r="G195" s="29" t="str">
        <f t="shared" si="20"/>
        <v/>
      </c>
      <c r="H195" s="20" t="str">
        <f t="shared" si="21"/>
        <v/>
      </c>
      <c r="I195" s="20" t="str">
        <f t="shared" si="22"/>
        <v/>
      </c>
      <c r="J195" s="20" t="str">
        <f t="shared" si="23"/>
        <v/>
      </c>
      <c r="K195" s="31" t="str">
        <f t="shared" si="24"/>
        <v/>
      </c>
      <c r="L195" s="23" t="str">
        <f t="shared" si="25"/>
        <v/>
      </c>
      <c r="M195" t="str" cm="1">
        <f t="array" ref="M195">IF(COUNT(INDEX(FIND(ROW($1:$10)-1,K195),)),VALUE(MID(K195,MIN(SEARCH({1,2,3,4,5,6,7,8,9,0},K195&amp;1234567890)),LEN(K195)-(LENB(K195)-LEN(K195)))),"")</f>
        <v/>
      </c>
      <c r="N195" t="str">
        <f>IF(L195&lt;&gt;"○",M195,INDEX(G$4:G194,MATCH(L195&amp;M195,F$4:F194,0)))</f>
        <v/>
      </c>
      <c r="O195" t="str">
        <f t="shared" si="26"/>
        <v/>
      </c>
      <c r="Q195" s="4"/>
    </row>
    <row r="196" spans="2:17" x14ac:dyDescent="0.4">
      <c r="B196" t="s">
        <v>21</v>
      </c>
      <c r="C196" t="str">
        <f>IF(G196="","",MAX(C$4:C195)+1)</f>
        <v/>
      </c>
      <c r="D196" t="str">
        <f>IF(AND(N196=""),"",MAX(D$4:D195)+1)</f>
        <v/>
      </c>
      <c r="F196" s="26" t="str">
        <f t="shared" si="19"/>
        <v/>
      </c>
      <c r="G196" s="29" t="str">
        <f t="shared" si="20"/>
        <v/>
      </c>
      <c r="H196" s="20" t="str">
        <f t="shared" si="21"/>
        <v/>
      </c>
      <c r="I196" s="20" t="str">
        <f t="shared" si="22"/>
        <v/>
      </c>
      <c r="J196" s="20" t="str">
        <f t="shared" si="23"/>
        <v/>
      </c>
      <c r="K196" s="31" t="str">
        <f t="shared" si="24"/>
        <v/>
      </c>
      <c r="L196" s="23" t="str">
        <f t="shared" si="25"/>
        <v/>
      </c>
      <c r="M196" t="str" cm="1">
        <f t="array" ref="M196">IF(COUNT(INDEX(FIND(ROW($1:$10)-1,K196),)),VALUE(MID(K196,MIN(SEARCH({1,2,3,4,5,6,7,8,9,0},K196&amp;1234567890)),LEN(K196)-(LENB(K196)-LEN(K196)))),"")</f>
        <v/>
      </c>
      <c r="N196" t="str">
        <f>IF(L196&lt;&gt;"○",M196,INDEX(G$4:G195,MATCH(L196&amp;M196,F$4:F195,0)))</f>
        <v/>
      </c>
      <c r="O196" t="str">
        <f t="shared" si="26"/>
        <v/>
      </c>
      <c r="Q196" s="4"/>
    </row>
    <row r="197" spans="2:17" x14ac:dyDescent="0.4">
      <c r="B197" t="s">
        <v>21</v>
      </c>
      <c r="C197" t="str">
        <f>IF(G197="","",MAX(C$4:C196)+1)</f>
        <v/>
      </c>
      <c r="D197" t="str">
        <f>IF(AND(N197=""),"",MAX(D$4:D196)+1)</f>
        <v/>
      </c>
      <c r="F197" s="26" t="str">
        <f t="shared" si="19"/>
        <v/>
      </c>
      <c r="G197" s="29" t="str">
        <f t="shared" si="20"/>
        <v/>
      </c>
      <c r="H197" s="20" t="str">
        <f t="shared" si="21"/>
        <v/>
      </c>
      <c r="I197" s="20" t="str">
        <f t="shared" si="22"/>
        <v/>
      </c>
      <c r="J197" s="20" t="str">
        <f t="shared" si="23"/>
        <v/>
      </c>
      <c r="K197" s="31" t="str">
        <f t="shared" si="24"/>
        <v/>
      </c>
      <c r="L197" s="23" t="str">
        <f t="shared" si="25"/>
        <v/>
      </c>
      <c r="M197" t="str" cm="1">
        <f t="array" ref="M197">IF(COUNT(INDEX(FIND(ROW($1:$10)-1,K197),)),VALUE(MID(K197,MIN(SEARCH({1,2,3,4,5,6,7,8,9,0},K197&amp;1234567890)),LEN(K197)-(LENB(K197)-LEN(K197)))),"")</f>
        <v/>
      </c>
      <c r="N197" t="str">
        <f>IF(L197&lt;&gt;"○",M197,INDEX(G$4:G196,MATCH(L197&amp;M197,F$4:F196,0)))</f>
        <v/>
      </c>
      <c r="O197" t="str">
        <f t="shared" si="26"/>
        <v/>
      </c>
      <c r="Q197" s="4"/>
    </row>
    <row r="198" spans="2:17" x14ac:dyDescent="0.4">
      <c r="B198" t="s">
        <v>21</v>
      </c>
      <c r="C198" t="str">
        <f>IF(G198="","",MAX(C$4:C197)+1)</f>
        <v/>
      </c>
      <c r="D198" t="str">
        <f>IF(AND(N198=""),"",MAX(D$4:D197)+1)</f>
        <v/>
      </c>
      <c r="F198" s="26" t="str">
        <f t="shared" si="19"/>
        <v/>
      </c>
      <c r="G198" s="29" t="str">
        <f t="shared" si="20"/>
        <v/>
      </c>
      <c r="H198" s="20" t="str">
        <f t="shared" si="21"/>
        <v/>
      </c>
      <c r="I198" s="20" t="str">
        <f t="shared" si="22"/>
        <v/>
      </c>
      <c r="J198" s="20" t="str">
        <f t="shared" si="23"/>
        <v/>
      </c>
      <c r="K198" s="31" t="str">
        <f t="shared" si="24"/>
        <v/>
      </c>
      <c r="L198" s="23" t="str">
        <f t="shared" si="25"/>
        <v/>
      </c>
      <c r="M198" t="str" cm="1">
        <f t="array" ref="M198">IF(COUNT(INDEX(FIND(ROW($1:$10)-1,K198),)),VALUE(MID(K198,MIN(SEARCH({1,2,3,4,5,6,7,8,9,0},K198&amp;1234567890)),LEN(K198)-(LENB(K198)-LEN(K198)))),"")</f>
        <v/>
      </c>
      <c r="N198" t="str">
        <f>IF(L198&lt;&gt;"○",M198,INDEX(G$4:G197,MATCH(L198&amp;M198,F$4:F197,0)))</f>
        <v/>
      </c>
      <c r="O198" t="str">
        <f t="shared" si="26"/>
        <v/>
      </c>
      <c r="Q198" s="4"/>
    </row>
    <row r="199" spans="2:17" ht="19.5" customHeight="1" x14ac:dyDescent="0.4">
      <c r="B199" t="s">
        <v>21</v>
      </c>
      <c r="C199" t="str">
        <f>IF(G199="","",MAX(C$4:C198)+1)</f>
        <v/>
      </c>
      <c r="D199" t="str">
        <f>IF(AND(N199=""),"",MAX(D$4:D198)+1)</f>
        <v/>
      </c>
      <c r="F199" s="26" t="str">
        <f t="shared" si="19"/>
        <v/>
      </c>
      <c r="G199" s="29" t="str">
        <f t="shared" si="20"/>
        <v/>
      </c>
      <c r="H199" s="20" t="str">
        <f t="shared" si="21"/>
        <v/>
      </c>
      <c r="I199" s="20" t="str">
        <f t="shared" si="22"/>
        <v/>
      </c>
      <c r="J199" s="20" t="str">
        <f t="shared" si="23"/>
        <v/>
      </c>
      <c r="K199" s="31" t="str">
        <f t="shared" si="24"/>
        <v/>
      </c>
      <c r="L199" s="23" t="str">
        <f t="shared" si="25"/>
        <v/>
      </c>
      <c r="M199" t="str" cm="1">
        <f t="array" ref="M199">IF(COUNT(INDEX(FIND(ROW($1:$10)-1,K199),)),VALUE(MID(K199,MIN(SEARCH({1,2,3,4,5,6,7,8,9,0},K199&amp;1234567890)),LEN(K199)-(LENB(K199)-LEN(K199)))),"")</f>
        <v/>
      </c>
      <c r="N199" t="str">
        <f>IF(L199&lt;&gt;"○",M199,INDEX(G$4:G198,MATCH(L199&amp;M199,F$4:F198,0)))</f>
        <v/>
      </c>
      <c r="O199" t="str">
        <f t="shared" si="26"/>
        <v/>
      </c>
      <c r="Q199" s="4"/>
    </row>
    <row r="200" spans="2:17" x14ac:dyDescent="0.4">
      <c r="B200" t="s">
        <v>21</v>
      </c>
      <c r="C200" t="str">
        <f>IF(G200="","",MAX(C$4:C199)+1)</f>
        <v/>
      </c>
      <c r="D200" t="str">
        <f>IF(AND(N200=""),"",MAX(D$4:D199)+1)</f>
        <v/>
      </c>
      <c r="F200" s="26" t="str">
        <f t="shared" ref="F200" si="27">IF(G200&lt;&gt;"",R200&amp;S200,"")</f>
        <v/>
      </c>
      <c r="G200" s="29" t="str">
        <f t="shared" ref="G200" si="28">IF(AND((S200 &lt;&gt; ""),(S200 &gt;= 0)), ABS(IF(OR((R200=""),(R200="　")), S200, T200)), "")</f>
        <v/>
      </c>
      <c r="H200" s="20" t="str">
        <f t="shared" ref="H200" si="29">IF(OR((R200=""),(R200="　")),IF(G200 &lt;&gt; "", T200, ""),IF(G200 &lt;&gt; "", U200, ""))</f>
        <v/>
      </c>
      <c r="I200" s="20" t="str">
        <f t="shared" ref="I200" si="30">IF(G200 &lt;&gt; "", IF(COUNTIF(IF(OR((R200=""),(R200="　")), U200, V200),"*男*"),"男性",IF(COUNTIF(IF(OR((R200=""),(R200="　")), U200, V200),"*女*"),"女性","ー")),"")</f>
        <v/>
      </c>
      <c r="J200" s="20" t="str">
        <f t="shared" ref="J200" si="31">IF(G200 &lt;&gt; "", IF(OR((R200=""),(R200="　")), V200, W200),"")</f>
        <v/>
      </c>
      <c r="K200" s="31" t="str">
        <f t="shared" ref="K200" si="32">SUBSTITUTE(IF(OR(G200 &lt;&gt; "",AA200&lt;&gt; "",AB200&lt;&gt; ""), IF(OR((R200=""),(R200="　")), IF(AB200&lt;&gt;"", AB200, ""), AA200), IF(AND((AA200 &lt;&gt; ""), (R200&lt;&gt;""), (R200&lt;&gt;"　")), AA200, ""))," ","")</f>
        <v/>
      </c>
      <c r="L200" s="23" t="str">
        <f t="shared" ref="L200" si="33">IF(COUNTIF(K200,"*市*"),"○","")</f>
        <v/>
      </c>
      <c r="M200" t="str" cm="1">
        <f t="array" ref="M200">IF(COUNT(INDEX(FIND(ROW($1:$10)-1,K200),)),VALUE(MID(K200,MIN(SEARCH({1,2,3,4,5,6,7,8,9,0},K200&amp;1234567890)),LEN(K200)-(LENB(K200)-LEN(K200)))),"")</f>
        <v/>
      </c>
      <c r="N200" t="str">
        <f>IF(L200&lt;&gt;"○",M200,INDEX(G$4:G199,MATCH(L200&amp;M200,F$4:F199,0)))</f>
        <v/>
      </c>
      <c r="O200" t="str">
        <f t="shared" ref="O200" si="34">IF(M200 &lt;&gt; "",
IF(NOT(ISERROR(RIGHT(K200, LEN(K200)-LEN(M200)-1-FIND(M200&amp;"例目の", K200)))),RIGHT(K200, LEN(K200)-LEN(M200)-2-FIND(M200&amp;"例目の", K200)),
IF(NOT(ISERROR(RIGHT(K200, LEN(K200)-LEN(M200)-1-FIND(M200&amp;"例と", K200)))),RIGHT(K200, LEN(K200)-LEN(M200)-1-FIND(M200&amp;"例と", K200)),
IF(NOT(ISERROR(RIGHT(K200, LEN(K200)-LEN(M200)-1-FIND(M200&amp;"例の", K200)))),RIGHT(K200, LEN(K200)-LEN(M200)-1-FIND(M200&amp;"例の", K200)),
IF(NOT(ISERROR(RIGHT(K200, LEN(K200)-LEN(M200)-1-FIND(M200&amp;"の", K200)))),RIGHT(K200, LEN(K200)-LEN(M200)-FIND(M200&amp;"の", K200)),
IF(NOT(ISERROR(RIGHT(K200, LEN(K200)-LEN(M200)-1-FIND(M200&amp;"例", K200)))),RIGHT(K200, LEN(K200)-LEN(M200)-FIND(M200&amp;"例", K200)),
IF(NOT(ISERROR(RIGHT(K200, LEN(K200)-LEN(M200)-1-FIND(M200, K200)))),RIGHT(K200, LEN(K200)-LEN(M200)+1-FIND(M200, K200)),
"")))))), "")</f>
        <v/>
      </c>
      <c r="Q200" s="4"/>
    </row>
  </sheetData>
  <autoFilter ref="B3:AL192" xr:uid="{6DDDA8DB-D756-4CFC-ABB0-F0BB9BFFE6EA}"/>
  <mergeCells count="1">
    <mergeCell ref="Q2:Q3"/>
  </mergeCells>
  <phoneticPr fontId="1"/>
  <dataValidations count="1">
    <dataValidation type="list" allowBlank="1" showInputMessage="1" showErrorMessage="1" sqref="L4:L1048576 R4:R1048576" xr:uid="{6144C40E-2F56-4D11-945B-6DF816C51BE9}">
      <formula1>"○,　"</formula1>
    </dataValidation>
  </dataValidations>
  <pageMargins left="0.7" right="0.7" top="0.75" bottom="0.75" header="0.3" footer="0.3"/>
  <pageSetup paperSize="9" orientation="portrait" horizont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ThisWorkbook.fixData">
                <anchor moveWithCells="1" sizeWithCells="1">
                  <from>
                    <xdr:col>1</xdr:col>
                    <xdr:colOff>657225</xdr:colOff>
                    <xdr:row>1</xdr:row>
                    <xdr:rowOff>66675</xdr:rowOff>
                  </from>
                  <to>
                    <xdr:col>5</xdr:col>
                    <xdr:colOff>571500</xdr:colOff>
                    <xdr:row>1</xdr:row>
                    <xdr:rowOff>609600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5EE10-B047-4B34-830A-D96EC2F44A75}">
  <sheetPr codeName="Sheet2"/>
  <dimension ref="A1:Y200"/>
  <sheetViews>
    <sheetView topLeftCell="A184" zoomScale="70" zoomScaleNormal="70" workbookViewId="0">
      <selection activeCell="C205" sqref="C205"/>
    </sheetView>
  </sheetViews>
  <sheetFormatPr defaultRowHeight="18.75" x14ac:dyDescent="0.4"/>
  <cols>
    <col min="1" max="1" width="14.25" customWidth="1"/>
    <col min="2" max="2" width="11.625" style="4" customWidth="1"/>
    <col min="3" max="3" width="14" style="1" customWidth="1"/>
    <col min="4" max="7" width="9" style="1"/>
    <col min="8" max="8" width="19" style="10" hidden="1" customWidth="1"/>
    <col min="9" max="9" width="16.125" style="1" hidden="1" customWidth="1"/>
    <col min="10" max="10" width="9" style="1" hidden="1" customWidth="1"/>
    <col min="11" max="11" width="26.625" style="27" customWidth="1"/>
    <col min="13" max="13" width="11.375" style="4" bestFit="1" customWidth="1"/>
    <col min="14" max="14" width="11.625" style="1" customWidth="1"/>
    <col min="15" max="18" width="9" style="1"/>
    <col min="19" max="19" width="9" style="9" hidden="1" customWidth="1"/>
    <col min="20" max="20" width="11.75" style="1" customWidth="1"/>
    <col min="21" max="21" width="12.25" style="1" customWidth="1"/>
  </cols>
  <sheetData>
    <row r="1" spans="1:25" ht="19.5" thickBot="1" x14ac:dyDescent="0.45">
      <c r="B1" s="5" t="s">
        <v>30</v>
      </c>
      <c r="C1"/>
      <c r="D1"/>
      <c r="E1"/>
      <c r="F1"/>
      <c r="G1"/>
      <c r="H1"/>
      <c r="I1"/>
      <c r="J1"/>
      <c r="K1"/>
      <c r="M1" t="s">
        <v>31</v>
      </c>
      <c r="N1"/>
      <c r="O1"/>
      <c r="P1"/>
      <c r="Q1"/>
      <c r="R1"/>
      <c r="S1"/>
      <c r="T1"/>
      <c r="U1"/>
      <c r="W1" s="32" t="s">
        <v>441</v>
      </c>
      <c r="X1" s="33"/>
      <c r="Y1" s="34">
        <f>Main!$O$1</f>
        <v>99999</v>
      </c>
    </row>
    <row r="2" spans="1:25" x14ac:dyDescent="0.4">
      <c r="B2" s="6" t="s">
        <v>23</v>
      </c>
      <c r="C2" s="3" t="s">
        <v>16</v>
      </c>
      <c r="D2" s="3" t="s">
        <v>17</v>
      </c>
      <c r="E2" s="3" t="s">
        <v>18</v>
      </c>
      <c r="F2" s="3" t="s">
        <v>40</v>
      </c>
      <c r="G2" s="3" t="s">
        <v>19</v>
      </c>
      <c r="H2" s="3" t="s">
        <v>20</v>
      </c>
      <c r="I2" s="3" t="s">
        <v>26</v>
      </c>
      <c r="J2" s="3" t="s">
        <v>27</v>
      </c>
      <c r="K2" s="35" t="s">
        <v>444</v>
      </c>
      <c r="M2" s="6" t="s">
        <v>23</v>
      </c>
      <c r="N2" s="3" t="s">
        <v>16</v>
      </c>
      <c r="O2" s="3" t="s">
        <v>17</v>
      </c>
      <c r="P2" s="3" t="s">
        <v>18</v>
      </c>
      <c r="Q2" s="3" t="s">
        <v>40</v>
      </c>
      <c r="R2" s="3" t="s">
        <v>19</v>
      </c>
      <c r="S2" s="3" t="s">
        <v>20</v>
      </c>
      <c r="T2" s="3" t="s">
        <v>26</v>
      </c>
      <c r="U2" s="3" t="s">
        <v>27</v>
      </c>
    </row>
    <row r="3" spans="1:25" x14ac:dyDescent="0.4">
      <c r="A3" t="s">
        <v>21</v>
      </c>
      <c r="B3" s="4" t="str">
        <f>TEXT(IF(ROW(A1)&gt;MAX(Main!$C$4:$C$1048576),"",INDEX(Main!Q$4:Q$1048576,MATCH(ROW(A1),Main!$C$4:$C$1048576,0))), "yyyy/m/d")</f>
        <v>2023/1/25</v>
      </c>
      <c r="C3" s="1">
        <f>IF(IF(ROW(A1)&gt;MAX(Main!$C$4:$C$1048576),"",INDEX(Main!G$4:G$1048576,MATCH(ROW(A1),Main!$C$4:$C$1048576,0)))="",IF(B3="","",C2),IF(ROW(A1)&gt;MAX(Main!$C$4:$C$1048576),"",INDEX(Main!G$4:G$1048576,MATCH(ROW(A1),Main!$C$4:$C$1048576,0))))</f>
        <v>99999936001</v>
      </c>
      <c r="D3" s="1" t="str">
        <f>IF(IF(ROW(B1)&gt;MAX(Main!$C$4:$C$1048576),"",INDEX(Main!H$4:H$1048576,MATCH(ROW(B1),Main!$C$4:$C$1048576,0)))="",IF(C3="","",D2),IF(ROW(B1)&gt;MAX(Main!$C$4:$C$1048576),"",INDEX(Main!H$4:H$1048576,MATCH(ROW(B1),Main!$C$4:$C$1048576,0))))</f>
        <v>-</v>
      </c>
      <c r="E3" s="1" t="str">
        <f>IF(IF(ROW(C1)&gt;MAX(Main!$C$4:$C$1048576),"",INDEX(Main!I$4:I$1048576,MATCH(ROW(C1),Main!$C$4:$C$1048576,0)))="",IF(D3="","",E2),IF(ROW(C1)&gt;MAX(Main!$C$4:$C$1048576),"",INDEX(Main!I$4:I$1048576,MATCH(ROW(C1),Main!$C$4:$C$1048576,0))))</f>
        <v>ー</v>
      </c>
      <c r="F3" s="1" t="str">
        <f t="shared" ref="F3:F66" si="0">IF(E3&lt;&gt;"",IF(E3="男性","male",IF(E3="女性","female","else")),"")</f>
        <v>else</v>
      </c>
      <c r="G3" s="1" t="str">
        <f>IF(IF(ROW(D1)&gt;MAX(Main!$C$4:$C$1048576),"",INDEX(Main!J$4:J$1048576,MATCH(ROW(D1),Main!$C$4:$C$1048576,0)))="",IF(E3="","",G2),IF(ROW(D1)&gt;MAX(Main!$C$4:$C$1048576),"",INDEX(Main!J$4:J$1048576,MATCH(ROW(D1),Main!$C$4:$C$1048576,0))))</f>
        <v>酒田市</v>
      </c>
      <c r="H3" s="10" t="str">
        <f>IF(ROW(G1)&gt;MAX(Main!$C$4:$C$1048576),"",INDEX(Main!K$4:K$1048576,MATCH(ROW(G1),Main!$C$4:$C$1048576,0)))</f>
        <v>99999936001介護施設</v>
      </c>
      <c r="I3" s="1">
        <f>IF(H3&lt;&gt;"",IF(ROW(G1)&gt;MAX(Main!$C$4:$C$1048576),"",INDEX(Main!N$4:N$1048576,MATCH(ROW(G1),Main!$C$4:$C$1048576,0))),"")</f>
        <v>99999936001</v>
      </c>
      <c r="J3" s="1" t="str">
        <f>IF(IF(ROW(H1)&gt;MAX(Main!$C$4:$C$1048576),"",INDEX(Main!O$4:O$1048576,MATCH(ROW(H1),Main!$C$4:$C$1048576,0)))="",IF(I3="","",J2),IF(ROW(H1)&gt;MAX(Main!$C$4:$C$1048576),"",INDEX(Main!O$4:O$1048576,MATCH(ROW(H1),Main!$C$4:$C$1048576,0))))</f>
        <v>介護施設</v>
      </c>
      <c r="K3" s="27" t="str">
        <f t="shared" ref="K3:K66" si="1">IF(ISERROR(FIND($Y$1, $C3)), $C3&amp;
"例目",
"クラスターNo."&amp;LEFT(REPLACE($C3, 1, LEN($Y$1), ""), LEN($C3)-3-LEN($Y$1)))</f>
        <v>クラスターNo.936</v>
      </c>
      <c r="M3" s="4" t="str">
        <f>TEXT(IF(ROW(A1)&gt;MAX(Main!$D$4:$D$1048576),"",INDEX(Main!Q$4:Q$1048576,MATCH(ROW(A1),Main!$D$4:$D$1048576,0))), "yyyy/m/d")</f>
        <v>2023/1/25</v>
      </c>
      <c r="N3" s="1">
        <f>IF(IF(ROW(A1)&gt;MAX(Main!$D$4:$D$1048576),"",INDEX(Main!G$4:G$1048576,MATCH(ROW(A1),Main!$D$4:$D$1048576,0)))="",IF(M3="","",N2),IF(ROW(A1)&gt;MAX(Main!$D$4:$D$1048576),"",INDEX(Main!G$4:G$1048576,MATCH(ROW(A1),Main!$D$4:$D$1048576,0))))</f>
        <v>99999936001</v>
      </c>
      <c r="O3" s="1" t="str">
        <f>IF(IF(ROW(B1)&gt;MAX(Main!$D$4:$D$1048576),"",INDEX(Main!H$4:H$1048576,MATCH(ROW(B1),Main!$D$4:$D$1048576,0)))="",IF(N3="","",O2),IF(ROW(B1)&gt;MAX(Main!$D$4:$D$1048576),"",INDEX(Main!H$4:H$1048576,MATCH(ROW(B1),Main!$D$4:$D$1048576,0))))</f>
        <v>-</v>
      </c>
      <c r="P3" s="1" t="str">
        <f>IF(IF(ROW(C1)&gt;MAX(Main!$D$4:$D$1048576),"",INDEX(Main!I$4:I$1048576,MATCH(ROW(C1),Main!$D$4:$D$1048576,0)))="",IF(O3="","",P2),IF(ROW(C1)&gt;MAX(Main!$D$4:$D$1048576),"",INDEX(Main!I$4:I$1048576,MATCH(ROW(C1),Main!$D$4:$D$1048576,0))))</f>
        <v>ー</v>
      </c>
      <c r="Q3" s="1" t="str">
        <f t="shared" ref="Q3:Q66" si="2">IF(P3&lt;&gt;"",IF(P3="男性","male",IF(P3="女性","female","else")),"")</f>
        <v>else</v>
      </c>
      <c r="R3" s="1" t="str">
        <f>IF(IF(ROW(D1)&gt;MAX(Main!$D$4:$D$1048576),"",INDEX(Main!J$4:J$1048576,MATCH(ROW(D1),Main!$D$4:$D$1048576,0)))="",IF(P3="","",R2),IF(ROW(D1)&gt;MAX(Main!$D$4:$D$1048576),"",INDEX(Main!J$4:J$1048576,MATCH(ROW(D1),Main!$D$4:$D$1048576,0))))</f>
        <v>酒田市</v>
      </c>
      <c r="S3" s="9" t="str">
        <f>IF(ROW(G1)&gt;MAX(Main!$D$4:$D$1048576),"",INDEX(Main!K$4:K$1048576,MATCH(ROW(G1),Main!$D$4:$D$1048576,0)))</f>
        <v>99999936001介護施設</v>
      </c>
      <c r="T3" s="1">
        <f>IF(S3&lt;&gt;"",IF(ROW(G1)&gt;MAX(Main!$D$4:$D$1048576),"",INDEX(Main!N$4:N$1048576,MATCH(ROW(G1),Main!$D$4:$D$1048576,0))),"")</f>
        <v>99999936001</v>
      </c>
      <c r="U3" s="1" t="str">
        <f>IF(IF(ROW(H1)&gt;MAX(Main!$D$4:$D$1048576),"",INDEX(Main!O$4:O$1048576,MATCH(ROW(H1),Main!$D$4:$D$1048576,0)))="",IF(T3="","",U2),IF(ROW(H1)&gt;MAX(Main!$D$4:$D$1048576),"",INDEX(Main!O$4:O$1048576,MATCH(ROW(H1),Main!$D$4:$D$1048576,0))))</f>
        <v>介護施設</v>
      </c>
    </row>
    <row r="4" spans="1:25" x14ac:dyDescent="0.4">
      <c r="A4" t="s">
        <v>21</v>
      </c>
      <c r="B4" s="4" t="str">
        <f>TEXT(IF(ROW(A2)&gt;MAX(Main!$C$4:$C$1048576),"",INDEX(Main!Q$4:Q$1048576,MATCH(ROW(A2),Main!$C$4:$C$1048576,0))), "yyyy/m/d")</f>
        <v>2023/1/25</v>
      </c>
      <c r="C4" s="1">
        <f>IF(IF(ROW(A2)&gt;MAX(Main!$C$4:$C$1048576),"",INDEX(Main!G$4:G$1048576,MATCH(ROW(A2),Main!$C$4:$C$1048576,0)))="",IF(B4="","",C3),IF(ROW(A2)&gt;MAX(Main!$C$4:$C$1048576),"",INDEX(Main!G$4:G$1048576,MATCH(ROW(A2),Main!$C$4:$C$1048576,0))))</f>
        <v>99999936002</v>
      </c>
      <c r="D4" s="1" t="str">
        <f>IF(IF(ROW(B2)&gt;MAX(Main!$C$4:$C$1048576),"",INDEX(Main!H$4:H$1048576,MATCH(ROW(B2),Main!$C$4:$C$1048576,0)))="",IF(C4="","",D3),IF(ROW(B2)&gt;MAX(Main!$C$4:$C$1048576),"",INDEX(Main!H$4:H$1048576,MATCH(ROW(B2),Main!$C$4:$C$1048576,0))))</f>
        <v>-</v>
      </c>
      <c r="E4" s="1" t="str">
        <f>IF(IF(ROW(C2)&gt;MAX(Main!$C$4:$C$1048576),"",INDEX(Main!I$4:I$1048576,MATCH(ROW(C2),Main!$C$4:$C$1048576,0)))="",IF(D4="","",E3),IF(ROW(C2)&gt;MAX(Main!$C$4:$C$1048576),"",INDEX(Main!I$4:I$1048576,MATCH(ROW(C2),Main!$C$4:$C$1048576,0))))</f>
        <v>ー</v>
      </c>
      <c r="F4" s="1" t="str">
        <f t="shared" si="0"/>
        <v>else</v>
      </c>
      <c r="G4" s="1" t="str">
        <f>IF(IF(ROW(D2)&gt;MAX(Main!$C$4:$C$1048576),"",INDEX(Main!J$4:J$1048576,MATCH(ROW(D2),Main!$C$4:$C$1048576,0)))="",IF(E4="","",G3),IF(ROW(D2)&gt;MAX(Main!$C$4:$C$1048576),"",INDEX(Main!J$4:J$1048576,MATCH(ROW(D2),Main!$C$4:$C$1048576,0))))</f>
        <v>酒田市</v>
      </c>
      <c r="H4" s="10" t="str">
        <f>IF(ROW(G2)&gt;MAX(Main!$C$4:$C$1048576),"",INDEX(Main!K$4:K$1048576,MATCH(ROW(G2),Main!$C$4:$C$1048576,0)))</f>
        <v>99999936001関連</v>
      </c>
      <c r="I4" s="1">
        <f>IF(H4&lt;&gt;"",IF(ROW(G2)&gt;MAX(Main!$C$4:$C$1048576),"",INDEX(Main!N$4:N$1048576,MATCH(ROW(G2),Main!$C$4:$C$1048576,0))),"")</f>
        <v>99999936001</v>
      </c>
      <c r="J4" s="1" t="str">
        <f>IF(IF(ROW(H2)&gt;MAX(Main!$C$4:$C$1048576),"",INDEX(Main!O$4:O$1048576,MATCH(ROW(H2),Main!$C$4:$C$1048576,0)))="",IF(I4="","",J3),IF(ROW(H2)&gt;MAX(Main!$C$4:$C$1048576),"",INDEX(Main!O$4:O$1048576,MATCH(ROW(H2),Main!$C$4:$C$1048576,0))))</f>
        <v>関連</v>
      </c>
      <c r="K4" s="27" t="str">
        <f t="shared" si="1"/>
        <v>クラスターNo.936</v>
      </c>
      <c r="M4" s="4" t="str">
        <f>TEXT(IF(ROW(A2)&gt;MAX(Main!$D$4:$D$1048576),"",INDEX(Main!Q$4:Q$1048576,MATCH(ROW(A2),Main!$D$4:$D$1048576,0))), "yyyy/m/d")</f>
        <v>2023/1/25</v>
      </c>
      <c r="N4" s="1">
        <f>IF(IF(ROW(A2)&gt;MAX(Main!$D$4:$D$1048576),"",INDEX(Main!G$4:G$1048576,MATCH(ROW(A2),Main!$D$4:$D$1048576,0)))="",IF(M4="","",N3),IF(ROW(A2)&gt;MAX(Main!$D$4:$D$1048576),"",INDEX(Main!G$4:G$1048576,MATCH(ROW(A2),Main!$D$4:$D$1048576,0))))</f>
        <v>99999936002</v>
      </c>
      <c r="O4" s="1" t="str">
        <f>IF(IF(ROW(B2)&gt;MAX(Main!$D$4:$D$1048576),"",INDEX(Main!H$4:H$1048576,MATCH(ROW(B2),Main!$D$4:$D$1048576,0)))="",IF(N4="","",O3),IF(ROW(B2)&gt;MAX(Main!$D$4:$D$1048576),"",INDEX(Main!H$4:H$1048576,MATCH(ROW(B2),Main!$D$4:$D$1048576,0))))</f>
        <v>-</v>
      </c>
      <c r="P4" s="1" t="str">
        <f>IF(IF(ROW(C2)&gt;MAX(Main!$D$4:$D$1048576),"",INDEX(Main!I$4:I$1048576,MATCH(ROW(C2),Main!$D$4:$D$1048576,0)))="",IF(O4="","",P3),IF(ROW(C2)&gt;MAX(Main!$D$4:$D$1048576),"",INDEX(Main!I$4:I$1048576,MATCH(ROW(C2),Main!$D$4:$D$1048576,0))))</f>
        <v>ー</v>
      </c>
      <c r="Q4" s="1" t="str">
        <f t="shared" si="2"/>
        <v>else</v>
      </c>
      <c r="R4" s="1" t="str">
        <f>IF(IF(ROW(D2)&gt;MAX(Main!$D$4:$D$1048576),"",INDEX(Main!J$4:J$1048576,MATCH(ROW(D2),Main!$D$4:$D$1048576,0)))="",IF(P4="","",R3),IF(ROW(D2)&gt;MAX(Main!$D$4:$D$1048576),"",INDEX(Main!J$4:J$1048576,MATCH(ROW(D2),Main!$D$4:$D$1048576,0))))</f>
        <v>酒田市</v>
      </c>
      <c r="S4" s="9" t="str">
        <f>IF(ROW(G2)&gt;MAX(Main!$D$4:$D$1048576),"",INDEX(Main!K$4:K$1048576,MATCH(ROW(G2),Main!$D$4:$D$1048576,0)))</f>
        <v>99999936001関連</v>
      </c>
      <c r="T4" s="1">
        <f>IF(S4&lt;&gt;"",IF(ROW(G2)&gt;MAX(Main!$D$4:$D$1048576),"",INDEX(Main!N$4:N$1048576,MATCH(ROW(G2),Main!$D$4:$D$1048576,0))),"")</f>
        <v>99999936001</v>
      </c>
      <c r="U4" s="1" t="str">
        <f>IF(IF(ROW(H2)&gt;MAX(Main!$D$4:$D$1048576),"",INDEX(Main!O$4:O$1048576,MATCH(ROW(H2),Main!$D$4:$D$1048576,0)))="",IF(T4="","",U3),IF(ROW(H2)&gt;MAX(Main!$D$4:$D$1048576),"",INDEX(Main!O$4:O$1048576,MATCH(ROW(H2),Main!$D$4:$D$1048576,0))))</f>
        <v>関連</v>
      </c>
    </row>
    <row r="5" spans="1:25" x14ac:dyDescent="0.4">
      <c r="A5" t="s">
        <v>21</v>
      </c>
      <c r="B5" s="4" t="str">
        <f>TEXT(IF(ROW(A3)&gt;MAX(Main!$C$4:$C$1048576),"",INDEX(Main!Q$4:Q$1048576,MATCH(ROW(A3),Main!$C$4:$C$1048576,0))), "yyyy/m/d")</f>
        <v>2023/1/25</v>
      </c>
      <c r="C5" s="1">
        <f>IF(IF(ROW(A3)&gt;MAX(Main!$C$4:$C$1048576),"",INDEX(Main!G$4:G$1048576,MATCH(ROW(A3),Main!$C$4:$C$1048576,0)))="",IF(B5="","",C4),IF(ROW(A3)&gt;MAX(Main!$C$4:$C$1048576),"",INDEX(Main!G$4:G$1048576,MATCH(ROW(A3),Main!$C$4:$C$1048576,0))))</f>
        <v>99999936003</v>
      </c>
      <c r="D5" s="1" t="str">
        <f>IF(IF(ROW(B3)&gt;MAX(Main!$C$4:$C$1048576),"",INDEX(Main!H$4:H$1048576,MATCH(ROW(B3),Main!$C$4:$C$1048576,0)))="",IF(C5="","",D4),IF(ROW(B3)&gt;MAX(Main!$C$4:$C$1048576),"",INDEX(Main!H$4:H$1048576,MATCH(ROW(B3),Main!$C$4:$C$1048576,0))))</f>
        <v>-</v>
      </c>
      <c r="E5" s="1" t="str">
        <f>IF(IF(ROW(C3)&gt;MAX(Main!$C$4:$C$1048576),"",INDEX(Main!I$4:I$1048576,MATCH(ROW(C3),Main!$C$4:$C$1048576,0)))="",IF(D5="","",E4),IF(ROW(C3)&gt;MAX(Main!$C$4:$C$1048576),"",INDEX(Main!I$4:I$1048576,MATCH(ROW(C3),Main!$C$4:$C$1048576,0))))</f>
        <v>ー</v>
      </c>
      <c r="F5" s="1" t="str">
        <f t="shared" si="0"/>
        <v>else</v>
      </c>
      <c r="G5" s="1" t="str">
        <f>IF(IF(ROW(D3)&gt;MAX(Main!$C$4:$C$1048576),"",INDEX(Main!J$4:J$1048576,MATCH(ROW(D3),Main!$C$4:$C$1048576,0)))="",IF(E5="","",G4),IF(ROW(D3)&gt;MAX(Main!$C$4:$C$1048576),"",INDEX(Main!J$4:J$1048576,MATCH(ROW(D3),Main!$C$4:$C$1048576,0))))</f>
        <v>酒田市</v>
      </c>
      <c r="H5" s="10" t="str">
        <f>IF(ROW(G3)&gt;MAX(Main!$C$4:$C$1048576),"",INDEX(Main!K$4:K$1048576,MATCH(ROW(G3),Main!$C$4:$C$1048576,0)))</f>
        <v>99999936001関連</v>
      </c>
      <c r="I5" s="1">
        <f>IF(H5&lt;&gt;"",IF(ROW(G3)&gt;MAX(Main!$C$4:$C$1048576),"",INDEX(Main!N$4:N$1048576,MATCH(ROW(G3),Main!$C$4:$C$1048576,0))),"")</f>
        <v>99999936001</v>
      </c>
      <c r="J5" s="1" t="str">
        <f>IF(IF(ROW(H3)&gt;MAX(Main!$C$4:$C$1048576),"",INDEX(Main!O$4:O$1048576,MATCH(ROW(H3),Main!$C$4:$C$1048576,0)))="",IF(I5="","",J4),IF(ROW(H3)&gt;MAX(Main!$C$4:$C$1048576),"",INDEX(Main!O$4:O$1048576,MATCH(ROW(H3),Main!$C$4:$C$1048576,0))))</f>
        <v>関連</v>
      </c>
      <c r="K5" s="27" t="str">
        <f t="shared" si="1"/>
        <v>クラスターNo.936</v>
      </c>
      <c r="M5" s="4" t="str">
        <f>TEXT(IF(ROW(A3)&gt;MAX(Main!$D$4:$D$1048576),"",INDEX(Main!Q$4:Q$1048576,MATCH(ROW(A3),Main!$D$4:$D$1048576,0))), "yyyy/m/d")</f>
        <v>2023/1/25</v>
      </c>
      <c r="N5" s="1">
        <f>IF(IF(ROW(A3)&gt;MAX(Main!$D$4:$D$1048576),"",INDEX(Main!G$4:G$1048576,MATCH(ROW(A3),Main!$D$4:$D$1048576,0)))="",IF(M5="","",N4),IF(ROW(A3)&gt;MAX(Main!$D$4:$D$1048576),"",INDEX(Main!G$4:G$1048576,MATCH(ROW(A3),Main!$D$4:$D$1048576,0))))</f>
        <v>99999936003</v>
      </c>
      <c r="O5" s="1" t="str">
        <f>IF(IF(ROW(B3)&gt;MAX(Main!$D$4:$D$1048576),"",INDEX(Main!H$4:H$1048576,MATCH(ROW(B3),Main!$D$4:$D$1048576,0)))="",IF(N5="","",O4),IF(ROW(B3)&gt;MAX(Main!$D$4:$D$1048576),"",INDEX(Main!H$4:H$1048576,MATCH(ROW(B3),Main!$D$4:$D$1048576,0))))</f>
        <v>-</v>
      </c>
      <c r="P5" s="1" t="str">
        <f>IF(IF(ROW(C3)&gt;MAX(Main!$D$4:$D$1048576),"",INDEX(Main!I$4:I$1048576,MATCH(ROW(C3),Main!$D$4:$D$1048576,0)))="",IF(O5="","",P4),IF(ROW(C3)&gt;MAX(Main!$D$4:$D$1048576),"",INDEX(Main!I$4:I$1048576,MATCH(ROW(C3),Main!$D$4:$D$1048576,0))))</f>
        <v>ー</v>
      </c>
      <c r="Q5" s="1" t="str">
        <f t="shared" si="2"/>
        <v>else</v>
      </c>
      <c r="R5" s="1" t="str">
        <f>IF(IF(ROW(D3)&gt;MAX(Main!$D$4:$D$1048576),"",INDEX(Main!J$4:J$1048576,MATCH(ROW(D3),Main!$D$4:$D$1048576,0)))="",IF(P5="","",R4),IF(ROW(D3)&gt;MAX(Main!$D$4:$D$1048576),"",INDEX(Main!J$4:J$1048576,MATCH(ROW(D3),Main!$D$4:$D$1048576,0))))</f>
        <v>酒田市</v>
      </c>
      <c r="S5" s="9" t="str">
        <f>IF(ROW(G3)&gt;MAX(Main!$D$4:$D$1048576),"",INDEX(Main!K$4:K$1048576,MATCH(ROW(G3),Main!$D$4:$D$1048576,0)))</f>
        <v>99999936001関連</v>
      </c>
      <c r="T5" s="1">
        <f>IF(S5&lt;&gt;"",IF(ROW(G3)&gt;MAX(Main!$D$4:$D$1048576),"",INDEX(Main!N$4:N$1048576,MATCH(ROW(G3),Main!$D$4:$D$1048576,0))),"")</f>
        <v>99999936001</v>
      </c>
      <c r="U5" s="1" t="str">
        <f>IF(IF(ROW(H3)&gt;MAX(Main!$D$4:$D$1048576),"",INDEX(Main!O$4:O$1048576,MATCH(ROW(H3),Main!$D$4:$D$1048576,0)))="",IF(T5="","",U4),IF(ROW(H3)&gt;MAX(Main!$D$4:$D$1048576),"",INDEX(Main!O$4:O$1048576,MATCH(ROW(H3),Main!$D$4:$D$1048576,0))))</f>
        <v>関連</v>
      </c>
    </row>
    <row r="6" spans="1:25" x14ac:dyDescent="0.4">
      <c r="A6" t="s">
        <v>21</v>
      </c>
      <c r="B6" s="4" t="str">
        <f>TEXT(IF(ROW(A4)&gt;MAX(Main!$C$4:$C$1048576),"",INDEX(Main!Q$4:Q$1048576,MATCH(ROW(A4),Main!$C$4:$C$1048576,0))), "yyyy/m/d")</f>
        <v>2023/1/25</v>
      </c>
      <c r="C6" s="1">
        <f>IF(IF(ROW(A4)&gt;MAX(Main!$C$4:$C$1048576),"",INDEX(Main!G$4:G$1048576,MATCH(ROW(A4),Main!$C$4:$C$1048576,0)))="",IF(B6="","",C5),IF(ROW(A4)&gt;MAX(Main!$C$4:$C$1048576),"",INDEX(Main!G$4:G$1048576,MATCH(ROW(A4),Main!$C$4:$C$1048576,0))))</f>
        <v>99999936004</v>
      </c>
      <c r="D6" s="1" t="str">
        <f>IF(IF(ROW(B4)&gt;MAX(Main!$C$4:$C$1048576),"",INDEX(Main!H$4:H$1048576,MATCH(ROW(B4),Main!$C$4:$C$1048576,0)))="",IF(C6="","",D5),IF(ROW(B4)&gt;MAX(Main!$C$4:$C$1048576),"",INDEX(Main!H$4:H$1048576,MATCH(ROW(B4),Main!$C$4:$C$1048576,0))))</f>
        <v>-</v>
      </c>
      <c r="E6" s="1" t="str">
        <f>IF(IF(ROW(C4)&gt;MAX(Main!$C$4:$C$1048576),"",INDEX(Main!I$4:I$1048576,MATCH(ROW(C4),Main!$C$4:$C$1048576,0)))="",IF(D6="","",E5),IF(ROW(C4)&gt;MAX(Main!$C$4:$C$1048576),"",INDEX(Main!I$4:I$1048576,MATCH(ROW(C4),Main!$C$4:$C$1048576,0))))</f>
        <v>ー</v>
      </c>
      <c r="F6" s="1" t="str">
        <f t="shared" si="0"/>
        <v>else</v>
      </c>
      <c r="G6" s="1" t="str">
        <f>IF(IF(ROW(D4)&gt;MAX(Main!$C$4:$C$1048576),"",INDEX(Main!J$4:J$1048576,MATCH(ROW(D4),Main!$C$4:$C$1048576,0)))="",IF(E6="","",G5),IF(ROW(D4)&gt;MAX(Main!$C$4:$C$1048576),"",INDEX(Main!J$4:J$1048576,MATCH(ROW(D4),Main!$C$4:$C$1048576,0))))</f>
        <v>酒田市</v>
      </c>
      <c r="H6" s="10" t="str">
        <f>IF(ROW(G4)&gt;MAX(Main!$C$4:$C$1048576),"",INDEX(Main!K$4:K$1048576,MATCH(ROW(G4),Main!$C$4:$C$1048576,0)))</f>
        <v>99999936001関連</v>
      </c>
      <c r="I6" s="1">
        <f>IF(H6&lt;&gt;"",IF(ROW(G4)&gt;MAX(Main!$C$4:$C$1048576),"",INDEX(Main!N$4:N$1048576,MATCH(ROW(G4),Main!$C$4:$C$1048576,0))),"")</f>
        <v>99999936001</v>
      </c>
      <c r="J6" s="1" t="str">
        <f>IF(IF(ROW(H4)&gt;MAX(Main!$C$4:$C$1048576),"",INDEX(Main!O$4:O$1048576,MATCH(ROW(H4),Main!$C$4:$C$1048576,0)))="",IF(I6="","",J5),IF(ROW(H4)&gt;MAX(Main!$C$4:$C$1048576),"",INDEX(Main!O$4:O$1048576,MATCH(ROW(H4),Main!$C$4:$C$1048576,0))))</f>
        <v>関連</v>
      </c>
      <c r="K6" s="27" t="str">
        <f t="shared" si="1"/>
        <v>クラスターNo.936</v>
      </c>
      <c r="M6" s="4" t="str">
        <f>TEXT(IF(ROW(A4)&gt;MAX(Main!$D$4:$D$1048576),"",INDEX(Main!Q$4:Q$1048576,MATCH(ROW(A4),Main!$D$4:$D$1048576,0))), "yyyy/m/d")</f>
        <v>2023/1/25</v>
      </c>
      <c r="N6" s="1">
        <f>IF(IF(ROW(A4)&gt;MAX(Main!$D$4:$D$1048576),"",INDEX(Main!G$4:G$1048576,MATCH(ROW(A4),Main!$D$4:$D$1048576,0)))="",IF(M6="","",N5),IF(ROW(A4)&gt;MAX(Main!$D$4:$D$1048576),"",INDEX(Main!G$4:G$1048576,MATCH(ROW(A4),Main!$D$4:$D$1048576,0))))</f>
        <v>99999936004</v>
      </c>
      <c r="O6" s="1" t="str">
        <f>IF(IF(ROW(B4)&gt;MAX(Main!$D$4:$D$1048576),"",INDEX(Main!H$4:H$1048576,MATCH(ROW(B4),Main!$D$4:$D$1048576,0)))="",IF(N6="","",O5),IF(ROW(B4)&gt;MAX(Main!$D$4:$D$1048576),"",INDEX(Main!H$4:H$1048576,MATCH(ROW(B4),Main!$D$4:$D$1048576,0))))</f>
        <v>-</v>
      </c>
      <c r="P6" s="1" t="str">
        <f>IF(IF(ROW(C4)&gt;MAX(Main!$D$4:$D$1048576),"",INDEX(Main!I$4:I$1048576,MATCH(ROW(C4),Main!$D$4:$D$1048576,0)))="",IF(O6="","",P5),IF(ROW(C4)&gt;MAX(Main!$D$4:$D$1048576),"",INDEX(Main!I$4:I$1048576,MATCH(ROW(C4),Main!$D$4:$D$1048576,0))))</f>
        <v>ー</v>
      </c>
      <c r="Q6" s="1" t="str">
        <f t="shared" si="2"/>
        <v>else</v>
      </c>
      <c r="R6" s="1" t="str">
        <f>IF(IF(ROW(D4)&gt;MAX(Main!$D$4:$D$1048576),"",INDEX(Main!J$4:J$1048576,MATCH(ROW(D4),Main!$D$4:$D$1048576,0)))="",IF(P6="","",R5),IF(ROW(D4)&gt;MAX(Main!$D$4:$D$1048576),"",INDEX(Main!J$4:J$1048576,MATCH(ROW(D4),Main!$D$4:$D$1048576,0))))</f>
        <v>酒田市</v>
      </c>
      <c r="S6" s="9" t="str">
        <f>IF(ROW(G4)&gt;MAX(Main!$D$4:$D$1048576),"",INDEX(Main!K$4:K$1048576,MATCH(ROW(G4),Main!$D$4:$D$1048576,0)))</f>
        <v>99999936001関連</v>
      </c>
      <c r="T6" s="1">
        <f>IF(S6&lt;&gt;"",IF(ROW(G4)&gt;MAX(Main!$D$4:$D$1048576),"",INDEX(Main!N$4:N$1048576,MATCH(ROW(G4),Main!$D$4:$D$1048576,0))),"")</f>
        <v>99999936001</v>
      </c>
      <c r="U6" s="1" t="str">
        <f>IF(IF(ROW(H4)&gt;MAX(Main!$D$4:$D$1048576),"",INDEX(Main!O$4:O$1048576,MATCH(ROW(H4),Main!$D$4:$D$1048576,0)))="",IF(T6="","",U5),IF(ROW(H4)&gt;MAX(Main!$D$4:$D$1048576),"",INDEX(Main!O$4:O$1048576,MATCH(ROW(H4),Main!$D$4:$D$1048576,0))))</f>
        <v>関連</v>
      </c>
    </row>
    <row r="7" spans="1:25" x14ac:dyDescent="0.4">
      <c r="A7" t="s">
        <v>21</v>
      </c>
      <c r="B7" s="4" t="str">
        <f>TEXT(IF(ROW(A5)&gt;MAX(Main!$C$4:$C$1048576),"",INDEX(Main!Q$4:Q$1048576,MATCH(ROW(A5),Main!$C$4:$C$1048576,0))), "yyyy/m/d")</f>
        <v>2023/1/25</v>
      </c>
      <c r="C7" s="1">
        <f>IF(IF(ROW(A5)&gt;MAX(Main!$C$4:$C$1048576),"",INDEX(Main!G$4:G$1048576,MATCH(ROW(A5),Main!$C$4:$C$1048576,0)))="",IF(B7="","",C6),IF(ROW(A5)&gt;MAX(Main!$C$4:$C$1048576),"",INDEX(Main!G$4:G$1048576,MATCH(ROW(A5),Main!$C$4:$C$1048576,0))))</f>
        <v>99999936005</v>
      </c>
      <c r="D7" s="1" t="str">
        <f>IF(IF(ROW(B5)&gt;MAX(Main!$C$4:$C$1048576),"",INDEX(Main!H$4:H$1048576,MATCH(ROW(B5),Main!$C$4:$C$1048576,0)))="",IF(C7="","",D6),IF(ROW(B5)&gt;MAX(Main!$C$4:$C$1048576),"",INDEX(Main!H$4:H$1048576,MATCH(ROW(B5),Main!$C$4:$C$1048576,0))))</f>
        <v>-</v>
      </c>
      <c r="E7" s="1" t="str">
        <f>IF(IF(ROW(C5)&gt;MAX(Main!$C$4:$C$1048576),"",INDEX(Main!I$4:I$1048576,MATCH(ROW(C5),Main!$C$4:$C$1048576,0)))="",IF(D7="","",E6),IF(ROW(C5)&gt;MAX(Main!$C$4:$C$1048576),"",INDEX(Main!I$4:I$1048576,MATCH(ROW(C5),Main!$C$4:$C$1048576,0))))</f>
        <v>ー</v>
      </c>
      <c r="F7" s="1" t="str">
        <f t="shared" si="0"/>
        <v>else</v>
      </c>
      <c r="G7" s="1" t="str">
        <f>IF(IF(ROW(D5)&gt;MAX(Main!$C$4:$C$1048576),"",INDEX(Main!J$4:J$1048576,MATCH(ROW(D5),Main!$C$4:$C$1048576,0)))="",IF(E7="","",G6),IF(ROW(D5)&gt;MAX(Main!$C$4:$C$1048576),"",INDEX(Main!J$4:J$1048576,MATCH(ROW(D5),Main!$C$4:$C$1048576,0))))</f>
        <v>酒田市</v>
      </c>
      <c r="H7" s="10" t="str">
        <f>IF(ROW(G5)&gt;MAX(Main!$C$4:$C$1048576),"",INDEX(Main!K$4:K$1048576,MATCH(ROW(G5),Main!$C$4:$C$1048576,0)))</f>
        <v>99999936001関連</v>
      </c>
      <c r="I7" s="1">
        <f>IF(H7&lt;&gt;"",IF(ROW(G5)&gt;MAX(Main!$C$4:$C$1048576),"",INDEX(Main!N$4:N$1048576,MATCH(ROW(G5),Main!$C$4:$C$1048576,0))),"")</f>
        <v>99999936001</v>
      </c>
      <c r="J7" s="1" t="str">
        <f>IF(IF(ROW(H5)&gt;MAX(Main!$C$4:$C$1048576),"",INDEX(Main!O$4:O$1048576,MATCH(ROW(H5),Main!$C$4:$C$1048576,0)))="",IF(I7="","",J6),IF(ROW(H5)&gt;MAX(Main!$C$4:$C$1048576),"",INDEX(Main!O$4:O$1048576,MATCH(ROW(H5),Main!$C$4:$C$1048576,0))))</f>
        <v>関連</v>
      </c>
      <c r="K7" s="27" t="str">
        <f t="shared" si="1"/>
        <v>クラスターNo.936</v>
      </c>
      <c r="M7" s="4" t="str">
        <f>TEXT(IF(ROW(A5)&gt;MAX(Main!$D$4:$D$1048576),"",INDEX(Main!Q$4:Q$1048576,MATCH(ROW(A5),Main!$D$4:$D$1048576,0))), "yyyy/m/d")</f>
        <v>2023/1/25</v>
      </c>
      <c r="N7" s="1">
        <f>IF(IF(ROW(A5)&gt;MAX(Main!$D$4:$D$1048576),"",INDEX(Main!G$4:G$1048576,MATCH(ROW(A5),Main!$D$4:$D$1048576,0)))="",IF(M7="","",N6),IF(ROW(A5)&gt;MAX(Main!$D$4:$D$1048576),"",INDEX(Main!G$4:G$1048576,MATCH(ROW(A5),Main!$D$4:$D$1048576,0))))</f>
        <v>99999936005</v>
      </c>
      <c r="O7" s="1" t="str">
        <f>IF(IF(ROW(B5)&gt;MAX(Main!$D$4:$D$1048576),"",INDEX(Main!H$4:H$1048576,MATCH(ROW(B5),Main!$D$4:$D$1048576,0)))="",IF(N7="","",O6),IF(ROW(B5)&gt;MAX(Main!$D$4:$D$1048576),"",INDEX(Main!H$4:H$1048576,MATCH(ROW(B5),Main!$D$4:$D$1048576,0))))</f>
        <v>-</v>
      </c>
      <c r="P7" s="1" t="str">
        <f>IF(IF(ROW(C5)&gt;MAX(Main!$D$4:$D$1048576),"",INDEX(Main!I$4:I$1048576,MATCH(ROW(C5),Main!$D$4:$D$1048576,0)))="",IF(O7="","",P6),IF(ROW(C5)&gt;MAX(Main!$D$4:$D$1048576),"",INDEX(Main!I$4:I$1048576,MATCH(ROW(C5),Main!$D$4:$D$1048576,0))))</f>
        <v>ー</v>
      </c>
      <c r="Q7" s="1" t="str">
        <f t="shared" si="2"/>
        <v>else</v>
      </c>
      <c r="R7" s="1" t="str">
        <f>IF(IF(ROW(D5)&gt;MAX(Main!$D$4:$D$1048576),"",INDEX(Main!J$4:J$1048576,MATCH(ROW(D5),Main!$D$4:$D$1048576,0)))="",IF(P7="","",R6),IF(ROW(D5)&gt;MAX(Main!$D$4:$D$1048576),"",INDEX(Main!J$4:J$1048576,MATCH(ROW(D5),Main!$D$4:$D$1048576,0))))</f>
        <v>酒田市</v>
      </c>
      <c r="S7" s="9" t="str">
        <f>IF(ROW(G5)&gt;MAX(Main!$D$4:$D$1048576),"",INDEX(Main!K$4:K$1048576,MATCH(ROW(G5),Main!$D$4:$D$1048576,0)))</f>
        <v>99999936001関連</v>
      </c>
      <c r="T7" s="1">
        <f>IF(S7&lt;&gt;"",IF(ROW(G5)&gt;MAX(Main!$D$4:$D$1048576),"",INDEX(Main!N$4:N$1048576,MATCH(ROW(G5),Main!$D$4:$D$1048576,0))),"")</f>
        <v>99999936001</v>
      </c>
      <c r="U7" s="1" t="str">
        <f>IF(IF(ROW(H5)&gt;MAX(Main!$D$4:$D$1048576),"",INDEX(Main!O$4:O$1048576,MATCH(ROW(H5),Main!$D$4:$D$1048576,0)))="",IF(T7="","",U6),IF(ROW(H5)&gt;MAX(Main!$D$4:$D$1048576),"",INDEX(Main!O$4:O$1048576,MATCH(ROW(H5),Main!$D$4:$D$1048576,0))))</f>
        <v>関連</v>
      </c>
    </row>
    <row r="8" spans="1:25" x14ac:dyDescent="0.4">
      <c r="A8" t="s">
        <v>21</v>
      </c>
      <c r="B8" s="4" t="str">
        <f>TEXT(IF(ROW(A6)&gt;MAX(Main!$C$4:$C$1048576),"",INDEX(Main!Q$4:Q$1048576,MATCH(ROW(A6),Main!$C$4:$C$1048576,0))), "yyyy/m/d")</f>
        <v>2023/1/25</v>
      </c>
      <c r="C8" s="1">
        <f>IF(IF(ROW(A6)&gt;MAX(Main!$C$4:$C$1048576),"",INDEX(Main!G$4:G$1048576,MATCH(ROW(A6),Main!$C$4:$C$1048576,0)))="",IF(B8="","",C7),IF(ROW(A6)&gt;MAX(Main!$C$4:$C$1048576),"",INDEX(Main!G$4:G$1048576,MATCH(ROW(A6),Main!$C$4:$C$1048576,0))))</f>
        <v>99999936006</v>
      </c>
      <c r="D8" s="1" t="str">
        <f>IF(IF(ROW(B6)&gt;MAX(Main!$C$4:$C$1048576),"",INDEX(Main!H$4:H$1048576,MATCH(ROW(B6),Main!$C$4:$C$1048576,0)))="",IF(C8="","",D7),IF(ROW(B6)&gt;MAX(Main!$C$4:$C$1048576),"",INDEX(Main!H$4:H$1048576,MATCH(ROW(B6),Main!$C$4:$C$1048576,0))))</f>
        <v>-</v>
      </c>
      <c r="E8" s="1" t="str">
        <f>IF(IF(ROW(C6)&gt;MAX(Main!$C$4:$C$1048576),"",INDEX(Main!I$4:I$1048576,MATCH(ROW(C6),Main!$C$4:$C$1048576,0)))="",IF(D8="","",E7),IF(ROW(C6)&gt;MAX(Main!$C$4:$C$1048576),"",INDEX(Main!I$4:I$1048576,MATCH(ROW(C6),Main!$C$4:$C$1048576,0))))</f>
        <v>ー</v>
      </c>
      <c r="F8" s="1" t="str">
        <f t="shared" si="0"/>
        <v>else</v>
      </c>
      <c r="G8" s="1" t="str">
        <f>IF(IF(ROW(D6)&gt;MAX(Main!$C$4:$C$1048576),"",INDEX(Main!J$4:J$1048576,MATCH(ROW(D6),Main!$C$4:$C$1048576,0)))="",IF(E8="","",G7),IF(ROW(D6)&gt;MAX(Main!$C$4:$C$1048576),"",INDEX(Main!J$4:J$1048576,MATCH(ROW(D6),Main!$C$4:$C$1048576,0))))</f>
        <v>酒田市</v>
      </c>
      <c r="H8" s="10" t="str">
        <f>IF(ROW(G6)&gt;MAX(Main!$C$4:$C$1048576),"",INDEX(Main!K$4:K$1048576,MATCH(ROW(G6),Main!$C$4:$C$1048576,0)))</f>
        <v>99999936001関連</v>
      </c>
      <c r="I8" s="1">
        <f>IF(H8&lt;&gt;"",IF(ROW(G6)&gt;MAX(Main!$C$4:$C$1048576),"",INDEX(Main!N$4:N$1048576,MATCH(ROW(G6),Main!$C$4:$C$1048576,0))),"")</f>
        <v>99999936001</v>
      </c>
      <c r="J8" s="1" t="str">
        <f>IF(IF(ROW(H6)&gt;MAX(Main!$C$4:$C$1048576),"",INDEX(Main!O$4:O$1048576,MATCH(ROW(H6),Main!$C$4:$C$1048576,0)))="",IF(I8="","",J7),IF(ROW(H6)&gt;MAX(Main!$C$4:$C$1048576),"",INDEX(Main!O$4:O$1048576,MATCH(ROW(H6),Main!$C$4:$C$1048576,0))))</f>
        <v>関連</v>
      </c>
      <c r="K8" s="27" t="str">
        <f t="shared" si="1"/>
        <v>クラスターNo.936</v>
      </c>
      <c r="M8" s="4" t="str">
        <f>TEXT(IF(ROW(A6)&gt;MAX(Main!$D$4:$D$1048576),"",INDEX(Main!Q$4:Q$1048576,MATCH(ROW(A6),Main!$D$4:$D$1048576,0))), "yyyy/m/d")</f>
        <v>2023/1/25</v>
      </c>
      <c r="N8" s="1">
        <f>IF(IF(ROW(A6)&gt;MAX(Main!$D$4:$D$1048576),"",INDEX(Main!G$4:G$1048576,MATCH(ROW(A6),Main!$D$4:$D$1048576,0)))="",IF(M8="","",N7),IF(ROW(A6)&gt;MAX(Main!$D$4:$D$1048576),"",INDEX(Main!G$4:G$1048576,MATCH(ROW(A6),Main!$D$4:$D$1048576,0))))</f>
        <v>99999936006</v>
      </c>
      <c r="O8" s="1" t="str">
        <f>IF(IF(ROW(B6)&gt;MAX(Main!$D$4:$D$1048576),"",INDEX(Main!H$4:H$1048576,MATCH(ROW(B6),Main!$D$4:$D$1048576,0)))="",IF(N8="","",O7),IF(ROW(B6)&gt;MAX(Main!$D$4:$D$1048576),"",INDEX(Main!H$4:H$1048576,MATCH(ROW(B6),Main!$D$4:$D$1048576,0))))</f>
        <v>-</v>
      </c>
      <c r="P8" s="1" t="str">
        <f>IF(IF(ROW(C6)&gt;MAX(Main!$D$4:$D$1048576),"",INDEX(Main!I$4:I$1048576,MATCH(ROW(C6),Main!$D$4:$D$1048576,0)))="",IF(O8="","",P7),IF(ROW(C6)&gt;MAX(Main!$D$4:$D$1048576),"",INDEX(Main!I$4:I$1048576,MATCH(ROW(C6),Main!$D$4:$D$1048576,0))))</f>
        <v>ー</v>
      </c>
      <c r="Q8" s="1" t="str">
        <f t="shared" si="2"/>
        <v>else</v>
      </c>
      <c r="R8" s="1" t="str">
        <f>IF(IF(ROW(D6)&gt;MAX(Main!$D$4:$D$1048576),"",INDEX(Main!J$4:J$1048576,MATCH(ROW(D6),Main!$D$4:$D$1048576,0)))="",IF(P8="","",R7),IF(ROW(D6)&gt;MAX(Main!$D$4:$D$1048576),"",INDEX(Main!J$4:J$1048576,MATCH(ROW(D6),Main!$D$4:$D$1048576,0))))</f>
        <v>酒田市</v>
      </c>
      <c r="S8" s="9" t="str">
        <f>IF(ROW(G6)&gt;MAX(Main!$D$4:$D$1048576),"",INDEX(Main!K$4:K$1048576,MATCH(ROW(G6),Main!$D$4:$D$1048576,0)))</f>
        <v>99999936001関連</v>
      </c>
      <c r="T8" s="1">
        <f>IF(S8&lt;&gt;"",IF(ROW(G6)&gt;MAX(Main!$D$4:$D$1048576),"",INDEX(Main!N$4:N$1048576,MATCH(ROW(G6),Main!$D$4:$D$1048576,0))),"")</f>
        <v>99999936001</v>
      </c>
      <c r="U8" s="1" t="str">
        <f>IF(IF(ROW(H6)&gt;MAX(Main!$D$4:$D$1048576),"",INDEX(Main!O$4:O$1048576,MATCH(ROW(H6),Main!$D$4:$D$1048576,0)))="",IF(T8="","",U7),IF(ROW(H6)&gt;MAX(Main!$D$4:$D$1048576),"",INDEX(Main!O$4:O$1048576,MATCH(ROW(H6),Main!$D$4:$D$1048576,0))))</f>
        <v>関連</v>
      </c>
    </row>
    <row r="9" spans="1:25" x14ac:dyDescent="0.4">
      <c r="A9" t="s">
        <v>21</v>
      </c>
      <c r="B9" s="4" t="str">
        <f>TEXT(IF(ROW(A7)&gt;MAX(Main!$C$4:$C$1048576),"",INDEX(Main!Q$4:Q$1048576,MATCH(ROW(A7),Main!$C$4:$C$1048576,0))), "yyyy/m/d")</f>
        <v>2023/1/25</v>
      </c>
      <c r="C9" s="1">
        <f>IF(IF(ROW(A7)&gt;MAX(Main!$C$4:$C$1048576),"",INDEX(Main!G$4:G$1048576,MATCH(ROW(A7),Main!$C$4:$C$1048576,0)))="",IF(B9="","",C8),IF(ROW(A7)&gt;MAX(Main!$C$4:$C$1048576),"",INDEX(Main!G$4:G$1048576,MATCH(ROW(A7),Main!$C$4:$C$1048576,0))))</f>
        <v>99999936007</v>
      </c>
      <c r="D9" s="1" t="str">
        <f>IF(IF(ROW(B7)&gt;MAX(Main!$C$4:$C$1048576),"",INDEX(Main!H$4:H$1048576,MATCH(ROW(B7),Main!$C$4:$C$1048576,0)))="",IF(C9="","",D8),IF(ROW(B7)&gt;MAX(Main!$C$4:$C$1048576),"",INDEX(Main!H$4:H$1048576,MATCH(ROW(B7),Main!$C$4:$C$1048576,0))))</f>
        <v>-</v>
      </c>
      <c r="E9" s="1" t="str">
        <f>IF(IF(ROW(C7)&gt;MAX(Main!$C$4:$C$1048576),"",INDEX(Main!I$4:I$1048576,MATCH(ROW(C7),Main!$C$4:$C$1048576,0)))="",IF(D9="","",E8),IF(ROW(C7)&gt;MAX(Main!$C$4:$C$1048576),"",INDEX(Main!I$4:I$1048576,MATCH(ROW(C7),Main!$C$4:$C$1048576,0))))</f>
        <v>ー</v>
      </c>
      <c r="F9" s="1" t="str">
        <f t="shared" si="0"/>
        <v>else</v>
      </c>
      <c r="G9" s="1" t="str">
        <f>IF(IF(ROW(D7)&gt;MAX(Main!$C$4:$C$1048576),"",INDEX(Main!J$4:J$1048576,MATCH(ROW(D7),Main!$C$4:$C$1048576,0)))="",IF(E9="","",G8),IF(ROW(D7)&gt;MAX(Main!$C$4:$C$1048576),"",INDEX(Main!J$4:J$1048576,MATCH(ROW(D7),Main!$C$4:$C$1048576,0))))</f>
        <v>酒田市</v>
      </c>
      <c r="H9" s="10" t="str">
        <f>IF(ROW(G7)&gt;MAX(Main!$C$4:$C$1048576),"",INDEX(Main!K$4:K$1048576,MATCH(ROW(G7),Main!$C$4:$C$1048576,0)))</f>
        <v>99999936001関連</v>
      </c>
      <c r="I9" s="1">
        <f>IF(H9&lt;&gt;"",IF(ROW(G7)&gt;MAX(Main!$C$4:$C$1048576),"",INDEX(Main!N$4:N$1048576,MATCH(ROW(G7),Main!$C$4:$C$1048576,0))),"")</f>
        <v>99999936001</v>
      </c>
      <c r="J9" s="1" t="str">
        <f>IF(IF(ROW(H7)&gt;MAX(Main!$C$4:$C$1048576),"",INDEX(Main!O$4:O$1048576,MATCH(ROW(H7),Main!$C$4:$C$1048576,0)))="",IF(I9="","",J8),IF(ROW(H7)&gt;MAX(Main!$C$4:$C$1048576),"",INDEX(Main!O$4:O$1048576,MATCH(ROW(H7),Main!$C$4:$C$1048576,0))))</f>
        <v>関連</v>
      </c>
      <c r="K9" s="27" t="str">
        <f t="shared" si="1"/>
        <v>クラスターNo.936</v>
      </c>
      <c r="M9" s="4" t="str">
        <f>TEXT(IF(ROW(A7)&gt;MAX(Main!$D$4:$D$1048576),"",INDEX(Main!Q$4:Q$1048576,MATCH(ROW(A7),Main!$D$4:$D$1048576,0))), "yyyy/m/d")</f>
        <v>2023/1/25</v>
      </c>
      <c r="N9" s="1">
        <f>IF(IF(ROW(A7)&gt;MAX(Main!$D$4:$D$1048576),"",INDEX(Main!G$4:G$1048576,MATCH(ROW(A7),Main!$D$4:$D$1048576,0)))="",IF(M9="","",N8),IF(ROW(A7)&gt;MAX(Main!$D$4:$D$1048576),"",INDEX(Main!G$4:G$1048576,MATCH(ROW(A7),Main!$D$4:$D$1048576,0))))</f>
        <v>99999936007</v>
      </c>
      <c r="O9" s="1" t="str">
        <f>IF(IF(ROW(B7)&gt;MAX(Main!$D$4:$D$1048576),"",INDEX(Main!H$4:H$1048576,MATCH(ROW(B7),Main!$D$4:$D$1048576,0)))="",IF(N9="","",O8),IF(ROW(B7)&gt;MAX(Main!$D$4:$D$1048576),"",INDEX(Main!H$4:H$1048576,MATCH(ROW(B7),Main!$D$4:$D$1048576,0))))</f>
        <v>-</v>
      </c>
      <c r="P9" s="1" t="str">
        <f>IF(IF(ROW(C7)&gt;MAX(Main!$D$4:$D$1048576),"",INDEX(Main!I$4:I$1048576,MATCH(ROW(C7),Main!$D$4:$D$1048576,0)))="",IF(O9="","",P8),IF(ROW(C7)&gt;MAX(Main!$D$4:$D$1048576),"",INDEX(Main!I$4:I$1048576,MATCH(ROW(C7),Main!$D$4:$D$1048576,0))))</f>
        <v>ー</v>
      </c>
      <c r="Q9" s="1" t="str">
        <f t="shared" si="2"/>
        <v>else</v>
      </c>
      <c r="R9" s="1" t="str">
        <f>IF(IF(ROW(D7)&gt;MAX(Main!$D$4:$D$1048576),"",INDEX(Main!J$4:J$1048576,MATCH(ROW(D7),Main!$D$4:$D$1048576,0)))="",IF(P9="","",R8),IF(ROW(D7)&gt;MAX(Main!$D$4:$D$1048576),"",INDEX(Main!J$4:J$1048576,MATCH(ROW(D7),Main!$D$4:$D$1048576,0))))</f>
        <v>酒田市</v>
      </c>
      <c r="S9" s="9" t="str">
        <f>IF(ROW(G7)&gt;MAX(Main!$D$4:$D$1048576),"",INDEX(Main!K$4:K$1048576,MATCH(ROW(G7),Main!$D$4:$D$1048576,0)))</f>
        <v>99999936001関連</v>
      </c>
      <c r="T9" s="1">
        <f>IF(S9&lt;&gt;"",IF(ROW(G7)&gt;MAX(Main!$D$4:$D$1048576),"",INDEX(Main!N$4:N$1048576,MATCH(ROW(G7),Main!$D$4:$D$1048576,0))),"")</f>
        <v>99999936001</v>
      </c>
      <c r="U9" s="1" t="str">
        <f>IF(IF(ROW(H7)&gt;MAX(Main!$D$4:$D$1048576),"",INDEX(Main!O$4:O$1048576,MATCH(ROW(H7),Main!$D$4:$D$1048576,0)))="",IF(T9="","",U8),IF(ROW(H7)&gt;MAX(Main!$D$4:$D$1048576),"",INDEX(Main!O$4:O$1048576,MATCH(ROW(H7),Main!$D$4:$D$1048576,0))))</f>
        <v>関連</v>
      </c>
    </row>
    <row r="10" spans="1:25" x14ac:dyDescent="0.4">
      <c r="A10" t="s">
        <v>21</v>
      </c>
      <c r="B10" s="4" t="str">
        <f>TEXT(IF(ROW(A8)&gt;MAX(Main!$C$4:$C$1048576),"",INDEX(Main!Q$4:Q$1048576,MATCH(ROW(A8),Main!$C$4:$C$1048576,0))), "yyyy/m/d")</f>
        <v>2023/1/25</v>
      </c>
      <c r="C10" s="1">
        <f>IF(IF(ROW(A8)&gt;MAX(Main!$C$4:$C$1048576),"",INDEX(Main!G$4:G$1048576,MATCH(ROW(A8),Main!$C$4:$C$1048576,0)))="",IF(B10="","",C9),IF(ROW(A8)&gt;MAX(Main!$C$4:$C$1048576),"",INDEX(Main!G$4:G$1048576,MATCH(ROW(A8),Main!$C$4:$C$1048576,0))))</f>
        <v>99999936008</v>
      </c>
      <c r="D10" s="1" t="str">
        <f>IF(IF(ROW(B8)&gt;MAX(Main!$C$4:$C$1048576),"",INDEX(Main!H$4:H$1048576,MATCH(ROW(B8),Main!$C$4:$C$1048576,0)))="",IF(C10="","",D9),IF(ROW(B8)&gt;MAX(Main!$C$4:$C$1048576),"",INDEX(Main!H$4:H$1048576,MATCH(ROW(B8),Main!$C$4:$C$1048576,0))))</f>
        <v>-</v>
      </c>
      <c r="E10" s="1" t="str">
        <f>IF(IF(ROW(C8)&gt;MAX(Main!$C$4:$C$1048576),"",INDEX(Main!I$4:I$1048576,MATCH(ROW(C8),Main!$C$4:$C$1048576,0)))="",IF(D10="","",E9),IF(ROW(C8)&gt;MAX(Main!$C$4:$C$1048576),"",INDEX(Main!I$4:I$1048576,MATCH(ROW(C8),Main!$C$4:$C$1048576,0))))</f>
        <v>ー</v>
      </c>
      <c r="F10" s="1" t="str">
        <f t="shared" si="0"/>
        <v>else</v>
      </c>
      <c r="G10" s="1" t="str">
        <f>IF(IF(ROW(D8)&gt;MAX(Main!$C$4:$C$1048576),"",INDEX(Main!J$4:J$1048576,MATCH(ROW(D8),Main!$C$4:$C$1048576,0)))="",IF(E10="","",G9),IF(ROW(D8)&gt;MAX(Main!$C$4:$C$1048576),"",INDEX(Main!J$4:J$1048576,MATCH(ROW(D8),Main!$C$4:$C$1048576,0))))</f>
        <v>酒田市</v>
      </c>
      <c r="H10" s="10" t="str">
        <f>IF(ROW(G8)&gt;MAX(Main!$C$4:$C$1048576),"",INDEX(Main!K$4:K$1048576,MATCH(ROW(G8),Main!$C$4:$C$1048576,0)))</f>
        <v>99999936001関連</v>
      </c>
      <c r="I10" s="1">
        <f>IF(H10&lt;&gt;"",IF(ROW(G8)&gt;MAX(Main!$C$4:$C$1048576),"",INDEX(Main!N$4:N$1048576,MATCH(ROW(G8),Main!$C$4:$C$1048576,0))),"")</f>
        <v>99999936001</v>
      </c>
      <c r="J10" s="1" t="str">
        <f>IF(IF(ROW(H8)&gt;MAX(Main!$C$4:$C$1048576),"",INDEX(Main!O$4:O$1048576,MATCH(ROW(H8),Main!$C$4:$C$1048576,0)))="",IF(I10="","",J9),IF(ROW(H8)&gt;MAX(Main!$C$4:$C$1048576),"",INDEX(Main!O$4:O$1048576,MATCH(ROW(H8),Main!$C$4:$C$1048576,0))))</f>
        <v>関連</v>
      </c>
      <c r="K10" s="27" t="str">
        <f t="shared" si="1"/>
        <v>クラスターNo.936</v>
      </c>
      <c r="M10" s="4" t="str">
        <f>TEXT(IF(ROW(A8)&gt;MAX(Main!$D$4:$D$1048576),"",INDEX(Main!Q$4:Q$1048576,MATCH(ROW(A8),Main!$D$4:$D$1048576,0))), "yyyy/m/d")</f>
        <v>2023/1/25</v>
      </c>
      <c r="N10" s="1">
        <f>IF(IF(ROW(A8)&gt;MAX(Main!$D$4:$D$1048576),"",INDEX(Main!G$4:G$1048576,MATCH(ROW(A8),Main!$D$4:$D$1048576,0)))="",IF(M10="","",N9),IF(ROW(A8)&gt;MAX(Main!$D$4:$D$1048576),"",INDEX(Main!G$4:G$1048576,MATCH(ROW(A8),Main!$D$4:$D$1048576,0))))</f>
        <v>99999936008</v>
      </c>
      <c r="O10" s="1" t="str">
        <f>IF(IF(ROW(B8)&gt;MAX(Main!$D$4:$D$1048576),"",INDEX(Main!H$4:H$1048576,MATCH(ROW(B8),Main!$D$4:$D$1048576,0)))="",IF(N10="","",O9),IF(ROW(B8)&gt;MAX(Main!$D$4:$D$1048576),"",INDEX(Main!H$4:H$1048576,MATCH(ROW(B8),Main!$D$4:$D$1048576,0))))</f>
        <v>-</v>
      </c>
      <c r="P10" s="1" t="str">
        <f>IF(IF(ROW(C8)&gt;MAX(Main!$D$4:$D$1048576),"",INDEX(Main!I$4:I$1048576,MATCH(ROW(C8),Main!$D$4:$D$1048576,0)))="",IF(O10="","",P9),IF(ROW(C8)&gt;MAX(Main!$D$4:$D$1048576),"",INDEX(Main!I$4:I$1048576,MATCH(ROW(C8),Main!$D$4:$D$1048576,0))))</f>
        <v>ー</v>
      </c>
      <c r="Q10" s="1" t="str">
        <f t="shared" si="2"/>
        <v>else</v>
      </c>
      <c r="R10" s="1" t="str">
        <f>IF(IF(ROW(D8)&gt;MAX(Main!$D$4:$D$1048576),"",INDEX(Main!J$4:J$1048576,MATCH(ROW(D8),Main!$D$4:$D$1048576,0)))="",IF(P10="","",R9),IF(ROW(D8)&gt;MAX(Main!$D$4:$D$1048576),"",INDEX(Main!J$4:J$1048576,MATCH(ROW(D8),Main!$D$4:$D$1048576,0))))</f>
        <v>酒田市</v>
      </c>
      <c r="S10" s="9" t="str">
        <f>IF(ROW(G8)&gt;MAX(Main!$D$4:$D$1048576),"",INDEX(Main!K$4:K$1048576,MATCH(ROW(G8),Main!$D$4:$D$1048576,0)))</f>
        <v>99999936001関連</v>
      </c>
      <c r="T10" s="1">
        <f>IF(S10&lt;&gt;"",IF(ROW(G8)&gt;MAX(Main!$D$4:$D$1048576),"",INDEX(Main!N$4:N$1048576,MATCH(ROW(G8),Main!$D$4:$D$1048576,0))),"")</f>
        <v>99999936001</v>
      </c>
      <c r="U10" s="1" t="str">
        <f>IF(IF(ROW(H8)&gt;MAX(Main!$D$4:$D$1048576),"",INDEX(Main!O$4:O$1048576,MATCH(ROW(H8),Main!$D$4:$D$1048576,0)))="",IF(T10="","",U9),IF(ROW(H8)&gt;MAX(Main!$D$4:$D$1048576),"",INDEX(Main!O$4:O$1048576,MATCH(ROW(H8),Main!$D$4:$D$1048576,0))))</f>
        <v>関連</v>
      </c>
    </row>
    <row r="11" spans="1:25" x14ac:dyDescent="0.4">
      <c r="A11" t="s">
        <v>21</v>
      </c>
      <c r="B11" s="4" t="str">
        <f>TEXT(IF(ROW(A9)&gt;MAX(Main!$C$4:$C$1048576),"",INDEX(Main!Q$4:Q$1048576,MATCH(ROW(A9),Main!$C$4:$C$1048576,0))), "yyyy/m/d")</f>
        <v>2023/1/25</v>
      </c>
      <c r="C11" s="1">
        <f>IF(IF(ROW(A9)&gt;MAX(Main!$C$4:$C$1048576),"",INDEX(Main!G$4:G$1048576,MATCH(ROW(A9),Main!$C$4:$C$1048576,0)))="",IF(B11="","",C10),IF(ROW(A9)&gt;MAX(Main!$C$4:$C$1048576),"",INDEX(Main!G$4:G$1048576,MATCH(ROW(A9),Main!$C$4:$C$1048576,0))))</f>
        <v>99999936009</v>
      </c>
      <c r="D11" s="1" t="str">
        <f>IF(IF(ROW(B9)&gt;MAX(Main!$C$4:$C$1048576),"",INDEX(Main!H$4:H$1048576,MATCH(ROW(B9),Main!$C$4:$C$1048576,0)))="",IF(C11="","",D10),IF(ROW(B9)&gt;MAX(Main!$C$4:$C$1048576),"",INDEX(Main!H$4:H$1048576,MATCH(ROW(B9),Main!$C$4:$C$1048576,0))))</f>
        <v>-</v>
      </c>
      <c r="E11" s="1" t="str">
        <f>IF(IF(ROW(C9)&gt;MAX(Main!$C$4:$C$1048576),"",INDEX(Main!I$4:I$1048576,MATCH(ROW(C9),Main!$C$4:$C$1048576,0)))="",IF(D11="","",E10),IF(ROW(C9)&gt;MAX(Main!$C$4:$C$1048576),"",INDEX(Main!I$4:I$1048576,MATCH(ROW(C9),Main!$C$4:$C$1048576,0))))</f>
        <v>ー</v>
      </c>
      <c r="F11" s="1" t="str">
        <f t="shared" si="0"/>
        <v>else</v>
      </c>
      <c r="G11" s="1" t="str">
        <f>IF(IF(ROW(D9)&gt;MAX(Main!$C$4:$C$1048576),"",INDEX(Main!J$4:J$1048576,MATCH(ROW(D9),Main!$C$4:$C$1048576,0)))="",IF(E11="","",G10),IF(ROW(D9)&gt;MAX(Main!$C$4:$C$1048576),"",INDEX(Main!J$4:J$1048576,MATCH(ROW(D9),Main!$C$4:$C$1048576,0))))</f>
        <v>酒田市</v>
      </c>
      <c r="H11" s="10" t="str">
        <f>IF(ROW(G9)&gt;MAX(Main!$C$4:$C$1048576),"",INDEX(Main!K$4:K$1048576,MATCH(ROW(G9),Main!$C$4:$C$1048576,0)))</f>
        <v>99999936001関連</v>
      </c>
      <c r="I11" s="1">
        <f>IF(H11&lt;&gt;"",IF(ROW(G9)&gt;MAX(Main!$C$4:$C$1048576),"",INDEX(Main!N$4:N$1048576,MATCH(ROW(G9),Main!$C$4:$C$1048576,0))),"")</f>
        <v>99999936001</v>
      </c>
      <c r="J11" s="1" t="str">
        <f>IF(IF(ROW(H9)&gt;MAX(Main!$C$4:$C$1048576),"",INDEX(Main!O$4:O$1048576,MATCH(ROW(H9),Main!$C$4:$C$1048576,0)))="",IF(I11="","",J10),IF(ROW(H9)&gt;MAX(Main!$C$4:$C$1048576),"",INDEX(Main!O$4:O$1048576,MATCH(ROW(H9),Main!$C$4:$C$1048576,0))))</f>
        <v>関連</v>
      </c>
      <c r="K11" s="27" t="str">
        <f t="shared" si="1"/>
        <v>クラスターNo.936</v>
      </c>
      <c r="M11" s="4" t="str">
        <f>TEXT(IF(ROW(A9)&gt;MAX(Main!$D$4:$D$1048576),"",INDEX(Main!Q$4:Q$1048576,MATCH(ROW(A9),Main!$D$4:$D$1048576,0))), "yyyy/m/d")</f>
        <v>2023/1/25</v>
      </c>
      <c r="N11" s="1">
        <f>IF(IF(ROW(A9)&gt;MAX(Main!$D$4:$D$1048576),"",INDEX(Main!G$4:G$1048576,MATCH(ROW(A9),Main!$D$4:$D$1048576,0)))="",IF(M11="","",N10),IF(ROW(A9)&gt;MAX(Main!$D$4:$D$1048576),"",INDEX(Main!G$4:G$1048576,MATCH(ROW(A9),Main!$D$4:$D$1048576,0))))</f>
        <v>99999936009</v>
      </c>
      <c r="O11" s="1" t="str">
        <f>IF(IF(ROW(B9)&gt;MAX(Main!$D$4:$D$1048576),"",INDEX(Main!H$4:H$1048576,MATCH(ROW(B9),Main!$D$4:$D$1048576,0)))="",IF(N11="","",O10),IF(ROW(B9)&gt;MAX(Main!$D$4:$D$1048576),"",INDEX(Main!H$4:H$1048576,MATCH(ROW(B9),Main!$D$4:$D$1048576,0))))</f>
        <v>-</v>
      </c>
      <c r="P11" s="1" t="str">
        <f>IF(IF(ROW(C9)&gt;MAX(Main!$D$4:$D$1048576),"",INDEX(Main!I$4:I$1048576,MATCH(ROW(C9),Main!$D$4:$D$1048576,0)))="",IF(O11="","",P10),IF(ROW(C9)&gt;MAX(Main!$D$4:$D$1048576),"",INDEX(Main!I$4:I$1048576,MATCH(ROW(C9),Main!$D$4:$D$1048576,0))))</f>
        <v>ー</v>
      </c>
      <c r="Q11" s="1" t="str">
        <f t="shared" si="2"/>
        <v>else</v>
      </c>
      <c r="R11" s="1" t="str">
        <f>IF(IF(ROW(D9)&gt;MAX(Main!$D$4:$D$1048576),"",INDEX(Main!J$4:J$1048576,MATCH(ROW(D9),Main!$D$4:$D$1048576,0)))="",IF(P11="","",R10),IF(ROW(D9)&gt;MAX(Main!$D$4:$D$1048576),"",INDEX(Main!J$4:J$1048576,MATCH(ROW(D9),Main!$D$4:$D$1048576,0))))</f>
        <v>酒田市</v>
      </c>
      <c r="S11" s="9" t="str">
        <f>IF(ROW(G9)&gt;MAX(Main!$D$4:$D$1048576),"",INDEX(Main!K$4:K$1048576,MATCH(ROW(G9),Main!$D$4:$D$1048576,0)))</f>
        <v>99999936001関連</v>
      </c>
      <c r="T11" s="1">
        <f>IF(S11&lt;&gt;"",IF(ROW(G9)&gt;MAX(Main!$D$4:$D$1048576),"",INDEX(Main!N$4:N$1048576,MATCH(ROW(G9),Main!$D$4:$D$1048576,0))),"")</f>
        <v>99999936001</v>
      </c>
      <c r="U11" s="1" t="str">
        <f>IF(IF(ROW(H9)&gt;MAX(Main!$D$4:$D$1048576),"",INDEX(Main!O$4:O$1048576,MATCH(ROW(H9),Main!$D$4:$D$1048576,0)))="",IF(T11="","",U10),IF(ROW(H9)&gt;MAX(Main!$D$4:$D$1048576),"",INDEX(Main!O$4:O$1048576,MATCH(ROW(H9),Main!$D$4:$D$1048576,0))))</f>
        <v>関連</v>
      </c>
    </row>
    <row r="12" spans="1:25" x14ac:dyDescent="0.4">
      <c r="A12" t="s">
        <v>21</v>
      </c>
      <c r="B12" s="4" t="str">
        <f>TEXT(IF(ROW(A10)&gt;MAX(Main!$C$4:$C$1048576),"",INDEX(Main!Q$4:Q$1048576,MATCH(ROW(A10),Main!$C$4:$C$1048576,0))), "yyyy/m/d")</f>
        <v>2023/1/25</v>
      </c>
      <c r="C12" s="1">
        <f>IF(IF(ROW(A10)&gt;MAX(Main!$C$4:$C$1048576),"",INDEX(Main!G$4:G$1048576,MATCH(ROW(A10),Main!$C$4:$C$1048576,0)))="",IF(B12="","",C11),IF(ROW(A10)&gt;MAX(Main!$C$4:$C$1048576),"",INDEX(Main!G$4:G$1048576,MATCH(ROW(A10),Main!$C$4:$C$1048576,0))))</f>
        <v>99999936010</v>
      </c>
      <c r="D12" s="1" t="str">
        <f>IF(IF(ROW(B10)&gt;MAX(Main!$C$4:$C$1048576),"",INDEX(Main!H$4:H$1048576,MATCH(ROW(B10),Main!$C$4:$C$1048576,0)))="",IF(C12="","",D11),IF(ROW(B10)&gt;MAX(Main!$C$4:$C$1048576),"",INDEX(Main!H$4:H$1048576,MATCH(ROW(B10),Main!$C$4:$C$1048576,0))))</f>
        <v>-</v>
      </c>
      <c r="E12" s="1" t="str">
        <f>IF(IF(ROW(C10)&gt;MAX(Main!$C$4:$C$1048576),"",INDEX(Main!I$4:I$1048576,MATCH(ROW(C10),Main!$C$4:$C$1048576,0)))="",IF(D12="","",E11),IF(ROW(C10)&gt;MAX(Main!$C$4:$C$1048576),"",INDEX(Main!I$4:I$1048576,MATCH(ROW(C10),Main!$C$4:$C$1048576,0))))</f>
        <v>ー</v>
      </c>
      <c r="F12" s="1" t="str">
        <f t="shared" si="0"/>
        <v>else</v>
      </c>
      <c r="G12" s="1" t="str">
        <f>IF(IF(ROW(D10)&gt;MAX(Main!$C$4:$C$1048576),"",INDEX(Main!J$4:J$1048576,MATCH(ROW(D10),Main!$C$4:$C$1048576,0)))="",IF(E12="","",G11),IF(ROW(D10)&gt;MAX(Main!$C$4:$C$1048576),"",INDEX(Main!J$4:J$1048576,MATCH(ROW(D10),Main!$C$4:$C$1048576,0))))</f>
        <v>酒田市</v>
      </c>
      <c r="H12" s="10" t="str">
        <f>IF(ROW(G10)&gt;MAX(Main!$C$4:$C$1048576),"",INDEX(Main!K$4:K$1048576,MATCH(ROW(G10),Main!$C$4:$C$1048576,0)))</f>
        <v>99999936001関連</v>
      </c>
      <c r="I12" s="1">
        <f>IF(H12&lt;&gt;"",IF(ROW(G10)&gt;MAX(Main!$C$4:$C$1048576),"",INDEX(Main!N$4:N$1048576,MATCH(ROW(G10),Main!$C$4:$C$1048576,0))),"")</f>
        <v>99999936001</v>
      </c>
      <c r="J12" s="1" t="str">
        <f>IF(IF(ROW(H10)&gt;MAX(Main!$C$4:$C$1048576),"",INDEX(Main!O$4:O$1048576,MATCH(ROW(H10),Main!$C$4:$C$1048576,0)))="",IF(I12="","",J11),IF(ROW(H10)&gt;MAX(Main!$C$4:$C$1048576),"",INDEX(Main!O$4:O$1048576,MATCH(ROW(H10),Main!$C$4:$C$1048576,0))))</f>
        <v>関連</v>
      </c>
      <c r="K12" s="27" t="str">
        <f t="shared" si="1"/>
        <v>クラスターNo.936</v>
      </c>
      <c r="M12" s="4" t="str">
        <f>TEXT(IF(ROW(A10)&gt;MAX(Main!$D$4:$D$1048576),"",INDEX(Main!Q$4:Q$1048576,MATCH(ROW(A10),Main!$D$4:$D$1048576,0))), "yyyy/m/d")</f>
        <v>2023/1/25</v>
      </c>
      <c r="N12" s="1">
        <f>IF(IF(ROW(A10)&gt;MAX(Main!$D$4:$D$1048576),"",INDEX(Main!G$4:G$1048576,MATCH(ROW(A10),Main!$D$4:$D$1048576,0)))="",IF(M12="","",N11),IF(ROW(A10)&gt;MAX(Main!$D$4:$D$1048576),"",INDEX(Main!G$4:G$1048576,MATCH(ROW(A10),Main!$D$4:$D$1048576,0))))</f>
        <v>99999936010</v>
      </c>
      <c r="O12" s="1" t="str">
        <f>IF(IF(ROW(B10)&gt;MAX(Main!$D$4:$D$1048576),"",INDEX(Main!H$4:H$1048576,MATCH(ROW(B10),Main!$D$4:$D$1048576,0)))="",IF(N12="","",O11),IF(ROW(B10)&gt;MAX(Main!$D$4:$D$1048576),"",INDEX(Main!H$4:H$1048576,MATCH(ROW(B10),Main!$D$4:$D$1048576,0))))</f>
        <v>-</v>
      </c>
      <c r="P12" s="1" t="str">
        <f>IF(IF(ROW(C10)&gt;MAX(Main!$D$4:$D$1048576),"",INDEX(Main!I$4:I$1048576,MATCH(ROW(C10),Main!$D$4:$D$1048576,0)))="",IF(O12="","",P11),IF(ROW(C10)&gt;MAX(Main!$D$4:$D$1048576),"",INDEX(Main!I$4:I$1048576,MATCH(ROW(C10),Main!$D$4:$D$1048576,0))))</f>
        <v>ー</v>
      </c>
      <c r="Q12" s="1" t="str">
        <f t="shared" si="2"/>
        <v>else</v>
      </c>
      <c r="R12" s="1" t="str">
        <f>IF(IF(ROW(D10)&gt;MAX(Main!$D$4:$D$1048576),"",INDEX(Main!J$4:J$1048576,MATCH(ROW(D10),Main!$D$4:$D$1048576,0)))="",IF(P12="","",R11),IF(ROW(D10)&gt;MAX(Main!$D$4:$D$1048576),"",INDEX(Main!J$4:J$1048576,MATCH(ROW(D10),Main!$D$4:$D$1048576,0))))</f>
        <v>酒田市</v>
      </c>
      <c r="S12" s="9" t="str">
        <f>IF(ROW(G10)&gt;MAX(Main!$D$4:$D$1048576),"",INDEX(Main!K$4:K$1048576,MATCH(ROW(G10),Main!$D$4:$D$1048576,0)))</f>
        <v>99999936001関連</v>
      </c>
      <c r="T12" s="1">
        <f>IF(S12&lt;&gt;"",IF(ROW(G10)&gt;MAX(Main!$D$4:$D$1048576),"",INDEX(Main!N$4:N$1048576,MATCH(ROW(G10),Main!$D$4:$D$1048576,0))),"")</f>
        <v>99999936001</v>
      </c>
      <c r="U12" s="1" t="str">
        <f>IF(IF(ROW(H10)&gt;MAX(Main!$D$4:$D$1048576),"",INDEX(Main!O$4:O$1048576,MATCH(ROW(H10),Main!$D$4:$D$1048576,0)))="",IF(T12="","",U11),IF(ROW(H10)&gt;MAX(Main!$D$4:$D$1048576),"",INDEX(Main!O$4:O$1048576,MATCH(ROW(H10),Main!$D$4:$D$1048576,0))))</f>
        <v>関連</v>
      </c>
    </row>
    <row r="13" spans="1:25" x14ac:dyDescent="0.4">
      <c r="A13" t="s">
        <v>21</v>
      </c>
      <c r="B13" s="4" t="str">
        <f>TEXT(IF(ROW(A11)&gt;MAX(Main!$C$4:$C$1048576),"",INDEX(Main!Q$4:Q$1048576,MATCH(ROW(A11),Main!$C$4:$C$1048576,0))), "yyyy/m/d")</f>
        <v>2023/1/25</v>
      </c>
      <c r="C13" s="1">
        <f>IF(IF(ROW(A11)&gt;MAX(Main!$C$4:$C$1048576),"",INDEX(Main!G$4:G$1048576,MATCH(ROW(A11),Main!$C$4:$C$1048576,0)))="",IF(B13="","",C12),IF(ROW(A11)&gt;MAX(Main!$C$4:$C$1048576),"",INDEX(Main!G$4:G$1048576,MATCH(ROW(A11),Main!$C$4:$C$1048576,0))))</f>
        <v>99999936011</v>
      </c>
      <c r="D13" s="1" t="str">
        <f>IF(IF(ROW(B11)&gt;MAX(Main!$C$4:$C$1048576),"",INDEX(Main!H$4:H$1048576,MATCH(ROW(B11),Main!$C$4:$C$1048576,0)))="",IF(C13="","",D12),IF(ROW(B11)&gt;MAX(Main!$C$4:$C$1048576),"",INDEX(Main!H$4:H$1048576,MATCH(ROW(B11),Main!$C$4:$C$1048576,0))))</f>
        <v>-</v>
      </c>
      <c r="E13" s="1" t="str">
        <f>IF(IF(ROW(C11)&gt;MAX(Main!$C$4:$C$1048576),"",INDEX(Main!I$4:I$1048576,MATCH(ROW(C11),Main!$C$4:$C$1048576,0)))="",IF(D13="","",E12),IF(ROW(C11)&gt;MAX(Main!$C$4:$C$1048576),"",INDEX(Main!I$4:I$1048576,MATCH(ROW(C11),Main!$C$4:$C$1048576,0))))</f>
        <v>ー</v>
      </c>
      <c r="F13" s="1" t="str">
        <f t="shared" si="0"/>
        <v>else</v>
      </c>
      <c r="G13" s="1" t="str">
        <f>IF(IF(ROW(D11)&gt;MAX(Main!$C$4:$C$1048576),"",INDEX(Main!J$4:J$1048576,MATCH(ROW(D11),Main!$C$4:$C$1048576,0)))="",IF(E13="","",G12),IF(ROW(D11)&gt;MAX(Main!$C$4:$C$1048576),"",INDEX(Main!J$4:J$1048576,MATCH(ROW(D11),Main!$C$4:$C$1048576,0))))</f>
        <v>酒田市</v>
      </c>
      <c r="H13" s="10" t="str">
        <f>IF(ROW(G11)&gt;MAX(Main!$C$4:$C$1048576),"",INDEX(Main!K$4:K$1048576,MATCH(ROW(G11),Main!$C$4:$C$1048576,0)))</f>
        <v>99999936001関連</v>
      </c>
      <c r="I13" s="1">
        <f>IF(H13&lt;&gt;"",IF(ROW(G11)&gt;MAX(Main!$C$4:$C$1048576),"",INDEX(Main!N$4:N$1048576,MATCH(ROW(G11),Main!$C$4:$C$1048576,0))),"")</f>
        <v>99999936001</v>
      </c>
      <c r="J13" s="1" t="str">
        <f>IF(IF(ROW(H11)&gt;MAX(Main!$C$4:$C$1048576),"",INDEX(Main!O$4:O$1048576,MATCH(ROW(H11),Main!$C$4:$C$1048576,0)))="",IF(I13="","",J12),IF(ROW(H11)&gt;MAX(Main!$C$4:$C$1048576),"",INDEX(Main!O$4:O$1048576,MATCH(ROW(H11),Main!$C$4:$C$1048576,0))))</f>
        <v>関連</v>
      </c>
      <c r="K13" s="27" t="str">
        <f t="shared" si="1"/>
        <v>クラスターNo.936</v>
      </c>
      <c r="M13" s="4" t="str">
        <f>TEXT(IF(ROW(A11)&gt;MAX(Main!$D$4:$D$1048576),"",INDEX(Main!Q$4:Q$1048576,MATCH(ROW(A11),Main!$D$4:$D$1048576,0))), "yyyy/m/d")</f>
        <v>2023/1/25</v>
      </c>
      <c r="N13" s="1">
        <f>IF(IF(ROW(A11)&gt;MAX(Main!$D$4:$D$1048576),"",INDEX(Main!G$4:G$1048576,MATCH(ROW(A11),Main!$D$4:$D$1048576,0)))="",IF(M13="","",N12),IF(ROW(A11)&gt;MAX(Main!$D$4:$D$1048576),"",INDEX(Main!G$4:G$1048576,MATCH(ROW(A11),Main!$D$4:$D$1048576,0))))</f>
        <v>99999936011</v>
      </c>
      <c r="O13" s="1" t="str">
        <f>IF(IF(ROW(B11)&gt;MAX(Main!$D$4:$D$1048576),"",INDEX(Main!H$4:H$1048576,MATCH(ROW(B11),Main!$D$4:$D$1048576,0)))="",IF(N13="","",O12),IF(ROW(B11)&gt;MAX(Main!$D$4:$D$1048576),"",INDEX(Main!H$4:H$1048576,MATCH(ROW(B11),Main!$D$4:$D$1048576,0))))</f>
        <v>-</v>
      </c>
      <c r="P13" s="1" t="str">
        <f>IF(IF(ROW(C11)&gt;MAX(Main!$D$4:$D$1048576),"",INDEX(Main!I$4:I$1048576,MATCH(ROW(C11),Main!$D$4:$D$1048576,0)))="",IF(O13="","",P12),IF(ROW(C11)&gt;MAX(Main!$D$4:$D$1048576),"",INDEX(Main!I$4:I$1048576,MATCH(ROW(C11),Main!$D$4:$D$1048576,0))))</f>
        <v>ー</v>
      </c>
      <c r="Q13" s="1" t="str">
        <f t="shared" si="2"/>
        <v>else</v>
      </c>
      <c r="R13" s="1" t="str">
        <f>IF(IF(ROW(D11)&gt;MAX(Main!$D$4:$D$1048576),"",INDEX(Main!J$4:J$1048576,MATCH(ROW(D11),Main!$D$4:$D$1048576,0)))="",IF(P13="","",R12),IF(ROW(D11)&gt;MAX(Main!$D$4:$D$1048576),"",INDEX(Main!J$4:J$1048576,MATCH(ROW(D11),Main!$D$4:$D$1048576,0))))</f>
        <v>酒田市</v>
      </c>
      <c r="S13" s="9" t="str">
        <f>IF(ROW(G11)&gt;MAX(Main!$D$4:$D$1048576),"",INDEX(Main!K$4:K$1048576,MATCH(ROW(G11),Main!$D$4:$D$1048576,0)))</f>
        <v>99999936001関連</v>
      </c>
      <c r="T13" s="1">
        <f>IF(S13&lt;&gt;"",IF(ROW(G11)&gt;MAX(Main!$D$4:$D$1048576),"",INDEX(Main!N$4:N$1048576,MATCH(ROW(G11),Main!$D$4:$D$1048576,0))),"")</f>
        <v>99999936001</v>
      </c>
      <c r="U13" s="1" t="str">
        <f>IF(IF(ROW(H11)&gt;MAX(Main!$D$4:$D$1048576),"",INDEX(Main!O$4:O$1048576,MATCH(ROW(H11),Main!$D$4:$D$1048576,0)))="",IF(T13="","",U12),IF(ROW(H11)&gt;MAX(Main!$D$4:$D$1048576),"",INDEX(Main!O$4:O$1048576,MATCH(ROW(H11),Main!$D$4:$D$1048576,0))))</f>
        <v>関連</v>
      </c>
    </row>
    <row r="14" spans="1:25" x14ac:dyDescent="0.4">
      <c r="A14" t="s">
        <v>21</v>
      </c>
      <c r="B14" s="4" t="str">
        <f>TEXT(IF(ROW(A12)&gt;MAX(Main!$C$4:$C$1048576),"",INDEX(Main!Q$4:Q$1048576,MATCH(ROW(A12),Main!$C$4:$C$1048576,0))), "yyyy/m/d")</f>
        <v>2023/1/25</v>
      </c>
      <c r="C14" s="1">
        <f>IF(IF(ROW(A12)&gt;MAX(Main!$C$4:$C$1048576),"",INDEX(Main!G$4:G$1048576,MATCH(ROW(A12),Main!$C$4:$C$1048576,0)))="",IF(B14="","",C13),IF(ROW(A12)&gt;MAX(Main!$C$4:$C$1048576),"",INDEX(Main!G$4:G$1048576,MATCH(ROW(A12),Main!$C$4:$C$1048576,0))))</f>
        <v>99999936012</v>
      </c>
      <c r="D14" s="1" t="str">
        <f>IF(IF(ROW(B12)&gt;MAX(Main!$C$4:$C$1048576),"",INDEX(Main!H$4:H$1048576,MATCH(ROW(B12),Main!$C$4:$C$1048576,0)))="",IF(C14="","",D13),IF(ROW(B12)&gt;MAX(Main!$C$4:$C$1048576),"",INDEX(Main!H$4:H$1048576,MATCH(ROW(B12),Main!$C$4:$C$1048576,0))))</f>
        <v>-</v>
      </c>
      <c r="E14" s="1" t="str">
        <f>IF(IF(ROW(C12)&gt;MAX(Main!$C$4:$C$1048576),"",INDEX(Main!I$4:I$1048576,MATCH(ROW(C12),Main!$C$4:$C$1048576,0)))="",IF(D14="","",E13),IF(ROW(C12)&gt;MAX(Main!$C$4:$C$1048576),"",INDEX(Main!I$4:I$1048576,MATCH(ROW(C12),Main!$C$4:$C$1048576,0))))</f>
        <v>ー</v>
      </c>
      <c r="F14" s="1" t="str">
        <f t="shared" si="0"/>
        <v>else</v>
      </c>
      <c r="G14" s="1" t="str">
        <f>IF(IF(ROW(D12)&gt;MAX(Main!$C$4:$C$1048576),"",INDEX(Main!J$4:J$1048576,MATCH(ROW(D12),Main!$C$4:$C$1048576,0)))="",IF(E14="","",G13),IF(ROW(D12)&gt;MAX(Main!$C$4:$C$1048576),"",INDEX(Main!J$4:J$1048576,MATCH(ROW(D12),Main!$C$4:$C$1048576,0))))</f>
        <v>酒田市</v>
      </c>
      <c r="H14" s="10" t="str">
        <f>IF(ROW(G12)&gt;MAX(Main!$C$4:$C$1048576),"",INDEX(Main!K$4:K$1048576,MATCH(ROW(G12),Main!$C$4:$C$1048576,0)))</f>
        <v>99999936001関連</v>
      </c>
      <c r="I14" s="1">
        <f>IF(H14&lt;&gt;"",IF(ROW(G12)&gt;MAX(Main!$C$4:$C$1048576),"",INDEX(Main!N$4:N$1048576,MATCH(ROW(G12),Main!$C$4:$C$1048576,0))),"")</f>
        <v>99999936001</v>
      </c>
      <c r="J14" s="1" t="str">
        <f>IF(IF(ROW(H12)&gt;MAX(Main!$C$4:$C$1048576),"",INDEX(Main!O$4:O$1048576,MATCH(ROW(H12),Main!$C$4:$C$1048576,0)))="",IF(I14="","",J13),IF(ROW(H12)&gt;MAX(Main!$C$4:$C$1048576),"",INDEX(Main!O$4:O$1048576,MATCH(ROW(H12),Main!$C$4:$C$1048576,0))))</f>
        <v>関連</v>
      </c>
      <c r="K14" s="27" t="str">
        <f t="shared" si="1"/>
        <v>クラスターNo.936</v>
      </c>
      <c r="M14" s="4" t="str">
        <f>TEXT(IF(ROW(A12)&gt;MAX(Main!$D$4:$D$1048576),"",INDEX(Main!Q$4:Q$1048576,MATCH(ROW(A12),Main!$D$4:$D$1048576,0))), "yyyy/m/d")</f>
        <v>2023/1/25</v>
      </c>
      <c r="N14" s="1">
        <f>IF(IF(ROW(A12)&gt;MAX(Main!$D$4:$D$1048576),"",INDEX(Main!G$4:G$1048576,MATCH(ROW(A12),Main!$D$4:$D$1048576,0)))="",IF(M14="","",N13),IF(ROW(A12)&gt;MAX(Main!$D$4:$D$1048576),"",INDEX(Main!G$4:G$1048576,MATCH(ROW(A12),Main!$D$4:$D$1048576,0))))</f>
        <v>99999936012</v>
      </c>
      <c r="O14" s="1" t="str">
        <f>IF(IF(ROW(B12)&gt;MAX(Main!$D$4:$D$1048576),"",INDEX(Main!H$4:H$1048576,MATCH(ROW(B12),Main!$D$4:$D$1048576,0)))="",IF(N14="","",O13),IF(ROW(B12)&gt;MAX(Main!$D$4:$D$1048576),"",INDEX(Main!H$4:H$1048576,MATCH(ROW(B12),Main!$D$4:$D$1048576,0))))</f>
        <v>-</v>
      </c>
      <c r="P14" s="1" t="str">
        <f>IF(IF(ROW(C12)&gt;MAX(Main!$D$4:$D$1048576),"",INDEX(Main!I$4:I$1048576,MATCH(ROW(C12),Main!$D$4:$D$1048576,0)))="",IF(O14="","",P13),IF(ROW(C12)&gt;MAX(Main!$D$4:$D$1048576),"",INDEX(Main!I$4:I$1048576,MATCH(ROW(C12),Main!$D$4:$D$1048576,0))))</f>
        <v>ー</v>
      </c>
      <c r="Q14" s="1" t="str">
        <f t="shared" si="2"/>
        <v>else</v>
      </c>
      <c r="R14" s="1" t="str">
        <f>IF(IF(ROW(D12)&gt;MAX(Main!$D$4:$D$1048576),"",INDEX(Main!J$4:J$1048576,MATCH(ROW(D12),Main!$D$4:$D$1048576,0)))="",IF(P14="","",R13),IF(ROW(D12)&gt;MAX(Main!$D$4:$D$1048576),"",INDEX(Main!J$4:J$1048576,MATCH(ROW(D12),Main!$D$4:$D$1048576,0))))</f>
        <v>酒田市</v>
      </c>
      <c r="S14" s="9" t="str">
        <f>IF(ROW(G12)&gt;MAX(Main!$D$4:$D$1048576),"",INDEX(Main!K$4:K$1048576,MATCH(ROW(G12),Main!$D$4:$D$1048576,0)))</f>
        <v>99999936001関連</v>
      </c>
      <c r="T14" s="1">
        <f>IF(S14&lt;&gt;"",IF(ROW(G12)&gt;MAX(Main!$D$4:$D$1048576),"",INDEX(Main!N$4:N$1048576,MATCH(ROW(G12),Main!$D$4:$D$1048576,0))),"")</f>
        <v>99999936001</v>
      </c>
      <c r="U14" s="1" t="str">
        <f>IF(IF(ROW(H12)&gt;MAX(Main!$D$4:$D$1048576),"",INDEX(Main!O$4:O$1048576,MATCH(ROW(H12),Main!$D$4:$D$1048576,0)))="",IF(T14="","",U13),IF(ROW(H12)&gt;MAX(Main!$D$4:$D$1048576),"",INDEX(Main!O$4:O$1048576,MATCH(ROW(H12),Main!$D$4:$D$1048576,0))))</f>
        <v>関連</v>
      </c>
    </row>
    <row r="15" spans="1:25" x14ac:dyDescent="0.4">
      <c r="A15" t="s">
        <v>21</v>
      </c>
      <c r="B15" s="4" t="str">
        <f>TEXT(IF(ROW(A13)&gt;MAX(Main!$C$4:$C$1048576),"",INDEX(Main!Q$4:Q$1048576,MATCH(ROW(A13),Main!$C$4:$C$1048576,0))), "yyyy/m/d")</f>
        <v>2023/1/25</v>
      </c>
      <c r="C15" s="1">
        <f>IF(IF(ROW(A13)&gt;MAX(Main!$C$4:$C$1048576),"",INDEX(Main!G$4:G$1048576,MATCH(ROW(A13),Main!$C$4:$C$1048576,0)))="",IF(B15="","",C14),IF(ROW(A13)&gt;MAX(Main!$C$4:$C$1048576),"",INDEX(Main!G$4:G$1048576,MATCH(ROW(A13),Main!$C$4:$C$1048576,0))))</f>
        <v>99999936013</v>
      </c>
      <c r="D15" s="1" t="str">
        <f>IF(IF(ROW(B13)&gt;MAX(Main!$C$4:$C$1048576),"",INDEX(Main!H$4:H$1048576,MATCH(ROW(B13),Main!$C$4:$C$1048576,0)))="",IF(C15="","",D14),IF(ROW(B13)&gt;MAX(Main!$C$4:$C$1048576),"",INDEX(Main!H$4:H$1048576,MATCH(ROW(B13),Main!$C$4:$C$1048576,0))))</f>
        <v>-</v>
      </c>
      <c r="E15" s="1" t="str">
        <f>IF(IF(ROW(C13)&gt;MAX(Main!$C$4:$C$1048576),"",INDEX(Main!I$4:I$1048576,MATCH(ROW(C13),Main!$C$4:$C$1048576,0)))="",IF(D15="","",E14),IF(ROW(C13)&gt;MAX(Main!$C$4:$C$1048576),"",INDEX(Main!I$4:I$1048576,MATCH(ROW(C13),Main!$C$4:$C$1048576,0))))</f>
        <v>ー</v>
      </c>
      <c r="F15" s="1" t="str">
        <f t="shared" si="0"/>
        <v>else</v>
      </c>
      <c r="G15" s="1" t="str">
        <f>IF(IF(ROW(D13)&gt;MAX(Main!$C$4:$C$1048576),"",INDEX(Main!J$4:J$1048576,MATCH(ROW(D13),Main!$C$4:$C$1048576,0)))="",IF(E15="","",G14),IF(ROW(D13)&gt;MAX(Main!$C$4:$C$1048576),"",INDEX(Main!J$4:J$1048576,MATCH(ROW(D13),Main!$C$4:$C$1048576,0))))</f>
        <v>酒田市</v>
      </c>
      <c r="H15" s="10" t="str">
        <f>IF(ROW(G13)&gt;MAX(Main!$C$4:$C$1048576),"",INDEX(Main!K$4:K$1048576,MATCH(ROW(G13),Main!$C$4:$C$1048576,0)))</f>
        <v>99999936001関連</v>
      </c>
      <c r="I15" s="1">
        <f>IF(H15&lt;&gt;"",IF(ROW(G13)&gt;MAX(Main!$C$4:$C$1048576),"",INDEX(Main!N$4:N$1048576,MATCH(ROW(G13),Main!$C$4:$C$1048576,0))),"")</f>
        <v>99999936001</v>
      </c>
      <c r="J15" s="1" t="str">
        <f>IF(IF(ROW(H13)&gt;MAX(Main!$C$4:$C$1048576),"",INDEX(Main!O$4:O$1048576,MATCH(ROW(H13),Main!$C$4:$C$1048576,0)))="",IF(I15="","",J14),IF(ROW(H13)&gt;MAX(Main!$C$4:$C$1048576),"",INDEX(Main!O$4:O$1048576,MATCH(ROW(H13),Main!$C$4:$C$1048576,0))))</f>
        <v>関連</v>
      </c>
      <c r="K15" s="27" t="str">
        <f t="shared" si="1"/>
        <v>クラスターNo.936</v>
      </c>
      <c r="M15" s="4" t="str">
        <f>TEXT(IF(ROW(A13)&gt;MAX(Main!$D$4:$D$1048576),"",INDEX(Main!Q$4:Q$1048576,MATCH(ROW(A13),Main!$D$4:$D$1048576,0))), "yyyy/m/d")</f>
        <v>2023/1/25</v>
      </c>
      <c r="N15" s="1">
        <f>IF(IF(ROW(A13)&gt;MAX(Main!$D$4:$D$1048576),"",INDEX(Main!G$4:G$1048576,MATCH(ROW(A13),Main!$D$4:$D$1048576,0)))="",IF(M15="","",N14),IF(ROW(A13)&gt;MAX(Main!$D$4:$D$1048576),"",INDEX(Main!G$4:G$1048576,MATCH(ROW(A13),Main!$D$4:$D$1048576,0))))</f>
        <v>99999936013</v>
      </c>
      <c r="O15" s="1" t="str">
        <f>IF(IF(ROW(B13)&gt;MAX(Main!$D$4:$D$1048576),"",INDEX(Main!H$4:H$1048576,MATCH(ROW(B13),Main!$D$4:$D$1048576,0)))="",IF(N15="","",O14),IF(ROW(B13)&gt;MAX(Main!$D$4:$D$1048576),"",INDEX(Main!H$4:H$1048576,MATCH(ROW(B13),Main!$D$4:$D$1048576,0))))</f>
        <v>-</v>
      </c>
      <c r="P15" s="1" t="str">
        <f>IF(IF(ROW(C13)&gt;MAX(Main!$D$4:$D$1048576),"",INDEX(Main!I$4:I$1048576,MATCH(ROW(C13),Main!$D$4:$D$1048576,0)))="",IF(O15="","",P14),IF(ROW(C13)&gt;MAX(Main!$D$4:$D$1048576),"",INDEX(Main!I$4:I$1048576,MATCH(ROW(C13),Main!$D$4:$D$1048576,0))))</f>
        <v>ー</v>
      </c>
      <c r="Q15" s="1" t="str">
        <f t="shared" si="2"/>
        <v>else</v>
      </c>
      <c r="R15" s="1" t="str">
        <f>IF(IF(ROW(D13)&gt;MAX(Main!$D$4:$D$1048576),"",INDEX(Main!J$4:J$1048576,MATCH(ROW(D13),Main!$D$4:$D$1048576,0)))="",IF(P15="","",R14),IF(ROW(D13)&gt;MAX(Main!$D$4:$D$1048576),"",INDEX(Main!J$4:J$1048576,MATCH(ROW(D13),Main!$D$4:$D$1048576,0))))</f>
        <v>酒田市</v>
      </c>
      <c r="S15" s="9" t="str">
        <f>IF(ROW(G13)&gt;MAX(Main!$D$4:$D$1048576),"",INDEX(Main!K$4:K$1048576,MATCH(ROW(G13),Main!$D$4:$D$1048576,0)))</f>
        <v>99999936001関連</v>
      </c>
      <c r="T15" s="1">
        <f>IF(S15&lt;&gt;"",IF(ROW(G13)&gt;MAX(Main!$D$4:$D$1048576),"",INDEX(Main!N$4:N$1048576,MATCH(ROW(G13),Main!$D$4:$D$1048576,0))),"")</f>
        <v>99999936001</v>
      </c>
      <c r="U15" s="1" t="str">
        <f>IF(IF(ROW(H13)&gt;MAX(Main!$D$4:$D$1048576),"",INDEX(Main!O$4:O$1048576,MATCH(ROW(H13),Main!$D$4:$D$1048576,0)))="",IF(T15="","",U14),IF(ROW(H13)&gt;MAX(Main!$D$4:$D$1048576),"",INDEX(Main!O$4:O$1048576,MATCH(ROW(H13),Main!$D$4:$D$1048576,0))))</f>
        <v>関連</v>
      </c>
    </row>
    <row r="16" spans="1:25" x14ac:dyDescent="0.4">
      <c r="A16" t="s">
        <v>21</v>
      </c>
      <c r="B16" s="4" t="str">
        <f>TEXT(IF(ROW(A14)&gt;MAX(Main!$C$4:$C$1048576),"",INDEX(Main!Q$4:Q$1048576,MATCH(ROW(A14),Main!$C$4:$C$1048576,0))), "yyyy/m/d")</f>
        <v>2023/1/25</v>
      </c>
      <c r="C16" s="1">
        <f>IF(IF(ROW(A14)&gt;MAX(Main!$C$4:$C$1048576),"",INDEX(Main!G$4:G$1048576,MATCH(ROW(A14),Main!$C$4:$C$1048576,0)))="",IF(B16="","",C15),IF(ROW(A14)&gt;MAX(Main!$C$4:$C$1048576),"",INDEX(Main!G$4:G$1048576,MATCH(ROW(A14),Main!$C$4:$C$1048576,0))))</f>
        <v>99999936014</v>
      </c>
      <c r="D16" s="1" t="str">
        <f>IF(IF(ROW(B14)&gt;MAX(Main!$C$4:$C$1048576),"",INDEX(Main!H$4:H$1048576,MATCH(ROW(B14),Main!$C$4:$C$1048576,0)))="",IF(C16="","",D15),IF(ROW(B14)&gt;MAX(Main!$C$4:$C$1048576),"",INDEX(Main!H$4:H$1048576,MATCH(ROW(B14),Main!$C$4:$C$1048576,0))))</f>
        <v>-</v>
      </c>
      <c r="E16" s="1" t="str">
        <f>IF(IF(ROW(C14)&gt;MAX(Main!$C$4:$C$1048576),"",INDEX(Main!I$4:I$1048576,MATCH(ROW(C14),Main!$C$4:$C$1048576,0)))="",IF(D16="","",E15),IF(ROW(C14)&gt;MAX(Main!$C$4:$C$1048576),"",INDEX(Main!I$4:I$1048576,MATCH(ROW(C14),Main!$C$4:$C$1048576,0))))</f>
        <v>ー</v>
      </c>
      <c r="F16" s="1" t="str">
        <f t="shared" si="0"/>
        <v>else</v>
      </c>
      <c r="G16" s="1" t="str">
        <f>IF(IF(ROW(D14)&gt;MAX(Main!$C$4:$C$1048576),"",INDEX(Main!J$4:J$1048576,MATCH(ROW(D14),Main!$C$4:$C$1048576,0)))="",IF(E16="","",G15),IF(ROW(D14)&gt;MAX(Main!$C$4:$C$1048576),"",INDEX(Main!J$4:J$1048576,MATCH(ROW(D14),Main!$C$4:$C$1048576,0))))</f>
        <v>酒田市</v>
      </c>
      <c r="H16" s="10" t="str">
        <f>IF(ROW(G14)&gt;MAX(Main!$C$4:$C$1048576),"",INDEX(Main!K$4:K$1048576,MATCH(ROW(G14),Main!$C$4:$C$1048576,0)))</f>
        <v>99999936001関連</v>
      </c>
      <c r="I16" s="1">
        <f>IF(H16&lt;&gt;"",IF(ROW(G14)&gt;MAX(Main!$C$4:$C$1048576),"",INDEX(Main!N$4:N$1048576,MATCH(ROW(G14),Main!$C$4:$C$1048576,0))),"")</f>
        <v>99999936001</v>
      </c>
      <c r="J16" s="1" t="str">
        <f>IF(IF(ROW(H14)&gt;MAX(Main!$C$4:$C$1048576),"",INDEX(Main!O$4:O$1048576,MATCH(ROW(H14),Main!$C$4:$C$1048576,0)))="",IF(I16="","",J15),IF(ROW(H14)&gt;MAX(Main!$C$4:$C$1048576),"",INDEX(Main!O$4:O$1048576,MATCH(ROW(H14),Main!$C$4:$C$1048576,0))))</f>
        <v>関連</v>
      </c>
      <c r="K16" s="27" t="str">
        <f t="shared" si="1"/>
        <v>クラスターNo.936</v>
      </c>
      <c r="M16" s="4" t="str">
        <f>TEXT(IF(ROW(A14)&gt;MAX(Main!$D$4:$D$1048576),"",INDEX(Main!Q$4:Q$1048576,MATCH(ROW(A14),Main!$D$4:$D$1048576,0))), "yyyy/m/d")</f>
        <v>2023/1/25</v>
      </c>
      <c r="N16" s="1">
        <f>IF(IF(ROW(A14)&gt;MAX(Main!$D$4:$D$1048576),"",INDEX(Main!G$4:G$1048576,MATCH(ROW(A14),Main!$D$4:$D$1048576,0)))="",IF(M16="","",N15),IF(ROW(A14)&gt;MAX(Main!$D$4:$D$1048576),"",INDEX(Main!G$4:G$1048576,MATCH(ROW(A14),Main!$D$4:$D$1048576,0))))</f>
        <v>99999936014</v>
      </c>
      <c r="O16" s="1" t="str">
        <f>IF(IF(ROW(B14)&gt;MAX(Main!$D$4:$D$1048576),"",INDEX(Main!H$4:H$1048576,MATCH(ROW(B14),Main!$D$4:$D$1048576,0)))="",IF(N16="","",O15),IF(ROW(B14)&gt;MAX(Main!$D$4:$D$1048576),"",INDEX(Main!H$4:H$1048576,MATCH(ROW(B14),Main!$D$4:$D$1048576,0))))</f>
        <v>-</v>
      </c>
      <c r="P16" s="1" t="str">
        <f>IF(IF(ROW(C14)&gt;MAX(Main!$D$4:$D$1048576),"",INDEX(Main!I$4:I$1048576,MATCH(ROW(C14),Main!$D$4:$D$1048576,0)))="",IF(O16="","",P15),IF(ROW(C14)&gt;MAX(Main!$D$4:$D$1048576),"",INDEX(Main!I$4:I$1048576,MATCH(ROW(C14),Main!$D$4:$D$1048576,0))))</f>
        <v>ー</v>
      </c>
      <c r="Q16" s="1" t="str">
        <f t="shared" si="2"/>
        <v>else</v>
      </c>
      <c r="R16" s="1" t="str">
        <f>IF(IF(ROW(D14)&gt;MAX(Main!$D$4:$D$1048576),"",INDEX(Main!J$4:J$1048576,MATCH(ROW(D14),Main!$D$4:$D$1048576,0)))="",IF(P16="","",R15),IF(ROW(D14)&gt;MAX(Main!$D$4:$D$1048576),"",INDEX(Main!J$4:J$1048576,MATCH(ROW(D14),Main!$D$4:$D$1048576,0))))</f>
        <v>酒田市</v>
      </c>
      <c r="S16" s="9" t="str">
        <f>IF(ROW(G14)&gt;MAX(Main!$D$4:$D$1048576),"",INDEX(Main!K$4:K$1048576,MATCH(ROW(G14),Main!$D$4:$D$1048576,0)))</f>
        <v>99999936001関連</v>
      </c>
      <c r="T16" s="1">
        <f>IF(S16&lt;&gt;"",IF(ROW(G14)&gt;MAX(Main!$D$4:$D$1048576),"",INDEX(Main!N$4:N$1048576,MATCH(ROW(G14),Main!$D$4:$D$1048576,0))),"")</f>
        <v>99999936001</v>
      </c>
      <c r="U16" s="1" t="str">
        <f>IF(IF(ROW(H14)&gt;MAX(Main!$D$4:$D$1048576),"",INDEX(Main!O$4:O$1048576,MATCH(ROW(H14),Main!$D$4:$D$1048576,0)))="",IF(T16="","",U15),IF(ROW(H14)&gt;MAX(Main!$D$4:$D$1048576),"",INDEX(Main!O$4:O$1048576,MATCH(ROW(H14),Main!$D$4:$D$1048576,0))))</f>
        <v>関連</v>
      </c>
    </row>
    <row r="17" spans="1:21" x14ac:dyDescent="0.4">
      <c r="A17" t="s">
        <v>21</v>
      </c>
      <c r="B17" s="4" t="str">
        <f>TEXT(IF(ROW(A15)&gt;MAX(Main!$C$4:$C$1048576),"",INDEX(Main!Q$4:Q$1048576,MATCH(ROW(A15),Main!$C$4:$C$1048576,0))), "yyyy/m/d")</f>
        <v>2023/1/25</v>
      </c>
      <c r="C17" s="1">
        <f>IF(IF(ROW(A15)&gt;MAX(Main!$C$4:$C$1048576),"",INDEX(Main!G$4:G$1048576,MATCH(ROW(A15),Main!$C$4:$C$1048576,0)))="",IF(B17="","",C16),IF(ROW(A15)&gt;MAX(Main!$C$4:$C$1048576),"",INDEX(Main!G$4:G$1048576,MATCH(ROW(A15),Main!$C$4:$C$1048576,0))))</f>
        <v>99999937001</v>
      </c>
      <c r="D17" s="1" t="str">
        <f>IF(IF(ROW(B15)&gt;MAX(Main!$C$4:$C$1048576),"",INDEX(Main!H$4:H$1048576,MATCH(ROW(B15),Main!$C$4:$C$1048576,0)))="",IF(C17="","",D16),IF(ROW(B15)&gt;MAX(Main!$C$4:$C$1048576),"",INDEX(Main!H$4:H$1048576,MATCH(ROW(B15),Main!$C$4:$C$1048576,0))))</f>
        <v>-</v>
      </c>
      <c r="E17" s="1" t="str">
        <f>IF(IF(ROW(C15)&gt;MAX(Main!$C$4:$C$1048576),"",INDEX(Main!I$4:I$1048576,MATCH(ROW(C15),Main!$C$4:$C$1048576,0)))="",IF(D17="","",E16),IF(ROW(C15)&gt;MAX(Main!$C$4:$C$1048576),"",INDEX(Main!I$4:I$1048576,MATCH(ROW(C15),Main!$C$4:$C$1048576,0))))</f>
        <v>ー</v>
      </c>
      <c r="F17" s="1" t="str">
        <f t="shared" si="0"/>
        <v>else</v>
      </c>
      <c r="G17" s="1" t="str">
        <f>IF(IF(ROW(D15)&gt;MAX(Main!$C$4:$C$1048576),"",INDEX(Main!J$4:J$1048576,MATCH(ROW(D15),Main!$C$4:$C$1048576,0)))="",IF(E17="","",G16),IF(ROW(D15)&gt;MAX(Main!$C$4:$C$1048576),"",INDEX(Main!J$4:J$1048576,MATCH(ROW(D15),Main!$C$4:$C$1048576,0))))</f>
        <v>山形市</v>
      </c>
      <c r="H17" s="10" t="str">
        <f>IF(ROW(G15)&gt;MAX(Main!$C$4:$C$1048576),"",INDEX(Main!K$4:K$1048576,MATCH(ROW(G15),Main!$C$4:$C$1048576,0)))</f>
        <v>99999937001介護施設</v>
      </c>
      <c r="I17" s="1">
        <f>IF(H17&lt;&gt;"",IF(ROW(G15)&gt;MAX(Main!$C$4:$C$1048576),"",INDEX(Main!N$4:N$1048576,MATCH(ROW(G15),Main!$C$4:$C$1048576,0))),"")</f>
        <v>99999937001</v>
      </c>
      <c r="J17" s="1" t="str">
        <f>IF(IF(ROW(H15)&gt;MAX(Main!$C$4:$C$1048576),"",INDEX(Main!O$4:O$1048576,MATCH(ROW(H15),Main!$C$4:$C$1048576,0)))="",IF(I17="","",J16),IF(ROW(H15)&gt;MAX(Main!$C$4:$C$1048576),"",INDEX(Main!O$4:O$1048576,MATCH(ROW(H15),Main!$C$4:$C$1048576,0))))</f>
        <v>介護施設</v>
      </c>
      <c r="K17" s="27" t="str">
        <f t="shared" si="1"/>
        <v>クラスターNo.937</v>
      </c>
      <c r="M17" s="4" t="str">
        <f>TEXT(IF(ROW(A15)&gt;MAX(Main!$D$4:$D$1048576),"",INDEX(Main!Q$4:Q$1048576,MATCH(ROW(A15),Main!$D$4:$D$1048576,0))), "yyyy/m/d")</f>
        <v>2023/1/25</v>
      </c>
      <c r="N17" s="1">
        <f>IF(IF(ROW(A15)&gt;MAX(Main!$D$4:$D$1048576),"",INDEX(Main!G$4:G$1048576,MATCH(ROW(A15),Main!$D$4:$D$1048576,0)))="",IF(M17="","",N16),IF(ROW(A15)&gt;MAX(Main!$D$4:$D$1048576),"",INDEX(Main!G$4:G$1048576,MATCH(ROW(A15),Main!$D$4:$D$1048576,0))))</f>
        <v>99999937001</v>
      </c>
      <c r="O17" s="1" t="str">
        <f>IF(IF(ROW(B15)&gt;MAX(Main!$D$4:$D$1048576),"",INDEX(Main!H$4:H$1048576,MATCH(ROW(B15),Main!$D$4:$D$1048576,0)))="",IF(N17="","",O16),IF(ROW(B15)&gt;MAX(Main!$D$4:$D$1048576),"",INDEX(Main!H$4:H$1048576,MATCH(ROW(B15),Main!$D$4:$D$1048576,0))))</f>
        <v>-</v>
      </c>
      <c r="P17" s="1" t="str">
        <f>IF(IF(ROW(C15)&gt;MAX(Main!$D$4:$D$1048576),"",INDEX(Main!I$4:I$1048576,MATCH(ROW(C15),Main!$D$4:$D$1048576,0)))="",IF(O17="","",P16),IF(ROW(C15)&gt;MAX(Main!$D$4:$D$1048576),"",INDEX(Main!I$4:I$1048576,MATCH(ROW(C15),Main!$D$4:$D$1048576,0))))</f>
        <v>ー</v>
      </c>
      <c r="Q17" s="1" t="str">
        <f t="shared" si="2"/>
        <v>else</v>
      </c>
      <c r="R17" s="1" t="str">
        <f>IF(IF(ROW(D15)&gt;MAX(Main!$D$4:$D$1048576),"",INDEX(Main!J$4:J$1048576,MATCH(ROW(D15),Main!$D$4:$D$1048576,0)))="",IF(P17="","",R16),IF(ROW(D15)&gt;MAX(Main!$D$4:$D$1048576),"",INDEX(Main!J$4:J$1048576,MATCH(ROW(D15),Main!$D$4:$D$1048576,0))))</f>
        <v>山形市</v>
      </c>
      <c r="S17" s="9" t="str">
        <f>IF(ROW(G15)&gt;MAX(Main!$D$4:$D$1048576),"",INDEX(Main!K$4:K$1048576,MATCH(ROW(G15),Main!$D$4:$D$1048576,0)))</f>
        <v>99999937001介護施設</v>
      </c>
      <c r="T17" s="1">
        <f>IF(S17&lt;&gt;"",IF(ROW(G15)&gt;MAX(Main!$D$4:$D$1048576),"",INDEX(Main!N$4:N$1048576,MATCH(ROW(G15),Main!$D$4:$D$1048576,0))),"")</f>
        <v>99999937001</v>
      </c>
      <c r="U17" s="1" t="str">
        <f>IF(IF(ROW(H15)&gt;MAX(Main!$D$4:$D$1048576),"",INDEX(Main!O$4:O$1048576,MATCH(ROW(H15),Main!$D$4:$D$1048576,0)))="",IF(T17="","",U16),IF(ROW(H15)&gt;MAX(Main!$D$4:$D$1048576),"",INDEX(Main!O$4:O$1048576,MATCH(ROW(H15),Main!$D$4:$D$1048576,0))))</f>
        <v>介護施設</v>
      </c>
    </row>
    <row r="18" spans="1:21" x14ac:dyDescent="0.4">
      <c r="A18" t="s">
        <v>21</v>
      </c>
      <c r="B18" s="4" t="str">
        <f>TEXT(IF(ROW(A16)&gt;MAX(Main!$C$4:$C$1048576),"",INDEX(Main!Q$4:Q$1048576,MATCH(ROW(A16),Main!$C$4:$C$1048576,0))), "yyyy/m/d")</f>
        <v>2023/1/25</v>
      </c>
      <c r="C18" s="1">
        <f>IF(IF(ROW(A16)&gt;MAX(Main!$C$4:$C$1048576),"",INDEX(Main!G$4:G$1048576,MATCH(ROW(A16),Main!$C$4:$C$1048576,0)))="",IF(B18="","",C17),IF(ROW(A16)&gt;MAX(Main!$C$4:$C$1048576),"",INDEX(Main!G$4:G$1048576,MATCH(ROW(A16),Main!$C$4:$C$1048576,0))))</f>
        <v>99999938001</v>
      </c>
      <c r="D18" s="1" t="str">
        <f>IF(IF(ROW(B16)&gt;MAX(Main!$C$4:$C$1048576),"",INDEX(Main!H$4:H$1048576,MATCH(ROW(B16),Main!$C$4:$C$1048576,0)))="",IF(C18="","",D17),IF(ROW(B16)&gt;MAX(Main!$C$4:$C$1048576),"",INDEX(Main!H$4:H$1048576,MATCH(ROW(B16),Main!$C$4:$C$1048576,0))))</f>
        <v>-</v>
      </c>
      <c r="E18" s="1" t="str">
        <f>IF(IF(ROW(C16)&gt;MAX(Main!$C$4:$C$1048576),"",INDEX(Main!I$4:I$1048576,MATCH(ROW(C16),Main!$C$4:$C$1048576,0)))="",IF(D18="","",E17),IF(ROW(C16)&gt;MAX(Main!$C$4:$C$1048576),"",INDEX(Main!I$4:I$1048576,MATCH(ROW(C16),Main!$C$4:$C$1048576,0))))</f>
        <v>ー</v>
      </c>
      <c r="F18" s="1" t="str">
        <f t="shared" si="0"/>
        <v>else</v>
      </c>
      <c r="G18" s="1" t="str">
        <f>IF(IF(ROW(D16)&gt;MAX(Main!$C$4:$C$1048576),"",INDEX(Main!J$4:J$1048576,MATCH(ROW(D16),Main!$C$4:$C$1048576,0)))="",IF(E18="","",G17),IF(ROW(D16)&gt;MAX(Main!$C$4:$C$1048576),"",INDEX(Main!J$4:J$1048576,MATCH(ROW(D16),Main!$C$4:$C$1048576,0))))</f>
        <v>山形市</v>
      </c>
      <c r="H18" s="10" t="str">
        <f>IF(ROW(G16)&gt;MAX(Main!$C$4:$C$1048576),"",INDEX(Main!K$4:K$1048576,MATCH(ROW(G16),Main!$C$4:$C$1048576,0)))</f>
        <v>99999938001介護施設</v>
      </c>
      <c r="I18" s="1">
        <f>IF(H18&lt;&gt;"",IF(ROW(G16)&gt;MAX(Main!$C$4:$C$1048576),"",INDEX(Main!N$4:N$1048576,MATCH(ROW(G16),Main!$C$4:$C$1048576,0))),"")</f>
        <v>99999938001</v>
      </c>
      <c r="J18" s="1" t="str">
        <f>IF(IF(ROW(H16)&gt;MAX(Main!$C$4:$C$1048576),"",INDEX(Main!O$4:O$1048576,MATCH(ROW(H16),Main!$C$4:$C$1048576,0)))="",IF(I18="","",J17),IF(ROW(H16)&gt;MAX(Main!$C$4:$C$1048576),"",INDEX(Main!O$4:O$1048576,MATCH(ROW(H16),Main!$C$4:$C$1048576,0))))</f>
        <v>介護施設</v>
      </c>
      <c r="K18" s="27" t="str">
        <f t="shared" si="1"/>
        <v>クラスターNo.938</v>
      </c>
      <c r="M18" s="4" t="str">
        <f>TEXT(IF(ROW(A16)&gt;MAX(Main!$D$4:$D$1048576),"",INDEX(Main!Q$4:Q$1048576,MATCH(ROW(A16),Main!$D$4:$D$1048576,0))), "yyyy/m/d")</f>
        <v>2023/1/25</v>
      </c>
      <c r="N18" s="1">
        <f>IF(IF(ROW(A16)&gt;MAX(Main!$D$4:$D$1048576),"",INDEX(Main!G$4:G$1048576,MATCH(ROW(A16),Main!$D$4:$D$1048576,0)))="",IF(M18="","",N17),IF(ROW(A16)&gt;MAX(Main!$D$4:$D$1048576),"",INDEX(Main!G$4:G$1048576,MATCH(ROW(A16),Main!$D$4:$D$1048576,0))))</f>
        <v>99999938001</v>
      </c>
      <c r="O18" s="1" t="str">
        <f>IF(IF(ROW(B16)&gt;MAX(Main!$D$4:$D$1048576),"",INDEX(Main!H$4:H$1048576,MATCH(ROW(B16),Main!$D$4:$D$1048576,0)))="",IF(N18="","",O17),IF(ROW(B16)&gt;MAX(Main!$D$4:$D$1048576),"",INDEX(Main!H$4:H$1048576,MATCH(ROW(B16),Main!$D$4:$D$1048576,0))))</f>
        <v>-</v>
      </c>
      <c r="P18" s="1" t="str">
        <f>IF(IF(ROW(C16)&gt;MAX(Main!$D$4:$D$1048576),"",INDEX(Main!I$4:I$1048576,MATCH(ROW(C16),Main!$D$4:$D$1048576,0)))="",IF(O18="","",P17),IF(ROW(C16)&gt;MAX(Main!$D$4:$D$1048576),"",INDEX(Main!I$4:I$1048576,MATCH(ROW(C16),Main!$D$4:$D$1048576,0))))</f>
        <v>ー</v>
      </c>
      <c r="Q18" s="1" t="str">
        <f t="shared" si="2"/>
        <v>else</v>
      </c>
      <c r="R18" s="1" t="str">
        <f>IF(IF(ROW(D16)&gt;MAX(Main!$D$4:$D$1048576),"",INDEX(Main!J$4:J$1048576,MATCH(ROW(D16),Main!$D$4:$D$1048576,0)))="",IF(P18="","",R17),IF(ROW(D16)&gt;MAX(Main!$D$4:$D$1048576),"",INDEX(Main!J$4:J$1048576,MATCH(ROW(D16),Main!$D$4:$D$1048576,0))))</f>
        <v>山形市</v>
      </c>
      <c r="S18" s="9" t="str">
        <f>IF(ROW(G16)&gt;MAX(Main!$D$4:$D$1048576),"",INDEX(Main!K$4:K$1048576,MATCH(ROW(G16),Main!$D$4:$D$1048576,0)))</f>
        <v>99999938001介護施設</v>
      </c>
      <c r="T18" s="1">
        <f>IF(S18&lt;&gt;"",IF(ROW(G16)&gt;MAX(Main!$D$4:$D$1048576),"",INDEX(Main!N$4:N$1048576,MATCH(ROW(G16),Main!$D$4:$D$1048576,0))),"")</f>
        <v>99999938001</v>
      </c>
      <c r="U18" s="1" t="str">
        <f>IF(IF(ROW(H16)&gt;MAX(Main!$D$4:$D$1048576),"",INDEX(Main!O$4:O$1048576,MATCH(ROW(H16),Main!$D$4:$D$1048576,0)))="",IF(T18="","",U17),IF(ROW(H16)&gt;MAX(Main!$D$4:$D$1048576),"",INDEX(Main!O$4:O$1048576,MATCH(ROW(H16),Main!$D$4:$D$1048576,0))))</f>
        <v>介護施設</v>
      </c>
    </row>
    <row r="19" spans="1:21" x14ac:dyDescent="0.4">
      <c r="A19" t="s">
        <v>21</v>
      </c>
      <c r="B19" s="4" t="str">
        <f>TEXT(IF(ROW(A17)&gt;MAX(Main!$C$4:$C$1048576),"",INDEX(Main!Q$4:Q$1048576,MATCH(ROW(A17),Main!$C$4:$C$1048576,0))), "yyyy/m/d")</f>
        <v/>
      </c>
      <c r="C19" s="1" t="str">
        <f>IF(IF(ROW(A17)&gt;MAX(Main!$C$4:$C$1048576),"",INDEX(Main!G$4:G$1048576,MATCH(ROW(A17),Main!$C$4:$C$1048576,0)))="",IF(B19="","",C18),IF(ROW(A17)&gt;MAX(Main!$C$4:$C$1048576),"",INDEX(Main!G$4:G$1048576,MATCH(ROW(A17),Main!$C$4:$C$1048576,0))))</f>
        <v/>
      </c>
      <c r="D19" s="1" t="str">
        <f>IF(IF(ROW(B17)&gt;MAX(Main!$C$4:$C$1048576),"",INDEX(Main!H$4:H$1048576,MATCH(ROW(B17),Main!$C$4:$C$1048576,0)))="",IF(C19="","",D18),IF(ROW(B17)&gt;MAX(Main!$C$4:$C$1048576),"",INDEX(Main!H$4:H$1048576,MATCH(ROW(B17),Main!$C$4:$C$1048576,0))))</f>
        <v/>
      </c>
      <c r="E19" s="1" t="str">
        <f>IF(IF(ROW(C17)&gt;MAX(Main!$C$4:$C$1048576),"",INDEX(Main!I$4:I$1048576,MATCH(ROW(C17),Main!$C$4:$C$1048576,0)))="",IF(D19="","",E18),IF(ROW(C17)&gt;MAX(Main!$C$4:$C$1048576),"",INDEX(Main!I$4:I$1048576,MATCH(ROW(C17),Main!$C$4:$C$1048576,0))))</f>
        <v/>
      </c>
      <c r="F19" s="1" t="str">
        <f t="shared" si="0"/>
        <v/>
      </c>
      <c r="G19" s="1" t="str">
        <f>IF(IF(ROW(D17)&gt;MAX(Main!$C$4:$C$1048576),"",INDEX(Main!J$4:J$1048576,MATCH(ROW(D17),Main!$C$4:$C$1048576,0)))="",IF(E19="","",G18),IF(ROW(D17)&gt;MAX(Main!$C$4:$C$1048576),"",INDEX(Main!J$4:J$1048576,MATCH(ROW(D17),Main!$C$4:$C$1048576,0))))</f>
        <v/>
      </c>
      <c r="H19" s="10" t="str">
        <f>IF(ROW(G17)&gt;MAX(Main!$C$4:$C$1048576),"",INDEX(Main!K$4:K$1048576,MATCH(ROW(G17),Main!$C$4:$C$1048576,0)))</f>
        <v/>
      </c>
      <c r="I19" s="1" t="str">
        <f>IF(H19&lt;&gt;"",IF(ROW(G17)&gt;MAX(Main!$C$4:$C$1048576),"",INDEX(Main!N$4:N$1048576,MATCH(ROW(G17),Main!$C$4:$C$1048576,0))),"")</f>
        <v/>
      </c>
      <c r="J19" s="1" t="str">
        <f>IF(IF(ROW(H17)&gt;MAX(Main!$C$4:$C$1048576),"",INDEX(Main!O$4:O$1048576,MATCH(ROW(H17),Main!$C$4:$C$1048576,0)))="",IF(I19="","",J18),IF(ROW(H17)&gt;MAX(Main!$C$4:$C$1048576),"",INDEX(Main!O$4:O$1048576,MATCH(ROW(H17),Main!$C$4:$C$1048576,0))))</f>
        <v/>
      </c>
      <c r="K19" s="27" t="str">
        <f t="shared" si="1"/>
        <v>例目</v>
      </c>
      <c r="M19" s="4" t="str">
        <f>TEXT(IF(ROW(A17)&gt;MAX(Main!$D$4:$D$1048576),"",INDEX(Main!Q$4:Q$1048576,MATCH(ROW(A17),Main!$D$4:$D$1048576,0))), "yyyy/m/d")</f>
        <v/>
      </c>
      <c r="N19" s="1" t="str">
        <f>IF(IF(ROW(A17)&gt;MAX(Main!$D$4:$D$1048576),"",INDEX(Main!G$4:G$1048576,MATCH(ROW(A17),Main!$D$4:$D$1048576,0)))="",IF(M19="","",N18),IF(ROW(A17)&gt;MAX(Main!$D$4:$D$1048576),"",INDEX(Main!G$4:G$1048576,MATCH(ROW(A17),Main!$D$4:$D$1048576,0))))</f>
        <v/>
      </c>
      <c r="O19" s="1" t="str">
        <f>IF(IF(ROW(B17)&gt;MAX(Main!$D$4:$D$1048576),"",INDEX(Main!H$4:H$1048576,MATCH(ROW(B17),Main!$D$4:$D$1048576,0)))="",IF(N19="","",O18),IF(ROW(B17)&gt;MAX(Main!$D$4:$D$1048576),"",INDEX(Main!H$4:H$1048576,MATCH(ROW(B17),Main!$D$4:$D$1048576,0))))</f>
        <v/>
      </c>
      <c r="P19" s="1" t="str">
        <f>IF(IF(ROW(C17)&gt;MAX(Main!$D$4:$D$1048576),"",INDEX(Main!I$4:I$1048576,MATCH(ROW(C17),Main!$D$4:$D$1048576,0)))="",IF(O19="","",P18),IF(ROW(C17)&gt;MAX(Main!$D$4:$D$1048576),"",INDEX(Main!I$4:I$1048576,MATCH(ROW(C17),Main!$D$4:$D$1048576,0))))</f>
        <v/>
      </c>
      <c r="Q19" s="1" t="str">
        <f t="shared" si="2"/>
        <v/>
      </c>
      <c r="R19" s="1" t="str">
        <f>IF(IF(ROW(D17)&gt;MAX(Main!$D$4:$D$1048576),"",INDEX(Main!J$4:J$1048576,MATCH(ROW(D17),Main!$D$4:$D$1048576,0)))="",IF(P19="","",R18),IF(ROW(D17)&gt;MAX(Main!$D$4:$D$1048576),"",INDEX(Main!J$4:J$1048576,MATCH(ROW(D17),Main!$D$4:$D$1048576,0))))</f>
        <v/>
      </c>
      <c r="S19" s="9" t="str">
        <f>IF(ROW(G17)&gt;MAX(Main!$D$4:$D$1048576),"",INDEX(Main!K$4:K$1048576,MATCH(ROW(G17),Main!$D$4:$D$1048576,0)))</f>
        <v/>
      </c>
      <c r="T19" s="1" t="str">
        <f>IF(S19&lt;&gt;"",IF(ROW(G17)&gt;MAX(Main!$D$4:$D$1048576),"",INDEX(Main!N$4:N$1048576,MATCH(ROW(G17),Main!$D$4:$D$1048576,0))),"")</f>
        <v/>
      </c>
      <c r="U19" s="1" t="str">
        <f>IF(IF(ROW(H17)&gt;MAX(Main!$D$4:$D$1048576),"",INDEX(Main!O$4:O$1048576,MATCH(ROW(H17),Main!$D$4:$D$1048576,0)))="",IF(T19="","",U18),IF(ROW(H17)&gt;MAX(Main!$D$4:$D$1048576),"",INDEX(Main!O$4:O$1048576,MATCH(ROW(H17),Main!$D$4:$D$1048576,0))))</f>
        <v/>
      </c>
    </row>
    <row r="20" spans="1:21" x14ac:dyDescent="0.4">
      <c r="A20" t="s">
        <v>21</v>
      </c>
      <c r="B20" s="4" t="str">
        <f>TEXT(IF(ROW(A18)&gt;MAX(Main!$C$4:$C$1048576),"",INDEX(Main!Q$4:Q$1048576,MATCH(ROW(A18),Main!$C$4:$C$1048576,0))), "yyyy/m/d")</f>
        <v/>
      </c>
      <c r="C20" s="1" t="str">
        <f>IF(IF(ROW(A18)&gt;MAX(Main!$C$4:$C$1048576),"",INDEX(Main!G$4:G$1048576,MATCH(ROW(A18),Main!$C$4:$C$1048576,0)))="",IF(B20="","",C19),IF(ROW(A18)&gt;MAX(Main!$C$4:$C$1048576),"",INDEX(Main!G$4:G$1048576,MATCH(ROW(A18),Main!$C$4:$C$1048576,0))))</f>
        <v/>
      </c>
      <c r="D20" s="1" t="str">
        <f>IF(IF(ROW(B18)&gt;MAX(Main!$C$4:$C$1048576),"",INDEX(Main!H$4:H$1048576,MATCH(ROW(B18),Main!$C$4:$C$1048576,0)))="",IF(C20="","",D19),IF(ROW(B18)&gt;MAX(Main!$C$4:$C$1048576),"",INDEX(Main!H$4:H$1048576,MATCH(ROW(B18),Main!$C$4:$C$1048576,0))))</f>
        <v/>
      </c>
      <c r="E20" s="1" t="str">
        <f>IF(IF(ROW(C18)&gt;MAX(Main!$C$4:$C$1048576),"",INDEX(Main!I$4:I$1048576,MATCH(ROW(C18),Main!$C$4:$C$1048576,0)))="",IF(D20="","",E19),IF(ROW(C18)&gt;MAX(Main!$C$4:$C$1048576),"",INDEX(Main!I$4:I$1048576,MATCH(ROW(C18),Main!$C$4:$C$1048576,0))))</f>
        <v/>
      </c>
      <c r="F20" s="1" t="str">
        <f t="shared" si="0"/>
        <v/>
      </c>
      <c r="G20" s="1" t="str">
        <f>IF(IF(ROW(D18)&gt;MAX(Main!$C$4:$C$1048576),"",INDEX(Main!J$4:J$1048576,MATCH(ROW(D18),Main!$C$4:$C$1048576,0)))="",IF(E20="","",G19),IF(ROW(D18)&gt;MAX(Main!$C$4:$C$1048576),"",INDEX(Main!J$4:J$1048576,MATCH(ROW(D18),Main!$C$4:$C$1048576,0))))</f>
        <v/>
      </c>
      <c r="H20" s="10" t="str">
        <f>IF(ROW(G18)&gt;MAX(Main!$C$4:$C$1048576),"",INDEX(Main!K$4:K$1048576,MATCH(ROW(G18),Main!$C$4:$C$1048576,0)))</f>
        <v/>
      </c>
      <c r="I20" s="1" t="str">
        <f>IF(H20&lt;&gt;"",IF(ROW(G18)&gt;MAX(Main!$C$4:$C$1048576),"",INDEX(Main!N$4:N$1048576,MATCH(ROW(G18),Main!$C$4:$C$1048576,0))),"")</f>
        <v/>
      </c>
      <c r="J20" s="1" t="str">
        <f>IF(IF(ROW(H18)&gt;MAX(Main!$C$4:$C$1048576),"",INDEX(Main!O$4:O$1048576,MATCH(ROW(H18),Main!$C$4:$C$1048576,0)))="",IF(I20="","",J19),IF(ROW(H18)&gt;MAX(Main!$C$4:$C$1048576),"",INDEX(Main!O$4:O$1048576,MATCH(ROW(H18),Main!$C$4:$C$1048576,0))))</f>
        <v/>
      </c>
      <c r="K20" s="27" t="str">
        <f t="shared" si="1"/>
        <v>例目</v>
      </c>
      <c r="M20" s="4" t="str">
        <f>TEXT(IF(ROW(A18)&gt;MAX(Main!$D$4:$D$1048576),"",INDEX(Main!Q$4:Q$1048576,MATCH(ROW(A18),Main!$D$4:$D$1048576,0))), "yyyy/m/d")</f>
        <v/>
      </c>
      <c r="N20" s="1" t="str">
        <f>IF(IF(ROW(A18)&gt;MAX(Main!$D$4:$D$1048576),"",INDEX(Main!G$4:G$1048576,MATCH(ROW(A18),Main!$D$4:$D$1048576,0)))="",IF(M20="","",N19),IF(ROW(A18)&gt;MAX(Main!$D$4:$D$1048576),"",INDEX(Main!G$4:G$1048576,MATCH(ROW(A18),Main!$D$4:$D$1048576,0))))</f>
        <v/>
      </c>
      <c r="O20" s="1" t="str">
        <f>IF(IF(ROW(B18)&gt;MAX(Main!$D$4:$D$1048576),"",INDEX(Main!H$4:H$1048576,MATCH(ROW(B18),Main!$D$4:$D$1048576,0)))="",IF(N20="","",O19),IF(ROW(B18)&gt;MAX(Main!$D$4:$D$1048576),"",INDEX(Main!H$4:H$1048576,MATCH(ROW(B18),Main!$D$4:$D$1048576,0))))</f>
        <v/>
      </c>
      <c r="P20" s="1" t="str">
        <f>IF(IF(ROW(C18)&gt;MAX(Main!$D$4:$D$1048576),"",INDEX(Main!I$4:I$1048576,MATCH(ROW(C18),Main!$D$4:$D$1048576,0)))="",IF(O20="","",P19),IF(ROW(C18)&gt;MAX(Main!$D$4:$D$1048576),"",INDEX(Main!I$4:I$1048576,MATCH(ROW(C18),Main!$D$4:$D$1048576,0))))</f>
        <v/>
      </c>
      <c r="Q20" s="1" t="str">
        <f t="shared" si="2"/>
        <v/>
      </c>
      <c r="R20" s="1" t="str">
        <f>IF(IF(ROW(D18)&gt;MAX(Main!$D$4:$D$1048576),"",INDEX(Main!J$4:J$1048576,MATCH(ROW(D18),Main!$D$4:$D$1048576,0)))="",IF(P20="","",R19),IF(ROW(D18)&gt;MAX(Main!$D$4:$D$1048576),"",INDEX(Main!J$4:J$1048576,MATCH(ROW(D18),Main!$D$4:$D$1048576,0))))</f>
        <v/>
      </c>
      <c r="S20" s="9" t="str">
        <f>IF(ROW(G18)&gt;MAX(Main!$D$4:$D$1048576),"",INDEX(Main!K$4:K$1048576,MATCH(ROW(G18),Main!$D$4:$D$1048576,0)))</f>
        <v/>
      </c>
      <c r="T20" s="1" t="str">
        <f>IF(S20&lt;&gt;"",IF(ROW(G18)&gt;MAX(Main!$D$4:$D$1048576),"",INDEX(Main!N$4:N$1048576,MATCH(ROW(G18),Main!$D$4:$D$1048576,0))),"")</f>
        <v/>
      </c>
      <c r="U20" s="1" t="str">
        <f>IF(IF(ROW(H18)&gt;MAX(Main!$D$4:$D$1048576),"",INDEX(Main!O$4:O$1048576,MATCH(ROW(H18),Main!$D$4:$D$1048576,0)))="",IF(T20="","",U19),IF(ROW(H18)&gt;MAX(Main!$D$4:$D$1048576),"",INDEX(Main!O$4:O$1048576,MATCH(ROW(H18),Main!$D$4:$D$1048576,0))))</f>
        <v/>
      </c>
    </row>
    <row r="21" spans="1:21" x14ac:dyDescent="0.4">
      <c r="A21" t="s">
        <v>21</v>
      </c>
      <c r="B21" s="4" t="str">
        <f>TEXT(IF(ROW(A19)&gt;MAX(Main!$C$4:$C$1048576),"",INDEX(Main!Q$4:Q$1048576,MATCH(ROW(A19),Main!$C$4:$C$1048576,0))), "yyyy/m/d")</f>
        <v/>
      </c>
      <c r="C21" s="1" t="str">
        <f>IF(IF(ROW(A19)&gt;MAX(Main!$C$4:$C$1048576),"",INDEX(Main!G$4:G$1048576,MATCH(ROW(A19),Main!$C$4:$C$1048576,0)))="",IF(B21="","",C20),IF(ROW(A19)&gt;MAX(Main!$C$4:$C$1048576),"",INDEX(Main!G$4:G$1048576,MATCH(ROW(A19),Main!$C$4:$C$1048576,0))))</f>
        <v/>
      </c>
      <c r="D21" s="1" t="str">
        <f>IF(IF(ROW(B19)&gt;MAX(Main!$C$4:$C$1048576),"",INDEX(Main!H$4:H$1048576,MATCH(ROW(B19),Main!$C$4:$C$1048576,0)))="",IF(C21="","",D20),IF(ROW(B19)&gt;MAX(Main!$C$4:$C$1048576),"",INDEX(Main!H$4:H$1048576,MATCH(ROW(B19),Main!$C$4:$C$1048576,0))))</f>
        <v/>
      </c>
      <c r="E21" s="1" t="str">
        <f>IF(IF(ROW(C19)&gt;MAX(Main!$C$4:$C$1048576),"",INDEX(Main!I$4:I$1048576,MATCH(ROW(C19),Main!$C$4:$C$1048576,0)))="",IF(D21="","",E20),IF(ROW(C19)&gt;MAX(Main!$C$4:$C$1048576),"",INDEX(Main!I$4:I$1048576,MATCH(ROW(C19),Main!$C$4:$C$1048576,0))))</f>
        <v/>
      </c>
      <c r="F21" s="1" t="str">
        <f t="shared" si="0"/>
        <v/>
      </c>
      <c r="G21" s="1" t="str">
        <f>IF(IF(ROW(D19)&gt;MAX(Main!$C$4:$C$1048576),"",INDEX(Main!J$4:J$1048576,MATCH(ROW(D19),Main!$C$4:$C$1048576,0)))="",IF(E21="","",G20),IF(ROW(D19)&gt;MAX(Main!$C$4:$C$1048576),"",INDEX(Main!J$4:J$1048576,MATCH(ROW(D19),Main!$C$4:$C$1048576,0))))</f>
        <v/>
      </c>
      <c r="H21" s="10" t="str">
        <f>IF(ROW(G19)&gt;MAX(Main!$C$4:$C$1048576),"",INDEX(Main!K$4:K$1048576,MATCH(ROW(G19),Main!$C$4:$C$1048576,0)))</f>
        <v/>
      </c>
      <c r="I21" s="1" t="str">
        <f>IF(H21&lt;&gt;"",IF(ROW(G19)&gt;MAX(Main!$C$4:$C$1048576),"",INDEX(Main!N$4:N$1048576,MATCH(ROW(G19),Main!$C$4:$C$1048576,0))),"")</f>
        <v/>
      </c>
      <c r="J21" s="1" t="str">
        <f>IF(IF(ROW(H19)&gt;MAX(Main!$C$4:$C$1048576),"",INDEX(Main!O$4:O$1048576,MATCH(ROW(H19),Main!$C$4:$C$1048576,0)))="",IF(I21="","",J20),IF(ROW(H19)&gt;MAX(Main!$C$4:$C$1048576),"",INDEX(Main!O$4:O$1048576,MATCH(ROW(H19),Main!$C$4:$C$1048576,0))))</f>
        <v/>
      </c>
      <c r="K21" s="27" t="str">
        <f t="shared" si="1"/>
        <v>例目</v>
      </c>
      <c r="M21" s="4" t="str">
        <f>TEXT(IF(ROW(A19)&gt;MAX(Main!$D$4:$D$1048576),"",INDEX(Main!Q$4:Q$1048576,MATCH(ROW(A19),Main!$D$4:$D$1048576,0))), "yyyy/m/d")</f>
        <v/>
      </c>
      <c r="N21" s="1" t="str">
        <f>IF(IF(ROW(A19)&gt;MAX(Main!$D$4:$D$1048576),"",INDEX(Main!G$4:G$1048576,MATCH(ROW(A19),Main!$D$4:$D$1048576,0)))="",IF(M21="","",N20),IF(ROW(A19)&gt;MAX(Main!$D$4:$D$1048576),"",INDEX(Main!G$4:G$1048576,MATCH(ROW(A19),Main!$D$4:$D$1048576,0))))</f>
        <v/>
      </c>
      <c r="O21" s="1" t="str">
        <f>IF(IF(ROW(B19)&gt;MAX(Main!$D$4:$D$1048576),"",INDEX(Main!H$4:H$1048576,MATCH(ROW(B19),Main!$D$4:$D$1048576,0)))="",IF(N21="","",O20),IF(ROW(B19)&gt;MAX(Main!$D$4:$D$1048576),"",INDEX(Main!H$4:H$1048576,MATCH(ROW(B19),Main!$D$4:$D$1048576,0))))</f>
        <v/>
      </c>
      <c r="P21" s="1" t="str">
        <f>IF(IF(ROW(C19)&gt;MAX(Main!$D$4:$D$1048576),"",INDEX(Main!I$4:I$1048576,MATCH(ROW(C19),Main!$D$4:$D$1048576,0)))="",IF(O21="","",P20),IF(ROW(C19)&gt;MAX(Main!$D$4:$D$1048576),"",INDEX(Main!I$4:I$1048576,MATCH(ROW(C19),Main!$D$4:$D$1048576,0))))</f>
        <v/>
      </c>
      <c r="Q21" s="1" t="str">
        <f t="shared" si="2"/>
        <v/>
      </c>
      <c r="R21" s="1" t="str">
        <f>IF(IF(ROW(D19)&gt;MAX(Main!$D$4:$D$1048576),"",INDEX(Main!J$4:J$1048576,MATCH(ROW(D19),Main!$D$4:$D$1048576,0)))="",IF(P21="","",R20),IF(ROW(D19)&gt;MAX(Main!$D$4:$D$1048576),"",INDEX(Main!J$4:J$1048576,MATCH(ROW(D19),Main!$D$4:$D$1048576,0))))</f>
        <v/>
      </c>
      <c r="S21" s="9" t="str">
        <f>IF(ROW(G19)&gt;MAX(Main!$D$4:$D$1048576),"",INDEX(Main!K$4:K$1048576,MATCH(ROW(G19),Main!$D$4:$D$1048576,0)))</f>
        <v/>
      </c>
      <c r="T21" s="1" t="str">
        <f>IF(S21&lt;&gt;"",IF(ROW(G19)&gt;MAX(Main!$D$4:$D$1048576),"",INDEX(Main!N$4:N$1048576,MATCH(ROW(G19),Main!$D$4:$D$1048576,0))),"")</f>
        <v/>
      </c>
      <c r="U21" s="1" t="str">
        <f>IF(IF(ROW(H19)&gt;MAX(Main!$D$4:$D$1048576),"",INDEX(Main!O$4:O$1048576,MATCH(ROW(H19),Main!$D$4:$D$1048576,0)))="",IF(T21="","",U20),IF(ROW(H19)&gt;MAX(Main!$D$4:$D$1048576),"",INDEX(Main!O$4:O$1048576,MATCH(ROW(H19),Main!$D$4:$D$1048576,0))))</f>
        <v/>
      </c>
    </row>
    <row r="22" spans="1:21" x14ac:dyDescent="0.4">
      <c r="A22" t="s">
        <v>21</v>
      </c>
      <c r="B22" s="4" t="str">
        <f>TEXT(IF(ROW(A20)&gt;MAX(Main!$C$4:$C$1048576),"",INDEX(Main!Q$4:Q$1048576,MATCH(ROW(A20),Main!$C$4:$C$1048576,0))), "yyyy/m/d")</f>
        <v/>
      </c>
      <c r="C22" s="1" t="str">
        <f>IF(IF(ROW(A20)&gt;MAX(Main!$C$4:$C$1048576),"",INDEX(Main!G$4:G$1048576,MATCH(ROW(A20),Main!$C$4:$C$1048576,0)))="",IF(B22="","",C21),IF(ROW(A20)&gt;MAX(Main!$C$4:$C$1048576),"",INDEX(Main!G$4:G$1048576,MATCH(ROW(A20),Main!$C$4:$C$1048576,0))))</f>
        <v/>
      </c>
      <c r="D22" s="1" t="str">
        <f>IF(IF(ROW(B20)&gt;MAX(Main!$C$4:$C$1048576),"",INDEX(Main!H$4:H$1048576,MATCH(ROW(B20),Main!$C$4:$C$1048576,0)))="",IF(C22="","",D21),IF(ROW(B20)&gt;MAX(Main!$C$4:$C$1048576),"",INDEX(Main!H$4:H$1048576,MATCH(ROW(B20),Main!$C$4:$C$1048576,0))))</f>
        <v/>
      </c>
      <c r="E22" s="1" t="str">
        <f>IF(IF(ROW(C20)&gt;MAX(Main!$C$4:$C$1048576),"",INDEX(Main!I$4:I$1048576,MATCH(ROW(C20),Main!$C$4:$C$1048576,0)))="",IF(D22="","",E21),IF(ROW(C20)&gt;MAX(Main!$C$4:$C$1048576),"",INDEX(Main!I$4:I$1048576,MATCH(ROW(C20),Main!$C$4:$C$1048576,0))))</f>
        <v/>
      </c>
      <c r="F22" s="1" t="str">
        <f t="shared" si="0"/>
        <v/>
      </c>
      <c r="G22" s="1" t="str">
        <f>IF(IF(ROW(D20)&gt;MAX(Main!$C$4:$C$1048576),"",INDEX(Main!J$4:J$1048576,MATCH(ROW(D20),Main!$C$4:$C$1048576,0)))="",IF(E22="","",G21),IF(ROW(D20)&gt;MAX(Main!$C$4:$C$1048576),"",INDEX(Main!J$4:J$1048576,MATCH(ROW(D20),Main!$C$4:$C$1048576,0))))</f>
        <v/>
      </c>
      <c r="H22" s="10" t="str">
        <f>IF(ROW(G20)&gt;MAX(Main!$C$4:$C$1048576),"",INDEX(Main!K$4:K$1048576,MATCH(ROW(G20),Main!$C$4:$C$1048576,0)))</f>
        <v/>
      </c>
      <c r="I22" s="1" t="str">
        <f>IF(H22&lt;&gt;"",IF(ROW(G20)&gt;MAX(Main!$C$4:$C$1048576),"",INDEX(Main!N$4:N$1048576,MATCH(ROW(G20),Main!$C$4:$C$1048576,0))),"")</f>
        <v/>
      </c>
      <c r="J22" s="1" t="str">
        <f>IF(IF(ROW(H20)&gt;MAX(Main!$C$4:$C$1048576),"",INDEX(Main!O$4:O$1048576,MATCH(ROW(H20),Main!$C$4:$C$1048576,0)))="",IF(I22="","",J21),IF(ROW(H20)&gt;MAX(Main!$C$4:$C$1048576),"",INDEX(Main!O$4:O$1048576,MATCH(ROW(H20),Main!$C$4:$C$1048576,0))))</f>
        <v/>
      </c>
      <c r="K22" s="27" t="str">
        <f t="shared" si="1"/>
        <v>例目</v>
      </c>
      <c r="M22" s="4" t="str">
        <f>TEXT(IF(ROW(A20)&gt;MAX(Main!$D$4:$D$1048576),"",INDEX(Main!Q$4:Q$1048576,MATCH(ROW(A20),Main!$D$4:$D$1048576,0))), "yyyy/m/d")</f>
        <v/>
      </c>
      <c r="N22" s="1" t="str">
        <f>IF(IF(ROW(A20)&gt;MAX(Main!$D$4:$D$1048576),"",INDEX(Main!G$4:G$1048576,MATCH(ROW(A20),Main!$D$4:$D$1048576,0)))="",IF(M22="","",N21),IF(ROW(A20)&gt;MAX(Main!$D$4:$D$1048576),"",INDEX(Main!G$4:G$1048576,MATCH(ROW(A20),Main!$D$4:$D$1048576,0))))</f>
        <v/>
      </c>
      <c r="O22" s="1" t="str">
        <f>IF(IF(ROW(B20)&gt;MAX(Main!$D$4:$D$1048576),"",INDEX(Main!H$4:H$1048576,MATCH(ROW(B20),Main!$D$4:$D$1048576,0)))="",IF(N22="","",O21),IF(ROW(B20)&gt;MAX(Main!$D$4:$D$1048576),"",INDEX(Main!H$4:H$1048576,MATCH(ROW(B20),Main!$D$4:$D$1048576,0))))</f>
        <v/>
      </c>
      <c r="P22" s="1" t="str">
        <f>IF(IF(ROW(C20)&gt;MAX(Main!$D$4:$D$1048576),"",INDEX(Main!I$4:I$1048576,MATCH(ROW(C20),Main!$D$4:$D$1048576,0)))="",IF(O22="","",P21),IF(ROW(C20)&gt;MAX(Main!$D$4:$D$1048576),"",INDEX(Main!I$4:I$1048576,MATCH(ROW(C20),Main!$D$4:$D$1048576,0))))</f>
        <v/>
      </c>
      <c r="Q22" s="1" t="str">
        <f t="shared" si="2"/>
        <v/>
      </c>
      <c r="R22" s="1" t="str">
        <f>IF(IF(ROW(D20)&gt;MAX(Main!$D$4:$D$1048576),"",INDEX(Main!J$4:J$1048576,MATCH(ROW(D20),Main!$D$4:$D$1048576,0)))="",IF(P22="","",R21),IF(ROW(D20)&gt;MAX(Main!$D$4:$D$1048576),"",INDEX(Main!J$4:J$1048576,MATCH(ROW(D20),Main!$D$4:$D$1048576,0))))</f>
        <v/>
      </c>
      <c r="S22" s="9" t="str">
        <f>IF(ROW(G20)&gt;MAX(Main!$D$4:$D$1048576),"",INDEX(Main!K$4:K$1048576,MATCH(ROW(G20),Main!$D$4:$D$1048576,0)))</f>
        <v/>
      </c>
      <c r="T22" s="1" t="str">
        <f>IF(S22&lt;&gt;"",IF(ROW(G20)&gt;MAX(Main!$D$4:$D$1048576),"",INDEX(Main!N$4:N$1048576,MATCH(ROW(G20),Main!$D$4:$D$1048576,0))),"")</f>
        <v/>
      </c>
      <c r="U22" s="1" t="str">
        <f>IF(IF(ROW(H20)&gt;MAX(Main!$D$4:$D$1048576),"",INDEX(Main!O$4:O$1048576,MATCH(ROW(H20),Main!$D$4:$D$1048576,0)))="",IF(T22="","",U21),IF(ROW(H20)&gt;MAX(Main!$D$4:$D$1048576),"",INDEX(Main!O$4:O$1048576,MATCH(ROW(H20),Main!$D$4:$D$1048576,0))))</f>
        <v/>
      </c>
    </row>
    <row r="23" spans="1:21" x14ac:dyDescent="0.4">
      <c r="A23" t="s">
        <v>21</v>
      </c>
      <c r="B23" s="4" t="str">
        <f>TEXT(IF(ROW(A21)&gt;MAX(Main!$C$4:$C$1048576),"",INDEX(Main!Q$4:Q$1048576,MATCH(ROW(A21),Main!$C$4:$C$1048576,0))), "yyyy/m/d")</f>
        <v/>
      </c>
      <c r="C23" s="1" t="str">
        <f>IF(IF(ROW(A21)&gt;MAX(Main!$C$4:$C$1048576),"",INDEX(Main!G$4:G$1048576,MATCH(ROW(A21),Main!$C$4:$C$1048576,0)))="",IF(B23="","",C22),IF(ROW(A21)&gt;MAX(Main!$C$4:$C$1048576),"",INDEX(Main!G$4:G$1048576,MATCH(ROW(A21),Main!$C$4:$C$1048576,0))))</f>
        <v/>
      </c>
      <c r="D23" s="1" t="str">
        <f>IF(IF(ROW(B21)&gt;MAX(Main!$C$4:$C$1048576),"",INDEX(Main!H$4:H$1048576,MATCH(ROW(B21),Main!$C$4:$C$1048576,0)))="",IF(C23="","",D22),IF(ROW(B21)&gt;MAX(Main!$C$4:$C$1048576),"",INDEX(Main!H$4:H$1048576,MATCH(ROW(B21),Main!$C$4:$C$1048576,0))))</f>
        <v/>
      </c>
      <c r="E23" s="1" t="str">
        <f>IF(IF(ROW(C21)&gt;MAX(Main!$C$4:$C$1048576),"",INDEX(Main!I$4:I$1048576,MATCH(ROW(C21),Main!$C$4:$C$1048576,0)))="",IF(D23="","",E22),IF(ROW(C21)&gt;MAX(Main!$C$4:$C$1048576),"",INDEX(Main!I$4:I$1048576,MATCH(ROW(C21),Main!$C$4:$C$1048576,0))))</f>
        <v/>
      </c>
      <c r="F23" s="1" t="str">
        <f t="shared" si="0"/>
        <v/>
      </c>
      <c r="G23" s="1" t="str">
        <f>IF(IF(ROW(D21)&gt;MAX(Main!$C$4:$C$1048576),"",INDEX(Main!J$4:J$1048576,MATCH(ROW(D21),Main!$C$4:$C$1048576,0)))="",IF(E23="","",G22),IF(ROW(D21)&gt;MAX(Main!$C$4:$C$1048576),"",INDEX(Main!J$4:J$1048576,MATCH(ROW(D21),Main!$C$4:$C$1048576,0))))</f>
        <v/>
      </c>
      <c r="H23" s="10" t="str">
        <f>IF(ROW(G21)&gt;MAX(Main!$C$4:$C$1048576),"",INDEX(Main!K$4:K$1048576,MATCH(ROW(G21),Main!$C$4:$C$1048576,0)))</f>
        <v/>
      </c>
      <c r="I23" s="1" t="str">
        <f>IF(H23&lt;&gt;"",IF(ROW(G21)&gt;MAX(Main!$C$4:$C$1048576),"",INDEX(Main!N$4:N$1048576,MATCH(ROW(G21),Main!$C$4:$C$1048576,0))),"")</f>
        <v/>
      </c>
      <c r="J23" s="1" t="str">
        <f>IF(IF(ROW(H21)&gt;MAX(Main!$C$4:$C$1048576),"",INDEX(Main!O$4:O$1048576,MATCH(ROW(H21),Main!$C$4:$C$1048576,0)))="",IF(I23="","",J22),IF(ROW(H21)&gt;MAX(Main!$C$4:$C$1048576),"",INDEX(Main!O$4:O$1048576,MATCH(ROW(H21),Main!$C$4:$C$1048576,0))))</f>
        <v/>
      </c>
      <c r="K23" s="27" t="str">
        <f t="shared" si="1"/>
        <v>例目</v>
      </c>
      <c r="M23" s="4" t="str">
        <f>TEXT(IF(ROW(A21)&gt;MAX(Main!$D$4:$D$1048576),"",INDEX(Main!Q$4:Q$1048576,MATCH(ROW(A21),Main!$D$4:$D$1048576,0))), "yyyy/m/d")</f>
        <v/>
      </c>
      <c r="N23" s="1" t="str">
        <f>IF(IF(ROW(A21)&gt;MAX(Main!$D$4:$D$1048576),"",INDEX(Main!G$4:G$1048576,MATCH(ROW(A21),Main!$D$4:$D$1048576,0)))="",IF(M23="","",N22),IF(ROW(A21)&gt;MAX(Main!$D$4:$D$1048576),"",INDEX(Main!G$4:G$1048576,MATCH(ROW(A21),Main!$D$4:$D$1048576,0))))</f>
        <v/>
      </c>
      <c r="O23" s="1" t="str">
        <f>IF(IF(ROW(B21)&gt;MAX(Main!$D$4:$D$1048576),"",INDEX(Main!H$4:H$1048576,MATCH(ROW(B21),Main!$D$4:$D$1048576,0)))="",IF(N23="","",O22),IF(ROW(B21)&gt;MAX(Main!$D$4:$D$1048576),"",INDEX(Main!H$4:H$1048576,MATCH(ROW(B21),Main!$D$4:$D$1048576,0))))</f>
        <v/>
      </c>
      <c r="P23" s="1" t="str">
        <f>IF(IF(ROW(C21)&gt;MAX(Main!$D$4:$D$1048576),"",INDEX(Main!I$4:I$1048576,MATCH(ROW(C21),Main!$D$4:$D$1048576,0)))="",IF(O23="","",P22),IF(ROW(C21)&gt;MAX(Main!$D$4:$D$1048576),"",INDEX(Main!I$4:I$1048576,MATCH(ROW(C21),Main!$D$4:$D$1048576,0))))</f>
        <v/>
      </c>
      <c r="Q23" s="1" t="str">
        <f t="shared" si="2"/>
        <v/>
      </c>
      <c r="R23" s="1" t="str">
        <f>IF(IF(ROW(D21)&gt;MAX(Main!$D$4:$D$1048576),"",INDEX(Main!J$4:J$1048576,MATCH(ROW(D21),Main!$D$4:$D$1048576,0)))="",IF(P23="","",R22),IF(ROW(D21)&gt;MAX(Main!$D$4:$D$1048576),"",INDEX(Main!J$4:J$1048576,MATCH(ROW(D21),Main!$D$4:$D$1048576,0))))</f>
        <v/>
      </c>
      <c r="S23" s="9" t="str">
        <f>IF(ROW(G21)&gt;MAX(Main!$D$4:$D$1048576),"",INDEX(Main!K$4:K$1048576,MATCH(ROW(G21),Main!$D$4:$D$1048576,0)))</f>
        <v/>
      </c>
      <c r="T23" s="1" t="str">
        <f>IF(S23&lt;&gt;"",IF(ROW(G21)&gt;MAX(Main!$D$4:$D$1048576),"",INDEX(Main!N$4:N$1048576,MATCH(ROW(G21),Main!$D$4:$D$1048576,0))),"")</f>
        <v/>
      </c>
      <c r="U23" s="1" t="str">
        <f>IF(IF(ROW(H21)&gt;MAX(Main!$D$4:$D$1048576),"",INDEX(Main!O$4:O$1048576,MATCH(ROW(H21),Main!$D$4:$D$1048576,0)))="",IF(T23="","",U22),IF(ROW(H21)&gt;MAX(Main!$D$4:$D$1048576),"",INDEX(Main!O$4:O$1048576,MATCH(ROW(H21),Main!$D$4:$D$1048576,0))))</f>
        <v/>
      </c>
    </row>
    <row r="24" spans="1:21" x14ac:dyDescent="0.4">
      <c r="A24" t="s">
        <v>21</v>
      </c>
      <c r="B24" s="4" t="str">
        <f>TEXT(IF(ROW(A22)&gt;MAX(Main!$C$4:$C$1048576),"",INDEX(Main!Q$4:Q$1048576,MATCH(ROW(A22),Main!$C$4:$C$1048576,0))), "yyyy/m/d")</f>
        <v/>
      </c>
      <c r="C24" s="1" t="str">
        <f>IF(IF(ROW(A22)&gt;MAX(Main!$C$4:$C$1048576),"",INDEX(Main!G$4:G$1048576,MATCH(ROW(A22),Main!$C$4:$C$1048576,0)))="",IF(B24="","",C23),IF(ROW(A22)&gt;MAX(Main!$C$4:$C$1048576),"",INDEX(Main!G$4:G$1048576,MATCH(ROW(A22),Main!$C$4:$C$1048576,0))))</f>
        <v/>
      </c>
      <c r="D24" s="1" t="str">
        <f>IF(IF(ROW(B22)&gt;MAX(Main!$C$4:$C$1048576),"",INDEX(Main!H$4:H$1048576,MATCH(ROW(B22),Main!$C$4:$C$1048576,0)))="",IF(C24="","",D23),IF(ROW(B22)&gt;MAX(Main!$C$4:$C$1048576),"",INDEX(Main!H$4:H$1048576,MATCH(ROW(B22),Main!$C$4:$C$1048576,0))))</f>
        <v/>
      </c>
      <c r="E24" s="1" t="str">
        <f>IF(IF(ROW(C22)&gt;MAX(Main!$C$4:$C$1048576),"",INDEX(Main!I$4:I$1048576,MATCH(ROW(C22),Main!$C$4:$C$1048576,0)))="",IF(D24="","",E23),IF(ROW(C22)&gt;MAX(Main!$C$4:$C$1048576),"",INDEX(Main!I$4:I$1048576,MATCH(ROW(C22),Main!$C$4:$C$1048576,0))))</f>
        <v/>
      </c>
      <c r="F24" s="1" t="str">
        <f t="shared" si="0"/>
        <v/>
      </c>
      <c r="G24" s="1" t="str">
        <f>IF(IF(ROW(D22)&gt;MAX(Main!$C$4:$C$1048576),"",INDEX(Main!J$4:J$1048576,MATCH(ROW(D22),Main!$C$4:$C$1048576,0)))="",IF(E24="","",G23),IF(ROW(D22)&gt;MAX(Main!$C$4:$C$1048576),"",INDEX(Main!J$4:J$1048576,MATCH(ROW(D22),Main!$C$4:$C$1048576,0))))</f>
        <v/>
      </c>
      <c r="H24" s="10" t="str">
        <f>IF(ROW(G22)&gt;MAX(Main!$C$4:$C$1048576),"",INDEX(Main!K$4:K$1048576,MATCH(ROW(G22),Main!$C$4:$C$1048576,0)))</f>
        <v/>
      </c>
      <c r="I24" s="1" t="str">
        <f>IF(H24&lt;&gt;"",IF(ROW(G22)&gt;MAX(Main!$C$4:$C$1048576),"",INDEX(Main!N$4:N$1048576,MATCH(ROW(G22),Main!$C$4:$C$1048576,0))),"")</f>
        <v/>
      </c>
      <c r="J24" s="1" t="str">
        <f>IF(IF(ROW(H22)&gt;MAX(Main!$C$4:$C$1048576),"",INDEX(Main!O$4:O$1048576,MATCH(ROW(H22),Main!$C$4:$C$1048576,0)))="",IF(I24="","",J23),IF(ROW(H22)&gt;MAX(Main!$C$4:$C$1048576),"",INDEX(Main!O$4:O$1048576,MATCH(ROW(H22),Main!$C$4:$C$1048576,0))))</f>
        <v/>
      </c>
      <c r="K24" s="27" t="str">
        <f t="shared" si="1"/>
        <v>例目</v>
      </c>
      <c r="M24" s="4" t="str">
        <f>TEXT(IF(ROW(A22)&gt;MAX(Main!$D$4:$D$1048576),"",INDEX(Main!Q$4:Q$1048576,MATCH(ROW(A22),Main!$D$4:$D$1048576,0))), "yyyy/m/d")</f>
        <v/>
      </c>
      <c r="N24" s="1" t="str">
        <f>IF(IF(ROW(A22)&gt;MAX(Main!$D$4:$D$1048576),"",INDEX(Main!G$4:G$1048576,MATCH(ROW(A22),Main!$D$4:$D$1048576,0)))="",IF(M24="","",N23),IF(ROW(A22)&gt;MAX(Main!$D$4:$D$1048576),"",INDEX(Main!G$4:G$1048576,MATCH(ROW(A22),Main!$D$4:$D$1048576,0))))</f>
        <v/>
      </c>
      <c r="O24" s="1" t="str">
        <f>IF(IF(ROW(B22)&gt;MAX(Main!$D$4:$D$1048576),"",INDEX(Main!H$4:H$1048576,MATCH(ROW(B22),Main!$D$4:$D$1048576,0)))="",IF(N24="","",O23),IF(ROW(B22)&gt;MAX(Main!$D$4:$D$1048576),"",INDEX(Main!H$4:H$1048576,MATCH(ROW(B22),Main!$D$4:$D$1048576,0))))</f>
        <v/>
      </c>
      <c r="P24" s="1" t="str">
        <f>IF(IF(ROW(C22)&gt;MAX(Main!$D$4:$D$1048576),"",INDEX(Main!I$4:I$1048576,MATCH(ROW(C22),Main!$D$4:$D$1048576,0)))="",IF(O24="","",P23),IF(ROW(C22)&gt;MAX(Main!$D$4:$D$1048576),"",INDEX(Main!I$4:I$1048576,MATCH(ROW(C22),Main!$D$4:$D$1048576,0))))</f>
        <v/>
      </c>
      <c r="Q24" s="1" t="str">
        <f t="shared" si="2"/>
        <v/>
      </c>
      <c r="R24" s="1" t="str">
        <f>IF(IF(ROW(D22)&gt;MAX(Main!$D$4:$D$1048576),"",INDEX(Main!J$4:J$1048576,MATCH(ROW(D22),Main!$D$4:$D$1048576,0)))="",IF(P24="","",R23),IF(ROW(D22)&gt;MAX(Main!$D$4:$D$1048576),"",INDEX(Main!J$4:J$1048576,MATCH(ROW(D22),Main!$D$4:$D$1048576,0))))</f>
        <v/>
      </c>
      <c r="S24" s="9" t="str">
        <f>IF(ROW(G22)&gt;MAX(Main!$D$4:$D$1048576),"",INDEX(Main!K$4:K$1048576,MATCH(ROW(G22),Main!$D$4:$D$1048576,0)))</f>
        <v/>
      </c>
      <c r="T24" s="1" t="str">
        <f>IF(S24&lt;&gt;"",IF(ROW(G22)&gt;MAX(Main!$D$4:$D$1048576),"",INDEX(Main!N$4:N$1048576,MATCH(ROW(G22),Main!$D$4:$D$1048576,0))),"")</f>
        <v/>
      </c>
      <c r="U24" s="1" t="str">
        <f>IF(IF(ROW(H22)&gt;MAX(Main!$D$4:$D$1048576),"",INDEX(Main!O$4:O$1048576,MATCH(ROW(H22),Main!$D$4:$D$1048576,0)))="",IF(T24="","",U23),IF(ROW(H22)&gt;MAX(Main!$D$4:$D$1048576),"",INDEX(Main!O$4:O$1048576,MATCH(ROW(H22),Main!$D$4:$D$1048576,0))))</f>
        <v/>
      </c>
    </row>
    <row r="25" spans="1:21" x14ac:dyDescent="0.4">
      <c r="A25" t="s">
        <v>21</v>
      </c>
      <c r="B25" s="4" t="str">
        <f>TEXT(IF(ROW(A23)&gt;MAX(Main!$C$4:$C$1048576),"",INDEX(Main!Q$4:Q$1048576,MATCH(ROW(A23),Main!$C$4:$C$1048576,0))), "yyyy/m/d")</f>
        <v/>
      </c>
      <c r="C25" s="1" t="str">
        <f>IF(IF(ROW(A23)&gt;MAX(Main!$C$4:$C$1048576),"",INDEX(Main!G$4:G$1048576,MATCH(ROW(A23),Main!$C$4:$C$1048576,0)))="",IF(B25="","",C24),IF(ROW(A23)&gt;MAX(Main!$C$4:$C$1048576),"",INDEX(Main!G$4:G$1048576,MATCH(ROW(A23),Main!$C$4:$C$1048576,0))))</f>
        <v/>
      </c>
      <c r="D25" s="1" t="str">
        <f>IF(IF(ROW(B23)&gt;MAX(Main!$C$4:$C$1048576),"",INDEX(Main!H$4:H$1048576,MATCH(ROW(B23),Main!$C$4:$C$1048576,0)))="",IF(C25="","",D24),IF(ROW(B23)&gt;MAX(Main!$C$4:$C$1048576),"",INDEX(Main!H$4:H$1048576,MATCH(ROW(B23),Main!$C$4:$C$1048576,0))))</f>
        <v/>
      </c>
      <c r="E25" s="1" t="str">
        <f>IF(IF(ROW(C23)&gt;MAX(Main!$C$4:$C$1048576),"",INDEX(Main!I$4:I$1048576,MATCH(ROW(C23),Main!$C$4:$C$1048576,0)))="",IF(D25="","",E24),IF(ROW(C23)&gt;MAX(Main!$C$4:$C$1048576),"",INDEX(Main!I$4:I$1048576,MATCH(ROW(C23),Main!$C$4:$C$1048576,0))))</f>
        <v/>
      </c>
      <c r="F25" s="1" t="str">
        <f t="shared" si="0"/>
        <v/>
      </c>
      <c r="G25" s="1" t="str">
        <f>IF(IF(ROW(D23)&gt;MAX(Main!$C$4:$C$1048576),"",INDEX(Main!J$4:J$1048576,MATCH(ROW(D23),Main!$C$4:$C$1048576,0)))="",IF(E25="","",G24),IF(ROW(D23)&gt;MAX(Main!$C$4:$C$1048576),"",INDEX(Main!J$4:J$1048576,MATCH(ROW(D23),Main!$C$4:$C$1048576,0))))</f>
        <v/>
      </c>
      <c r="H25" s="10" t="str">
        <f>IF(ROW(G23)&gt;MAX(Main!$C$4:$C$1048576),"",INDEX(Main!K$4:K$1048576,MATCH(ROW(G23),Main!$C$4:$C$1048576,0)))</f>
        <v/>
      </c>
      <c r="I25" s="1" t="str">
        <f>IF(H25&lt;&gt;"",IF(ROW(G23)&gt;MAX(Main!$C$4:$C$1048576),"",INDEX(Main!N$4:N$1048576,MATCH(ROW(G23),Main!$C$4:$C$1048576,0))),"")</f>
        <v/>
      </c>
      <c r="J25" s="1" t="str">
        <f>IF(IF(ROW(H23)&gt;MAX(Main!$C$4:$C$1048576),"",INDEX(Main!O$4:O$1048576,MATCH(ROW(H23),Main!$C$4:$C$1048576,0)))="",IF(I25="","",J24),IF(ROW(H23)&gt;MAX(Main!$C$4:$C$1048576),"",INDEX(Main!O$4:O$1048576,MATCH(ROW(H23),Main!$C$4:$C$1048576,0))))</f>
        <v/>
      </c>
      <c r="K25" s="27" t="str">
        <f t="shared" si="1"/>
        <v>例目</v>
      </c>
      <c r="M25" s="4" t="str">
        <f>TEXT(IF(ROW(A23)&gt;MAX(Main!$D$4:$D$1048576),"",INDEX(Main!Q$4:Q$1048576,MATCH(ROW(A23),Main!$D$4:$D$1048576,0))), "yyyy/m/d")</f>
        <v/>
      </c>
      <c r="N25" s="1" t="str">
        <f>IF(IF(ROW(A23)&gt;MAX(Main!$D$4:$D$1048576),"",INDEX(Main!G$4:G$1048576,MATCH(ROW(A23),Main!$D$4:$D$1048576,0)))="",IF(M25="","",N24),IF(ROW(A23)&gt;MAX(Main!$D$4:$D$1048576),"",INDEX(Main!G$4:G$1048576,MATCH(ROW(A23),Main!$D$4:$D$1048576,0))))</f>
        <v/>
      </c>
      <c r="O25" s="1" t="str">
        <f>IF(IF(ROW(B23)&gt;MAX(Main!$D$4:$D$1048576),"",INDEX(Main!H$4:H$1048576,MATCH(ROW(B23),Main!$D$4:$D$1048576,0)))="",IF(N25="","",O24),IF(ROW(B23)&gt;MAX(Main!$D$4:$D$1048576),"",INDEX(Main!H$4:H$1048576,MATCH(ROW(B23),Main!$D$4:$D$1048576,0))))</f>
        <v/>
      </c>
      <c r="P25" s="1" t="str">
        <f>IF(IF(ROW(C23)&gt;MAX(Main!$D$4:$D$1048576),"",INDEX(Main!I$4:I$1048576,MATCH(ROW(C23),Main!$D$4:$D$1048576,0)))="",IF(O25="","",P24),IF(ROW(C23)&gt;MAX(Main!$D$4:$D$1048576),"",INDEX(Main!I$4:I$1048576,MATCH(ROW(C23),Main!$D$4:$D$1048576,0))))</f>
        <v/>
      </c>
      <c r="Q25" s="1" t="str">
        <f t="shared" si="2"/>
        <v/>
      </c>
      <c r="R25" s="1" t="str">
        <f>IF(IF(ROW(D23)&gt;MAX(Main!$D$4:$D$1048576),"",INDEX(Main!J$4:J$1048576,MATCH(ROW(D23),Main!$D$4:$D$1048576,0)))="",IF(P25="","",R24),IF(ROW(D23)&gt;MAX(Main!$D$4:$D$1048576),"",INDEX(Main!J$4:J$1048576,MATCH(ROW(D23),Main!$D$4:$D$1048576,0))))</f>
        <v/>
      </c>
      <c r="S25" s="9" t="str">
        <f>IF(ROW(G23)&gt;MAX(Main!$D$4:$D$1048576),"",INDEX(Main!K$4:K$1048576,MATCH(ROW(G23),Main!$D$4:$D$1048576,0)))</f>
        <v/>
      </c>
      <c r="T25" s="1" t="str">
        <f>IF(S25&lt;&gt;"",IF(ROW(G23)&gt;MAX(Main!$D$4:$D$1048576),"",INDEX(Main!N$4:N$1048576,MATCH(ROW(G23),Main!$D$4:$D$1048576,0))),"")</f>
        <v/>
      </c>
      <c r="U25" s="1" t="str">
        <f>IF(IF(ROW(H23)&gt;MAX(Main!$D$4:$D$1048576),"",INDEX(Main!O$4:O$1048576,MATCH(ROW(H23),Main!$D$4:$D$1048576,0)))="",IF(T25="","",U24),IF(ROW(H23)&gt;MAX(Main!$D$4:$D$1048576),"",INDEX(Main!O$4:O$1048576,MATCH(ROW(H23),Main!$D$4:$D$1048576,0))))</f>
        <v/>
      </c>
    </row>
    <row r="26" spans="1:21" x14ac:dyDescent="0.4">
      <c r="A26" t="s">
        <v>21</v>
      </c>
      <c r="B26" s="4" t="str">
        <f>TEXT(IF(ROW(A24)&gt;MAX(Main!$C$4:$C$1048576),"",INDEX(Main!Q$4:Q$1048576,MATCH(ROW(A24),Main!$C$4:$C$1048576,0))), "yyyy/m/d")</f>
        <v/>
      </c>
      <c r="C26" s="1" t="str">
        <f>IF(IF(ROW(A24)&gt;MAX(Main!$C$4:$C$1048576),"",INDEX(Main!G$4:G$1048576,MATCH(ROW(A24),Main!$C$4:$C$1048576,0)))="",IF(B26="","",C25),IF(ROW(A24)&gt;MAX(Main!$C$4:$C$1048576),"",INDEX(Main!G$4:G$1048576,MATCH(ROW(A24),Main!$C$4:$C$1048576,0))))</f>
        <v/>
      </c>
      <c r="D26" s="1" t="str">
        <f>IF(IF(ROW(B24)&gt;MAX(Main!$C$4:$C$1048576),"",INDEX(Main!H$4:H$1048576,MATCH(ROW(B24),Main!$C$4:$C$1048576,0)))="",IF(C26="","",D25),IF(ROW(B24)&gt;MAX(Main!$C$4:$C$1048576),"",INDEX(Main!H$4:H$1048576,MATCH(ROW(B24),Main!$C$4:$C$1048576,0))))</f>
        <v/>
      </c>
      <c r="E26" s="1" t="str">
        <f>IF(IF(ROW(C24)&gt;MAX(Main!$C$4:$C$1048576),"",INDEX(Main!I$4:I$1048576,MATCH(ROW(C24),Main!$C$4:$C$1048576,0)))="",IF(D26="","",E25),IF(ROW(C24)&gt;MAX(Main!$C$4:$C$1048576),"",INDEX(Main!I$4:I$1048576,MATCH(ROW(C24),Main!$C$4:$C$1048576,0))))</f>
        <v/>
      </c>
      <c r="F26" s="1" t="str">
        <f t="shared" si="0"/>
        <v/>
      </c>
      <c r="G26" s="1" t="str">
        <f>IF(IF(ROW(D24)&gt;MAX(Main!$C$4:$C$1048576),"",INDEX(Main!J$4:J$1048576,MATCH(ROW(D24),Main!$C$4:$C$1048576,0)))="",IF(E26="","",G25),IF(ROW(D24)&gt;MAX(Main!$C$4:$C$1048576),"",INDEX(Main!J$4:J$1048576,MATCH(ROW(D24),Main!$C$4:$C$1048576,0))))</f>
        <v/>
      </c>
      <c r="H26" s="10" t="str">
        <f>IF(ROW(G24)&gt;MAX(Main!$C$4:$C$1048576),"",INDEX(Main!K$4:K$1048576,MATCH(ROW(G24),Main!$C$4:$C$1048576,0)))</f>
        <v/>
      </c>
      <c r="I26" s="1" t="str">
        <f>IF(H26&lt;&gt;"",IF(ROW(G24)&gt;MAX(Main!$C$4:$C$1048576),"",INDEX(Main!N$4:N$1048576,MATCH(ROW(G24),Main!$C$4:$C$1048576,0))),"")</f>
        <v/>
      </c>
      <c r="J26" s="1" t="str">
        <f>IF(IF(ROW(H24)&gt;MAX(Main!$C$4:$C$1048576),"",INDEX(Main!O$4:O$1048576,MATCH(ROW(H24),Main!$C$4:$C$1048576,0)))="",IF(I26="","",J25),IF(ROW(H24)&gt;MAX(Main!$C$4:$C$1048576),"",INDEX(Main!O$4:O$1048576,MATCH(ROW(H24),Main!$C$4:$C$1048576,0))))</f>
        <v/>
      </c>
      <c r="K26" s="27" t="str">
        <f t="shared" si="1"/>
        <v>例目</v>
      </c>
      <c r="M26" s="4" t="str">
        <f>TEXT(IF(ROW(A24)&gt;MAX(Main!$D$4:$D$1048576),"",INDEX(Main!Q$4:Q$1048576,MATCH(ROW(A24),Main!$D$4:$D$1048576,0))), "yyyy/m/d")</f>
        <v/>
      </c>
      <c r="N26" s="1" t="str">
        <f>IF(IF(ROW(A24)&gt;MAX(Main!$D$4:$D$1048576),"",INDEX(Main!G$4:G$1048576,MATCH(ROW(A24),Main!$D$4:$D$1048576,0)))="",IF(M26="","",N25),IF(ROW(A24)&gt;MAX(Main!$D$4:$D$1048576),"",INDEX(Main!G$4:G$1048576,MATCH(ROW(A24),Main!$D$4:$D$1048576,0))))</f>
        <v/>
      </c>
      <c r="O26" s="1" t="str">
        <f>IF(IF(ROW(B24)&gt;MAX(Main!$D$4:$D$1048576),"",INDEX(Main!H$4:H$1048576,MATCH(ROW(B24),Main!$D$4:$D$1048576,0)))="",IF(N26="","",O25),IF(ROW(B24)&gt;MAX(Main!$D$4:$D$1048576),"",INDEX(Main!H$4:H$1048576,MATCH(ROW(B24),Main!$D$4:$D$1048576,0))))</f>
        <v/>
      </c>
      <c r="P26" s="1" t="str">
        <f>IF(IF(ROW(C24)&gt;MAX(Main!$D$4:$D$1048576),"",INDEX(Main!I$4:I$1048576,MATCH(ROW(C24),Main!$D$4:$D$1048576,0)))="",IF(O26="","",P25),IF(ROW(C24)&gt;MAX(Main!$D$4:$D$1048576),"",INDEX(Main!I$4:I$1048576,MATCH(ROW(C24),Main!$D$4:$D$1048576,0))))</f>
        <v/>
      </c>
      <c r="Q26" s="1" t="str">
        <f t="shared" si="2"/>
        <v/>
      </c>
      <c r="R26" s="1" t="str">
        <f>IF(IF(ROW(D24)&gt;MAX(Main!$D$4:$D$1048576),"",INDEX(Main!J$4:J$1048576,MATCH(ROW(D24),Main!$D$4:$D$1048576,0)))="",IF(P26="","",R25),IF(ROW(D24)&gt;MAX(Main!$D$4:$D$1048576),"",INDEX(Main!J$4:J$1048576,MATCH(ROW(D24),Main!$D$4:$D$1048576,0))))</f>
        <v/>
      </c>
      <c r="S26" s="9" t="str">
        <f>IF(ROW(G24)&gt;MAX(Main!$D$4:$D$1048576),"",INDEX(Main!K$4:K$1048576,MATCH(ROW(G24),Main!$D$4:$D$1048576,0)))</f>
        <v/>
      </c>
      <c r="T26" s="1" t="str">
        <f>IF(S26&lt;&gt;"",IF(ROW(G24)&gt;MAX(Main!$D$4:$D$1048576),"",INDEX(Main!N$4:N$1048576,MATCH(ROW(G24),Main!$D$4:$D$1048576,0))),"")</f>
        <v/>
      </c>
      <c r="U26" s="1" t="str">
        <f>IF(IF(ROW(H24)&gt;MAX(Main!$D$4:$D$1048576),"",INDEX(Main!O$4:O$1048576,MATCH(ROW(H24),Main!$D$4:$D$1048576,0)))="",IF(T26="","",U25),IF(ROW(H24)&gt;MAX(Main!$D$4:$D$1048576),"",INDEX(Main!O$4:O$1048576,MATCH(ROW(H24),Main!$D$4:$D$1048576,0))))</f>
        <v/>
      </c>
    </row>
    <row r="27" spans="1:21" x14ac:dyDescent="0.4">
      <c r="A27" t="s">
        <v>21</v>
      </c>
      <c r="B27" s="4" t="str">
        <f>TEXT(IF(ROW(A25)&gt;MAX(Main!$C$4:$C$1048576),"",INDEX(Main!Q$4:Q$1048576,MATCH(ROW(A25),Main!$C$4:$C$1048576,0))), "yyyy/m/d")</f>
        <v/>
      </c>
      <c r="C27" s="1" t="str">
        <f>IF(IF(ROW(A25)&gt;MAX(Main!$C$4:$C$1048576),"",INDEX(Main!G$4:G$1048576,MATCH(ROW(A25),Main!$C$4:$C$1048576,0)))="",IF(B27="","",C26),IF(ROW(A25)&gt;MAX(Main!$C$4:$C$1048576),"",INDEX(Main!G$4:G$1048576,MATCH(ROW(A25),Main!$C$4:$C$1048576,0))))</f>
        <v/>
      </c>
      <c r="D27" s="1" t="str">
        <f>IF(IF(ROW(B25)&gt;MAX(Main!$C$4:$C$1048576),"",INDEX(Main!H$4:H$1048576,MATCH(ROW(B25),Main!$C$4:$C$1048576,0)))="",IF(C27="","",D26),IF(ROW(B25)&gt;MAX(Main!$C$4:$C$1048576),"",INDEX(Main!H$4:H$1048576,MATCH(ROW(B25),Main!$C$4:$C$1048576,0))))</f>
        <v/>
      </c>
      <c r="E27" s="1" t="str">
        <f>IF(IF(ROW(C25)&gt;MAX(Main!$C$4:$C$1048576),"",INDEX(Main!I$4:I$1048576,MATCH(ROW(C25),Main!$C$4:$C$1048576,0)))="",IF(D27="","",E26),IF(ROW(C25)&gt;MAX(Main!$C$4:$C$1048576),"",INDEX(Main!I$4:I$1048576,MATCH(ROW(C25),Main!$C$4:$C$1048576,0))))</f>
        <v/>
      </c>
      <c r="F27" s="1" t="str">
        <f t="shared" si="0"/>
        <v/>
      </c>
      <c r="G27" s="1" t="str">
        <f>IF(IF(ROW(D25)&gt;MAX(Main!$C$4:$C$1048576),"",INDEX(Main!J$4:J$1048576,MATCH(ROW(D25),Main!$C$4:$C$1048576,0)))="",IF(E27="","",G26),IF(ROW(D25)&gt;MAX(Main!$C$4:$C$1048576),"",INDEX(Main!J$4:J$1048576,MATCH(ROW(D25),Main!$C$4:$C$1048576,0))))</f>
        <v/>
      </c>
      <c r="H27" s="10" t="str">
        <f>IF(ROW(G25)&gt;MAX(Main!$C$4:$C$1048576),"",INDEX(Main!K$4:K$1048576,MATCH(ROW(G25),Main!$C$4:$C$1048576,0)))</f>
        <v/>
      </c>
      <c r="I27" s="1" t="str">
        <f>IF(H27&lt;&gt;"",IF(ROW(G25)&gt;MAX(Main!$C$4:$C$1048576),"",INDEX(Main!N$4:N$1048576,MATCH(ROW(G25),Main!$C$4:$C$1048576,0))),"")</f>
        <v/>
      </c>
      <c r="J27" s="1" t="str">
        <f>IF(IF(ROW(H25)&gt;MAX(Main!$C$4:$C$1048576),"",INDEX(Main!O$4:O$1048576,MATCH(ROW(H25),Main!$C$4:$C$1048576,0)))="",IF(I27="","",J26),IF(ROW(H25)&gt;MAX(Main!$C$4:$C$1048576),"",INDEX(Main!O$4:O$1048576,MATCH(ROW(H25),Main!$C$4:$C$1048576,0))))</f>
        <v/>
      </c>
      <c r="K27" s="27" t="str">
        <f t="shared" si="1"/>
        <v>例目</v>
      </c>
      <c r="M27" s="4" t="str">
        <f>TEXT(IF(ROW(A25)&gt;MAX(Main!$D$4:$D$1048576),"",INDEX(Main!Q$4:Q$1048576,MATCH(ROW(A25),Main!$D$4:$D$1048576,0))), "yyyy/m/d")</f>
        <v/>
      </c>
      <c r="N27" s="1" t="str">
        <f>IF(IF(ROW(A25)&gt;MAX(Main!$D$4:$D$1048576),"",INDEX(Main!G$4:G$1048576,MATCH(ROW(A25),Main!$D$4:$D$1048576,0)))="",IF(M27="","",N26),IF(ROW(A25)&gt;MAX(Main!$D$4:$D$1048576),"",INDEX(Main!G$4:G$1048576,MATCH(ROW(A25),Main!$D$4:$D$1048576,0))))</f>
        <v/>
      </c>
      <c r="O27" s="1" t="str">
        <f>IF(IF(ROW(B25)&gt;MAX(Main!$D$4:$D$1048576),"",INDEX(Main!H$4:H$1048576,MATCH(ROW(B25),Main!$D$4:$D$1048576,0)))="",IF(N27="","",O26),IF(ROW(B25)&gt;MAX(Main!$D$4:$D$1048576),"",INDEX(Main!H$4:H$1048576,MATCH(ROW(B25),Main!$D$4:$D$1048576,0))))</f>
        <v/>
      </c>
      <c r="P27" s="1" t="str">
        <f>IF(IF(ROW(C25)&gt;MAX(Main!$D$4:$D$1048576),"",INDEX(Main!I$4:I$1048576,MATCH(ROW(C25),Main!$D$4:$D$1048576,0)))="",IF(O27="","",P26),IF(ROW(C25)&gt;MAX(Main!$D$4:$D$1048576),"",INDEX(Main!I$4:I$1048576,MATCH(ROW(C25),Main!$D$4:$D$1048576,0))))</f>
        <v/>
      </c>
      <c r="Q27" s="1" t="str">
        <f t="shared" si="2"/>
        <v/>
      </c>
      <c r="R27" s="1" t="str">
        <f>IF(IF(ROW(D25)&gt;MAX(Main!$D$4:$D$1048576),"",INDEX(Main!J$4:J$1048576,MATCH(ROW(D25),Main!$D$4:$D$1048576,0)))="",IF(P27="","",R26),IF(ROW(D25)&gt;MAX(Main!$D$4:$D$1048576),"",INDEX(Main!J$4:J$1048576,MATCH(ROW(D25),Main!$D$4:$D$1048576,0))))</f>
        <v/>
      </c>
      <c r="S27" s="9" t="str">
        <f>IF(ROW(G25)&gt;MAX(Main!$D$4:$D$1048576),"",INDEX(Main!K$4:K$1048576,MATCH(ROW(G25),Main!$D$4:$D$1048576,0)))</f>
        <v/>
      </c>
      <c r="T27" s="1" t="str">
        <f>IF(S27&lt;&gt;"",IF(ROW(G25)&gt;MAX(Main!$D$4:$D$1048576),"",INDEX(Main!N$4:N$1048576,MATCH(ROW(G25),Main!$D$4:$D$1048576,0))),"")</f>
        <v/>
      </c>
      <c r="U27" s="1" t="str">
        <f>IF(IF(ROW(H25)&gt;MAX(Main!$D$4:$D$1048576),"",INDEX(Main!O$4:O$1048576,MATCH(ROW(H25),Main!$D$4:$D$1048576,0)))="",IF(T27="","",U26),IF(ROW(H25)&gt;MAX(Main!$D$4:$D$1048576),"",INDEX(Main!O$4:O$1048576,MATCH(ROW(H25),Main!$D$4:$D$1048576,0))))</f>
        <v/>
      </c>
    </row>
    <row r="28" spans="1:21" x14ac:dyDescent="0.4">
      <c r="A28" t="s">
        <v>21</v>
      </c>
      <c r="B28" s="4" t="str">
        <f>TEXT(IF(ROW(A26)&gt;MAX(Main!$C$4:$C$1048576),"",INDEX(Main!Q$4:Q$1048576,MATCH(ROW(A26),Main!$C$4:$C$1048576,0))), "yyyy/m/d")</f>
        <v/>
      </c>
      <c r="C28" s="1" t="str">
        <f>IF(IF(ROW(A26)&gt;MAX(Main!$C$4:$C$1048576),"",INDEX(Main!G$4:G$1048576,MATCH(ROW(A26),Main!$C$4:$C$1048576,0)))="",IF(B28="","",C27),IF(ROW(A26)&gt;MAX(Main!$C$4:$C$1048576),"",INDEX(Main!G$4:G$1048576,MATCH(ROW(A26),Main!$C$4:$C$1048576,0))))</f>
        <v/>
      </c>
      <c r="D28" s="1" t="str">
        <f>IF(IF(ROW(B26)&gt;MAX(Main!$C$4:$C$1048576),"",INDEX(Main!H$4:H$1048576,MATCH(ROW(B26),Main!$C$4:$C$1048576,0)))="",IF(C28="","",D27),IF(ROW(B26)&gt;MAX(Main!$C$4:$C$1048576),"",INDEX(Main!H$4:H$1048576,MATCH(ROW(B26),Main!$C$4:$C$1048576,0))))</f>
        <v/>
      </c>
      <c r="E28" s="1" t="str">
        <f>IF(IF(ROW(C26)&gt;MAX(Main!$C$4:$C$1048576),"",INDEX(Main!I$4:I$1048576,MATCH(ROW(C26),Main!$C$4:$C$1048576,0)))="",IF(D28="","",E27),IF(ROW(C26)&gt;MAX(Main!$C$4:$C$1048576),"",INDEX(Main!I$4:I$1048576,MATCH(ROW(C26),Main!$C$4:$C$1048576,0))))</f>
        <v/>
      </c>
      <c r="F28" s="1" t="str">
        <f t="shared" si="0"/>
        <v/>
      </c>
      <c r="G28" s="1" t="str">
        <f>IF(IF(ROW(D26)&gt;MAX(Main!$C$4:$C$1048576),"",INDEX(Main!J$4:J$1048576,MATCH(ROW(D26),Main!$C$4:$C$1048576,0)))="",IF(E28="","",G27),IF(ROW(D26)&gt;MAX(Main!$C$4:$C$1048576),"",INDEX(Main!J$4:J$1048576,MATCH(ROW(D26),Main!$C$4:$C$1048576,0))))</f>
        <v/>
      </c>
      <c r="H28" s="10" t="str">
        <f>IF(ROW(G26)&gt;MAX(Main!$C$4:$C$1048576),"",INDEX(Main!K$4:K$1048576,MATCH(ROW(G26),Main!$C$4:$C$1048576,0)))</f>
        <v/>
      </c>
      <c r="I28" s="1" t="str">
        <f>IF(H28&lt;&gt;"",IF(ROW(G26)&gt;MAX(Main!$C$4:$C$1048576),"",INDEX(Main!N$4:N$1048576,MATCH(ROW(G26),Main!$C$4:$C$1048576,0))),"")</f>
        <v/>
      </c>
      <c r="J28" s="1" t="str">
        <f>IF(IF(ROW(H26)&gt;MAX(Main!$C$4:$C$1048576),"",INDEX(Main!O$4:O$1048576,MATCH(ROW(H26),Main!$C$4:$C$1048576,0)))="",IF(I28="","",J27),IF(ROW(H26)&gt;MAX(Main!$C$4:$C$1048576),"",INDEX(Main!O$4:O$1048576,MATCH(ROW(H26),Main!$C$4:$C$1048576,0))))</f>
        <v/>
      </c>
      <c r="K28" s="27" t="str">
        <f t="shared" si="1"/>
        <v>例目</v>
      </c>
      <c r="M28" s="4" t="str">
        <f>TEXT(IF(ROW(A26)&gt;MAX(Main!$D$4:$D$1048576),"",INDEX(Main!Q$4:Q$1048576,MATCH(ROW(A26),Main!$D$4:$D$1048576,0))), "yyyy/m/d")</f>
        <v/>
      </c>
      <c r="N28" s="1" t="str">
        <f>IF(IF(ROW(A26)&gt;MAX(Main!$D$4:$D$1048576),"",INDEX(Main!G$4:G$1048576,MATCH(ROW(A26),Main!$D$4:$D$1048576,0)))="",IF(M28="","",N27),IF(ROW(A26)&gt;MAX(Main!$D$4:$D$1048576),"",INDEX(Main!G$4:G$1048576,MATCH(ROW(A26),Main!$D$4:$D$1048576,0))))</f>
        <v/>
      </c>
      <c r="O28" s="1" t="str">
        <f>IF(IF(ROW(B26)&gt;MAX(Main!$D$4:$D$1048576),"",INDEX(Main!H$4:H$1048576,MATCH(ROW(B26),Main!$D$4:$D$1048576,0)))="",IF(N28="","",O27),IF(ROW(B26)&gt;MAX(Main!$D$4:$D$1048576),"",INDEX(Main!H$4:H$1048576,MATCH(ROW(B26),Main!$D$4:$D$1048576,0))))</f>
        <v/>
      </c>
      <c r="P28" s="1" t="str">
        <f>IF(IF(ROW(C26)&gt;MAX(Main!$D$4:$D$1048576),"",INDEX(Main!I$4:I$1048576,MATCH(ROW(C26),Main!$D$4:$D$1048576,0)))="",IF(O28="","",P27),IF(ROW(C26)&gt;MAX(Main!$D$4:$D$1048576),"",INDEX(Main!I$4:I$1048576,MATCH(ROW(C26),Main!$D$4:$D$1048576,0))))</f>
        <v/>
      </c>
      <c r="Q28" s="1" t="str">
        <f t="shared" si="2"/>
        <v/>
      </c>
      <c r="R28" s="1" t="str">
        <f>IF(IF(ROW(D26)&gt;MAX(Main!$D$4:$D$1048576),"",INDEX(Main!J$4:J$1048576,MATCH(ROW(D26),Main!$D$4:$D$1048576,0)))="",IF(P28="","",R27),IF(ROW(D26)&gt;MAX(Main!$D$4:$D$1048576),"",INDEX(Main!J$4:J$1048576,MATCH(ROW(D26),Main!$D$4:$D$1048576,0))))</f>
        <v/>
      </c>
      <c r="S28" s="9" t="str">
        <f>IF(ROW(G26)&gt;MAX(Main!$D$4:$D$1048576),"",INDEX(Main!K$4:K$1048576,MATCH(ROW(G26),Main!$D$4:$D$1048576,0)))</f>
        <v/>
      </c>
      <c r="T28" s="1" t="str">
        <f>IF(S28&lt;&gt;"",IF(ROW(G26)&gt;MAX(Main!$D$4:$D$1048576),"",INDEX(Main!N$4:N$1048576,MATCH(ROW(G26),Main!$D$4:$D$1048576,0))),"")</f>
        <v/>
      </c>
      <c r="U28" s="1" t="str">
        <f>IF(IF(ROW(H26)&gt;MAX(Main!$D$4:$D$1048576),"",INDEX(Main!O$4:O$1048576,MATCH(ROW(H26),Main!$D$4:$D$1048576,0)))="",IF(T28="","",U27),IF(ROW(H26)&gt;MAX(Main!$D$4:$D$1048576),"",INDEX(Main!O$4:O$1048576,MATCH(ROW(H26),Main!$D$4:$D$1048576,0))))</f>
        <v/>
      </c>
    </row>
    <row r="29" spans="1:21" x14ac:dyDescent="0.4">
      <c r="A29" t="s">
        <v>21</v>
      </c>
      <c r="B29" s="4" t="str">
        <f>TEXT(IF(ROW(A27)&gt;MAX(Main!$C$4:$C$1048576),"",INDEX(Main!Q$4:Q$1048576,MATCH(ROW(A27),Main!$C$4:$C$1048576,0))), "yyyy/m/d")</f>
        <v/>
      </c>
      <c r="C29" s="1" t="str">
        <f>IF(IF(ROW(A27)&gt;MAX(Main!$C$4:$C$1048576),"",INDEX(Main!G$4:G$1048576,MATCH(ROW(A27),Main!$C$4:$C$1048576,0)))="",IF(B29="","",C28),IF(ROW(A27)&gt;MAX(Main!$C$4:$C$1048576),"",INDEX(Main!G$4:G$1048576,MATCH(ROW(A27),Main!$C$4:$C$1048576,0))))</f>
        <v/>
      </c>
      <c r="D29" s="1" t="str">
        <f>IF(IF(ROW(B27)&gt;MAX(Main!$C$4:$C$1048576),"",INDEX(Main!H$4:H$1048576,MATCH(ROW(B27),Main!$C$4:$C$1048576,0)))="",IF(C29="","",D28),IF(ROW(B27)&gt;MAX(Main!$C$4:$C$1048576),"",INDEX(Main!H$4:H$1048576,MATCH(ROW(B27),Main!$C$4:$C$1048576,0))))</f>
        <v/>
      </c>
      <c r="E29" s="1" t="str">
        <f>IF(IF(ROW(C27)&gt;MAX(Main!$C$4:$C$1048576),"",INDEX(Main!I$4:I$1048576,MATCH(ROW(C27),Main!$C$4:$C$1048576,0)))="",IF(D29="","",E28),IF(ROW(C27)&gt;MAX(Main!$C$4:$C$1048576),"",INDEX(Main!I$4:I$1048576,MATCH(ROW(C27),Main!$C$4:$C$1048576,0))))</f>
        <v/>
      </c>
      <c r="F29" s="1" t="str">
        <f t="shared" si="0"/>
        <v/>
      </c>
      <c r="G29" s="1" t="str">
        <f>IF(IF(ROW(D27)&gt;MAX(Main!$C$4:$C$1048576),"",INDEX(Main!J$4:J$1048576,MATCH(ROW(D27),Main!$C$4:$C$1048576,0)))="",IF(E29="","",G28),IF(ROW(D27)&gt;MAX(Main!$C$4:$C$1048576),"",INDEX(Main!J$4:J$1048576,MATCH(ROW(D27),Main!$C$4:$C$1048576,0))))</f>
        <v/>
      </c>
      <c r="H29" s="10" t="str">
        <f>IF(ROW(G27)&gt;MAX(Main!$C$4:$C$1048576),"",INDEX(Main!K$4:K$1048576,MATCH(ROW(G27),Main!$C$4:$C$1048576,0)))</f>
        <v/>
      </c>
      <c r="I29" s="1" t="str">
        <f>IF(H29&lt;&gt;"",IF(ROW(G27)&gt;MAX(Main!$C$4:$C$1048576),"",INDEX(Main!N$4:N$1048576,MATCH(ROW(G27),Main!$C$4:$C$1048576,0))),"")</f>
        <v/>
      </c>
      <c r="J29" s="1" t="str">
        <f>IF(IF(ROW(H27)&gt;MAX(Main!$C$4:$C$1048576),"",INDEX(Main!O$4:O$1048576,MATCH(ROW(H27),Main!$C$4:$C$1048576,0)))="",IF(I29="","",J28),IF(ROW(H27)&gt;MAX(Main!$C$4:$C$1048576),"",INDEX(Main!O$4:O$1048576,MATCH(ROW(H27),Main!$C$4:$C$1048576,0))))</f>
        <v/>
      </c>
      <c r="K29" s="27" t="str">
        <f t="shared" si="1"/>
        <v>例目</v>
      </c>
      <c r="M29" s="4" t="str">
        <f>TEXT(IF(ROW(A27)&gt;MAX(Main!$D$4:$D$1048576),"",INDEX(Main!Q$4:Q$1048576,MATCH(ROW(A27),Main!$D$4:$D$1048576,0))), "yyyy/m/d")</f>
        <v/>
      </c>
      <c r="N29" s="1" t="str">
        <f>IF(IF(ROW(A27)&gt;MAX(Main!$D$4:$D$1048576),"",INDEX(Main!G$4:G$1048576,MATCH(ROW(A27),Main!$D$4:$D$1048576,0)))="",IF(M29="","",N28),IF(ROW(A27)&gt;MAX(Main!$D$4:$D$1048576),"",INDEX(Main!G$4:G$1048576,MATCH(ROW(A27),Main!$D$4:$D$1048576,0))))</f>
        <v/>
      </c>
      <c r="O29" s="1" t="str">
        <f>IF(IF(ROW(B27)&gt;MAX(Main!$D$4:$D$1048576),"",INDEX(Main!H$4:H$1048576,MATCH(ROW(B27),Main!$D$4:$D$1048576,0)))="",IF(N29="","",O28),IF(ROW(B27)&gt;MAX(Main!$D$4:$D$1048576),"",INDEX(Main!H$4:H$1048576,MATCH(ROW(B27),Main!$D$4:$D$1048576,0))))</f>
        <v/>
      </c>
      <c r="P29" s="1" t="str">
        <f>IF(IF(ROW(C27)&gt;MAX(Main!$D$4:$D$1048576),"",INDEX(Main!I$4:I$1048576,MATCH(ROW(C27),Main!$D$4:$D$1048576,0)))="",IF(O29="","",P28),IF(ROW(C27)&gt;MAX(Main!$D$4:$D$1048576),"",INDEX(Main!I$4:I$1048576,MATCH(ROW(C27),Main!$D$4:$D$1048576,0))))</f>
        <v/>
      </c>
      <c r="Q29" s="1" t="str">
        <f t="shared" si="2"/>
        <v/>
      </c>
      <c r="R29" s="1" t="str">
        <f>IF(IF(ROW(D27)&gt;MAX(Main!$D$4:$D$1048576),"",INDEX(Main!J$4:J$1048576,MATCH(ROW(D27),Main!$D$4:$D$1048576,0)))="",IF(P29="","",R28),IF(ROW(D27)&gt;MAX(Main!$D$4:$D$1048576),"",INDEX(Main!J$4:J$1048576,MATCH(ROW(D27),Main!$D$4:$D$1048576,0))))</f>
        <v/>
      </c>
      <c r="S29" s="9" t="str">
        <f>IF(ROW(G27)&gt;MAX(Main!$D$4:$D$1048576),"",INDEX(Main!K$4:K$1048576,MATCH(ROW(G27),Main!$D$4:$D$1048576,0)))</f>
        <v/>
      </c>
      <c r="T29" s="1" t="str">
        <f>IF(S29&lt;&gt;"",IF(ROW(G27)&gt;MAX(Main!$D$4:$D$1048576),"",INDEX(Main!N$4:N$1048576,MATCH(ROW(G27),Main!$D$4:$D$1048576,0))),"")</f>
        <v/>
      </c>
      <c r="U29" s="1" t="str">
        <f>IF(IF(ROW(H27)&gt;MAX(Main!$D$4:$D$1048576),"",INDEX(Main!O$4:O$1048576,MATCH(ROW(H27),Main!$D$4:$D$1048576,0)))="",IF(T29="","",U28),IF(ROW(H27)&gt;MAX(Main!$D$4:$D$1048576),"",INDEX(Main!O$4:O$1048576,MATCH(ROW(H27),Main!$D$4:$D$1048576,0))))</f>
        <v/>
      </c>
    </row>
    <row r="30" spans="1:21" x14ac:dyDescent="0.4">
      <c r="A30" t="s">
        <v>21</v>
      </c>
      <c r="B30" s="4" t="str">
        <f>TEXT(IF(ROW(A28)&gt;MAX(Main!$C$4:$C$1048576),"",INDEX(Main!Q$4:Q$1048576,MATCH(ROW(A28),Main!$C$4:$C$1048576,0))), "yyyy/m/d")</f>
        <v/>
      </c>
      <c r="C30" s="1" t="str">
        <f>IF(IF(ROW(A28)&gt;MAX(Main!$C$4:$C$1048576),"",INDEX(Main!G$4:G$1048576,MATCH(ROW(A28),Main!$C$4:$C$1048576,0)))="",IF(B30="","",C29),IF(ROW(A28)&gt;MAX(Main!$C$4:$C$1048576),"",INDEX(Main!G$4:G$1048576,MATCH(ROW(A28),Main!$C$4:$C$1048576,0))))</f>
        <v/>
      </c>
      <c r="D30" s="1" t="str">
        <f>IF(IF(ROW(B28)&gt;MAX(Main!$C$4:$C$1048576),"",INDEX(Main!H$4:H$1048576,MATCH(ROW(B28),Main!$C$4:$C$1048576,0)))="",IF(C30="","",D29),IF(ROW(B28)&gt;MAX(Main!$C$4:$C$1048576),"",INDEX(Main!H$4:H$1048576,MATCH(ROW(B28),Main!$C$4:$C$1048576,0))))</f>
        <v/>
      </c>
      <c r="E30" s="1" t="str">
        <f>IF(IF(ROW(C28)&gt;MAX(Main!$C$4:$C$1048576),"",INDEX(Main!I$4:I$1048576,MATCH(ROW(C28),Main!$C$4:$C$1048576,0)))="",IF(D30="","",E29),IF(ROW(C28)&gt;MAX(Main!$C$4:$C$1048576),"",INDEX(Main!I$4:I$1048576,MATCH(ROW(C28),Main!$C$4:$C$1048576,0))))</f>
        <v/>
      </c>
      <c r="F30" s="1" t="str">
        <f t="shared" si="0"/>
        <v/>
      </c>
      <c r="G30" s="1" t="str">
        <f>IF(IF(ROW(D28)&gt;MAX(Main!$C$4:$C$1048576),"",INDEX(Main!J$4:J$1048576,MATCH(ROW(D28),Main!$C$4:$C$1048576,0)))="",IF(E30="","",G29),IF(ROW(D28)&gt;MAX(Main!$C$4:$C$1048576),"",INDEX(Main!J$4:J$1048576,MATCH(ROW(D28),Main!$C$4:$C$1048576,0))))</f>
        <v/>
      </c>
      <c r="H30" s="10" t="str">
        <f>IF(ROW(G28)&gt;MAX(Main!$C$4:$C$1048576),"",INDEX(Main!K$4:K$1048576,MATCH(ROW(G28),Main!$C$4:$C$1048576,0)))</f>
        <v/>
      </c>
      <c r="I30" s="1" t="str">
        <f>IF(H30&lt;&gt;"",IF(ROW(G28)&gt;MAX(Main!$C$4:$C$1048576),"",INDEX(Main!N$4:N$1048576,MATCH(ROW(G28),Main!$C$4:$C$1048576,0))),"")</f>
        <v/>
      </c>
      <c r="J30" s="1" t="str">
        <f>IF(IF(ROW(H28)&gt;MAX(Main!$C$4:$C$1048576),"",INDEX(Main!O$4:O$1048576,MATCH(ROW(H28),Main!$C$4:$C$1048576,0)))="",IF(I30="","",J29),IF(ROW(H28)&gt;MAX(Main!$C$4:$C$1048576),"",INDEX(Main!O$4:O$1048576,MATCH(ROW(H28),Main!$C$4:$C$1048576,0))))</f>
        <v/>
      </c>
      <c r="K30" s="27" t="str">
        <f t="shared" si="1"/>
        <v>例目</v>
      </c>
      <c r="M30" s="4" t="str">
        <f>TEXT(IF(ROW(A28)&gt;MAX(Main!$D$4:$D$1048576),"",INDEX(Main!Q$4:Q$1048576,MATCH(ROW(A28),Main!$D$4:$D$1048576,0))), "yyyy/m/d")</f>
        <v/>
      </c>
      <c r="N30" s="1" t="str">
        <f>IF(IF(ROW(A28)&gt;MAX(Main!$D$4:$D$1048576),"",INDEX(Main!G$4:G$1048576,MATCH(ROW(A28),Main!$D$4:$D$1048576,0)))="",IF(M30="","",N29),IF(ROW(A28)&gt;MAX(Main!$D$4:$D$1048576),"",INDEX(Main!G$4:G$1048576,MATCH(ROW(A28),Main!$D$4:$D$1048576,0))))</f>
        <v/>
      </c>
      <c r="O30" s="1" t="str">
        <f>IF(IF(ROW(B28)&gt;MAX(Main!$D$4:$D$1048576),"",INDEX(Main!H$4:H$1048576,MATCH(ROW(B28),Main!$D$4:$D$1048576,0)))="",IF(N30="","",O29),IF(ROW(B28)&gt;MAX(Main!$D$4:$D$1048576),"",INDEX(Main!H$4:H$1048576,MATCH(ROW(B28),Main!$D$4:$D$1048576,0))))</f>
        <v/>
      </c>
      <c r="P30" s="1" t="str">
        <f>IF(IF(ROW(C28)&gt;MAX(Main!$D$4:$D$1048576),"",INDEX(Main!I$4:I$1048576,MATCH(ROW(C28),Main!$D$4:$D$1048576,0)))="",IF(O30="","",P29),IF(ROW(C28)&gt;MAX(Main!$D$4:$D$1048576),"",INDEX(Main!I$4:I$1048576,MATCH(ROW(C28),Main!$D$4:$D$1048576,0))))</f>
        <v/>
      </c>
      <c r="Q30" s="1" t="str">
        <f t="shared" si="2"/>
        <v/>
      </c>
      <c r="R30" s="1" t="str">
        <f>IF(IF(ROW(D28)&gt;MAX(Main!$D$4:$D$1048576),"",INDEX(Main!J$4:J$1048576,MATCH(ROW(D28),Main!$D$4:$D$1048576,0)))="",IF(P30="","",R29),IF(ROW(D28)&gt;MAX(Main!$D$4:$D$1048576),"",INDEX(Main!J$4:J$1048576,MATCH(ROW(D28),Main!$D$4:$D$1048576,0))))</f>
        <v/>
      </c>
      <c r="S30" s="9" t="str">
        <f>IF(ROW(G28)&gt;MAX(Main!$D$4:$D$1048576),"",INDEX(Main!K$4:K$1048576,MATCH(ROW(G28),Main!$D$4:$D$1048576,0)))</f>
        <v/>
      </c>
      <c r="T30" s="1" t="str">
        <f>IF(S30&lt;&gt;"",IF(ROW(G28)&gt;MAX(Main!$D$4:$D$1048576),"",INDEX(Main!N$4:N$1048576,MATCH(ROW(G28),Main!$D$4:$D$1048576,0))),"")</f>
        <v/>
      </c>
      <c r="U30" s="1" t="str">
        <f>IF(IF(ROW(H28)&gt;MAX(Main!$D$4:$D$1048576),"",INDEX(Main!O$4:O$1048576,MATCH(ROW(H28),Main!$D$4:$D$1048576,0)))="",IF(T30="","",U29),IF(ROW(H28)&gt;MAX(Main!$D$4:$D$1048576),"",INDEX(Main!O$4:O$1048576,MATCH(ROW(H28),Main!$D$4:$D$1048576,0))))</f>
        <v/>
      </c>
    </row>
    <row r="31" spans="1:21" x14ac:dyDescent="0.4">
      <c r="A31" t="s">
        <v>21</v>
      </c>
      <c r="B31" s="4" t="str">
        <f>TEXT(IF(ROW(A29)&gt;MAX(Main!$C$4:$C$1048576),"",INDEX(Main!Q$4:Q$1048576,MATCH(ROW(A29),Main!$C$4:$C$1048576,0))), "yyyy/m/d")</f>
        <v/>
      </c>
      <c r="C31" s="1" t="str">
        <f>IF(IF(ROW(A29)&gt;MAX(Main!$C$4:$C$1048576),"",INDEX(Main!G$4:G$1048576,MATCH(ROW(A29),Main!$C$4:$C$1048576,0)))="",IF(B31="","",C30),IF(ROW(A29)&gt;MAX(Main!$C$4:$C$1048576),"",INDEX(Main!G$4:G$1048576,MATCH(ROW(A29),Main!$C$4:$C$1048576,0))))</f>
        <v/>
      </c>
      <c r="D31" s="1" t="str">
        <f>IF(IF(ROW(B29)&gt;MAX(Main!$C$4:$C$1048576),"",INDEX(Main!H$4:H$1048576,MATCH(ROW(B29),Main!$C$4:$C$1048576,0)))="",IF(C31="","",D30),IF(ROW(B29)&gt;MAX(Main!$C$4:$C$1048576),"",INDEX(Main!H$4:H$1048576,MATCH(ROW(B29),Main!$C$4:$C$1048576,0))))</f>
        <v/>
      </c>
      <c r="E31" s="1" t="str">
        <f>IF(IF(ROW(C29)&gt;MAX(Main!$C$4:$C$1048576),"",INDEX(Main!I$4:I$1048576,MATCH(ROW(C29),Main!$C$4:$C$1048576,0)))="",IF(D31="","",E30),IF(ROW(C29)&gt;MAX(Main!$C$4:$C$1048576),"",INDEX(Main!I$4:I$1048576,MATCH(ROW(C29),Main!$C$4:$C$1048576,0))))</f>
        <v/>
      </c>
      <c r="F31" s="1" t="str">
        <f t="shared" si="0"/>
        <v/>
      </c>
      <c r="G31" s="1" t="str">
        <f>IF(IF(ROW(D29)&gt;MAX(Main!$C$4:$C$1048576),"",INDEX(Main!J$4:J$1048576,MATCH(ROW(D29),Main!$C$4:$C$1048576,0)))="",IF(E31="","",G30),IF(ROW(D29)&gt;MAX(Main!$C$4:$C$1048576),"",INDEX(Main!J$4:J$1048576,MATCH(ROW(D29),Main!$C$4:$C$1048576,0))))</f>
        <v/>
      </c>
      <c r="H31" s="10" t="str">
        <f>IF(ROW(G29)&gt;MAX(Main!$C$4:$C$1048576),"",INDEX(Main!K$4:K$1048576,MATCH(ROW(G29),Main!$C$4:$C$1048576,0)))</f>
        <v/>
      </c>
      <c r="I31" s="1" t="str">
        <f>IF(H31&lt;&gt;"",IF(ROW(G29)&gt;MAX(Main!$C$4:$C$1048576),"",INDEX(Main!N$4:N$1048576,MATCH(ROW(G29),Main!$C$4:$C$1048576,0))),"")</f>
        <v/>
      </c>
      <c r="J31" s="1" t="str">
        <f>IF(IF(ROW(H29)&gt;MAX(Main!$C$4:$C$1048576),"",INDEX(Main!O$4:O$1048576,MATCH(ROW(H29),Main!$C$4:$C$1048576,0)))="",IF(I31="","",J30),IF(ROW(H29)&gt;MAX(Main!$C$4:$C$1048576),"",INDEX(Main!O$4:O$1048576,MATCH(ROW(H29),Main!$C$4:$C$1048576,0))))</f>
        <v/>
      </c>
      <c r="K31" s="27" t="str">
        <f t="shared" si="1"/>
        <v>例目</v>
      </c>
      <c r="M31" s="4" t="str">
        <f>TEXT(IF(ROW(A29)&gt;MAX(Main!$D$4:$D$1048576),"",INDEX(Main!Q$4:Q$1048576,MATCH(ROW(A29),Main!$D$4:$D$1048576,0))), "yyyy/m/d")</f>
        <v/>
      </c>
      <c r="N31" s="1" t="str">
        <f>IF(IF(ROW(A29)&gt;MAX(Main!$D$4:$D$1048576),"",INDEX(Main!G$4:G$1048576,MATCH(ROW(A29),Main!$D$4:$D$1048576,0)))="",IF(M31="","",N30),IF(ROW(A29)&gt;MAX(Main!$D$4:$D$1048576),"",INDEX(Main!G$4:G$1048576,MATCH(ROW(A29),Main!$D$4:$D$1048576,0))))</f>
        <v/>
      </c>
      <c r="O31" s="1" t="str">
        <f>IF(IF(ROW(B29)&gt;MAX(Main!$D$4:$D$1048576),"",INDEX(Main!H$4:H$1048576,MATCH(ROW(B29),Main!$D$4:$D$1048576,0)))="",IF(N31="","",O30),IF(ROW(B29)&gt;MAX(Main!$D$4:$D$1048576),"",INDEX(Main!H$4:H$1048576,MATCH(ROW(B29),Main!$D$4:$D$1048576,0))))</f>
        <v/>
      </c>
      <c r="P31" s="1" t="str">
        <f>IF(IF(ROW(C29)&gt;MAX(Main!$D$4:$D$1048576),"",INDEX(Main!I$4:I$1048576,MATCH(ROW(C29),Main!$D$4:$D$1048576,0)))="",IF(O31="","",P30),IF(ROW(C29)&gt;MAX(Main!$D$4:$D$1048576),"",INDEX(Main!I$4:I$1048576,MATCH(ROW(C29),Main!$D$4:$D$1048576,0))))</f>
        <v/>
      </c>
      <c r="Q31" s="1" t="str">
        <f t="shared" si="2"/>
        <v/>
      </c>
      <c r="R31" s="1" t="str">
        <f>IF(IF(ROW(D29)&gt;MAX(Main!$D$4:$D$1048576),"",INDEX(Main!J$4:J$1048576,MATCH(ROW(D29),Main!$D$4:$D$1048576,0)))="",IF(P31="","",R30),IF(ROW(D29)&gt;MAX(Main!$D$4:$D$1048576),"",INDEX(Main!J$4:J$1048576,MATCH(ROW(D29),Main!$D$4:$D$1048576,0))))</f>
        <v/>
      </c>
      <c r="S31" s="9" t="str">
        <f>IF(ROW(G29)&gt;MAX(Main!$D$4:$D$1048576),"",INDEX(Main!K$4:K$1048576,MATCH(ROW(G29),Main!$D$4:$D$1048576,0)))</f>
        <v/>
      </c>
      <c r="T31" s="1" t="str">
        <f>IF(S31&lt;&gt;"",IF(ROW(G29)&gt;MAX(Main!$D$4:$D$1048576),"",INDEX(Main!N$4:N$1048576,MATCH(ROW(G29),Main!$D$4:$D$1048576,0))),"")</f>
        <v/>
      </c>
      <c r="U31" s="1" t="str">
        <f>IF(IF(ROW(H29)&gt;MAX(Main!$D$4:$D$1048576),"",INDEX(Main!O$4:O$1048576,MATCH(ROW(H29),Main!$D$4:$D$1048576,0)))="",IF(T31="","",U30),IF(ROW(H29)&gt;MAX(Main!$D$4:$D$1048576),"",INDEX(Main!O$4:O$1048576,MATCH(ROW(H29),Main!$D$4:$D$1048576,0))))</f>
        <v/>
      </c>
    </row>
    <row r="32" spans="1:21" x14ac:dyDescent="0.4">
      <c r="A32" t="s">
        <v>21</v>
      </c>
      <c r="B32" s="4" t="str">
        <f>TEXT(IF(ROW(A30)&gt;MAX(Main!$C$4:$C$1048576),"",INDEX(Main!Q$4:Q$1048576,MATCH(ROW(A30),Main!$C$4:$C$1048576,0))), "yyyy/m/d")</f>
        <v/>
      </c>
      <c r="C32" s="1" t="str">
        <f>IF(IF(ROW(A30)&gt;MAX(Main!$C$4:$C$1048576),"",INDEX(Main!G$4:G$1048576,MATCH(ROW(A30),Main!$C$4:$C$1048576,0)))="",IF(B32="","",C31),IF(ROW(A30)&gt;MAX(Main!$C$4:$C$1048576),"",INDEX(Main!G$4:G$1048576,MATCH(ROW(A30),Main!$C$4:$C$1048576,0))))</f>
        <v/>
      </c>
      <c r="D32" s="1" t="str">
        <f>IF(IF(ROW(B30)&gt;MAX(Main!$C$4:$C$1048576),"",INDEX(Main!H$4:H$1048576,MATCH(ROW(B30),Main!$C$4:$C$1048576,0)))="",IF(C32="","",D31),IF(ROW(B30)&gt;MAX(Main!$C$4:$C$1048576),"",INDEX(Main!H$4:H$1048576,MATCH(ROW(B30),Main!$C$4:$C$1048576,0))))</f>
        <v/>
      </c>
      <c r="E32" s="1" t="str">
        <f>IF(IF(ROW(C30)&gt;MAX(Main!$C$4:$C$1048576),"",INDEX(Main!I$4:I$1048576,MATCH(ROW(C30),Main!$C$4:$C$1048576,0)))="",IF(D32="","",E31),IF(ROW(C30)&gt;MAX(Main!$C$4:$C$1048576),"",INDEX(Main!I$4:I$1048576,MATCH(ROW(C30),Main!$C$4:$C$1048576,0))))</f>
        <v/>
      </c>
      <c r="F32" s="1" t="str">
        <f t="shared" si="0"/>
        <v/>
      </c>
      <c r="G32" s="1" t="str">
        <f>IF(IF(ROW(D30)&gt;MAX(Main!$C$4:$C$1048576),"",INDEX(Main!J$4:J$1048576,MATCH(ROW(D30),Main!$C$4:$C$1048576,0)))="",IF(E32="","",G31),IF(ROW(D30)&gt;MAX(Main!$C$4:$C$1048576),"",INDEX(Main!J$4:J$1048576,MATCH(ROW(D30),Main!$C$4:$C$1048576,0))))</f>
        <v/>
      </c>
      <c r="H32" s="10" t="str">
        <f>IF(ROW(G30)&gt;MAX(Main!$C$4:$C$1048576),"",INDEX(Main!K$4:K$1048576,MATCH(ROW(G30),Main!$C$4:$C$1048576,0)))</f>
        <v/>
      </c>
      <c r="I32" s="1" t="str">
        <f>IF(H32&lt;&gt;"",IF(ROW(G30)&gt;MAX(Main!$C$4:$C$1048576),"",INDEX(Main!N$4:N$1048576,MATCH(ROW(G30),Main!$C$4:$C$1048576,0))),"")</f>
        <v/>
      </c>
      <c r="J32" s="1" t="str">
        <f>IF(IF(ROW(H30)&gt;MAX(Main!$C$4:$C$1048576),"",INDEX(Main!O$4:O$1048576,MATCH(ROW(H30),Main!$C$4:$C$1048576,0)))="",IF(I32="","",J31),IF(ROW(H30)&gt;MAX(Main!$C$4:$C$1048576),"",INDEX(Main!O$4:O$1048576,MATCH(ROW(H30),Main!$C$4:$C$1048576,0))))</f>
        <v/>
      </c>
      <c r="K32" s="27" t="str">
        <f t="shared" si="1"/>
        <v>例目</v>
      </c>
      <c r="M32" s="4" t="str">
        <f>TEXT(IF(ROW(A30)&gt;MAX(Main!$D$4:$D$1048576),"",INDEX(Main!Q$4:Q$1048576,MATCH(ROW(A30),Main!$D$4:$D$1048576,0))), "yyyy/m/d")</f>
        <v/>
      </c>
      <c r="N32" s="1" t="str">
        <f>IF(IF(ROW(A30)&gt;MAX(Main!$D$4:$D$1048576),"",INDEX(Main!G$4:G$1048576,MATCH(ROW(A30),Main!$D$4:$D$1048576,0)))="",IF(M32="","",N31),IF(ROW(A30)&gt;MAX(Main!$D$4:$D$1048576),"",INDEX(Main!G$4:G$1048576,MATCH(ROW(A30),Main!$D$4:$D$1048576,0))))</f>
        <v/>
      </c>
      <c r="O32" s="1" t="str">
        <f>IF(IF(ROW(B30)&gt;MAX(Main!$D$4:$D$1048576),"",INDEX(Main!H$4:H$1048576,MATCH(ROW(B30),Main!$D$4:$D$1048576,0)))="",IF(N32="","",O31),IF(ROW(B30)&gt;MAX(Main!$D$4:$D$1048576),"",INDEX(Main!H$4:H$1048576,MATCH(ROW(B30),Main!$D$4:$D$1048576,0))))</f>
        <v/>
      </c>
      <c r="P32" s="1" t="str">
        <f>IF(IF(ROW(C30)&gt;MAX(Main!$D$4:$D$1048576),"",INDEX(Main!I$4:I$1048576,MATCH(ROW(C30),Main!$D$4:$D$1048576,0)))="",IF(O32="","",P31),IF(ROW(C30)&gt;MAX(Main!$D$4:$D$1048576),"",INDEX(Main!I$4:I$1048576,MATCH(ROW(C30),Main!$D$4:$D$1048576,0))))</f>
        <v/>
      </c>
      <c r="Q32" s="1" t="str">
        <f t="shared" si="2"/>
        <v/>
      </c>
      <c r="R32" s="1" t="str">
        <f>IF(IF(ROW(D30)&gt;MAX(Main!$D$4:$D$1048576),"",INDEX(Main!J$4:J$1048576,MATCH(ROW(D30),Main!$D$4:$D$1048576,0)))="",IF(P32="","",R31),IF(ROW(D30)&gt;MAX(Main!$D$4:$D$1048576),"",INDEX(Main!J$4:J$1048576,MATCH(ROW(D30),Main!$D$4:$D$1048576,0))))</f>
        <v/>
      </c>
      <c r="S32" s="9" t="str">
        <f>IF(ROW(G30)&gt;MAX(Main!$D$4:$D$1048576),"",INDEX(Main!K$4:K$1048576,MATCH(ROW(G30),Main!$D$4:$D$1048576,0)))</f>
        <v/>
      </c>
      <c r="T32" s="1" t="str">
        <f>IF(S32&lt;&gt;"",IF(ROW(G30)&gt;MAX(Main!$D$4:$D$1048576),"",INDEX(Main!N$4:N$1048576,MATCH(ROW(G30),Main!$D$4:$D$1048576,0))),"")</f>
        <v/>
      </c>
      <c r="U32" s="1" t="str">
        <f>IF(IF(ROW(H30)&gt;MAX(Main!$D$4:$D$1048576),"",INDEX(Main!O$4:O$1048576,MATCH(ROW(H30),Main!$D$4:$D$1048576,0)))="",IF(T32="","",U31),IF(ROW(H30)&gt;MAX(Main!$D$4:$D$1048576),"",INDEX(Main!O$4:O$1048576,MATCH(ROW(H30),Main!$D$4:$D$1048576,0))))</f>
        <v/>
      </c>
    </row>
    <row r="33" spans="1:21" x14ac:dyDescent="0.4">
      <c r="A33" t="s">
        <v>21</v>
      </c>
      <c r="B33" s="4" t="str">
        <f>TEXT(IF(ROW(A31)&gt;MAX(Main!$C$4:$C$1048576),"",INDEX(Main!Q$4:Q$1048576,MATCH(ROW(A31),Main!$C$4:$C$1048576,0))), "yyyy/m/d")</f>
        <v/>
      </c>
      <c r="C33" s="1" t="str">
        <f>IF(IF(ROW(A31)&gt;MAX(Main!$C$4:$C$1048576),"",INDEX(Main!G$4:G$1048576,MATCH(ROW(A31),Main!$C$4:$C$1048576,0)))="",IF(B33="","",C32),IF(ROW(A31)&gt;MAX(Main!$C$4:$C$1048576),"",INDEX(Main!G$4:G$1048576,MATCH(ROW(A31),Main!$C$4:$C$1048576,0))))</f>
        <v/>
      </c>
      <c r="D33" s="1" t="str">
        <f>IF(IF(ROW(B31)&gt;MAX(Main!$C$4:$C$1048576),"",INDEX(Main!H$4:H$1048576,MATCH(ROW(B31),Main!$C$4:$C$1048576,0)))="",IF(C33="","",D32),IF(ROW(B31)&gt;MAX(Main!$C$4:$C$1048576),"",INDEX(Main!H$4:H$1048576,MATCH(ROW(B31),Main!$C$4:$C$1048576,0))))</f>
        <v/>
      </c>
      <c r="E33" s="1" t="str">
        <f>IF(IF(ROW(C31)&gt;MAX(Main!$C$4:$C$1048576),"",INDEX(Main!I$4:I$1048576,MATCH(ROW(C31),Main!$C$4:$C$1048576,0)))="",IF(D33="","",E32),IF(ROW(C31)&gt;MAX(Main!$C$4:$C$1048576),"",INDEX(Main!I$4:I$1048576,MATCH(ROW(C31),Main!$C$4:$C$1048576,0))))</f>
        <v/>
      </c>
      <c r="F33" s="1" t="str">
        <f t="shared" si="0"/>
        <v/>
      </c>
      <c r="G33" s="1" t="str">
        <f>IF(IF(ROW(D31)&gt;MAX(Main!$C$4:$C$1048576),"",INDEX(Main!J$4:J$1048576,MATCH(ROW(D31),Main!$C$4:$C$1048576,0)))="",IF(E33="","",G32),IF(ROW(D31)&gt;MAX(Main!$C$4:$C$1048576),"",INDEX(Main!J$4:J$1048576,MATCH(ROW(D31),Main!$C$4:$C$1048576,0))))</f>
        <v/>
      </c>
      <c r="H33" s="10" t="str">
        <f>IF(ROW(G31)&gt;MAX(Main!$C$4:$C$1048576),"",INDEX(Main!K$4:K$1048576,MATCH(ROW(G31),Main!$C$4:$C$1048576,0)))</f>
        <v/>
      </c>
      <c r="I33" s="1" t="str">
        <f>IF(H33&lt;&gt;"",IF(ROW(G31)&gt;MAX(Main!$C$4:$C$1048576),"",INDEX(Main!N$4:N$1048576,MATCH(ROW(G31),Main!$C$4:$C$1048576,0))),"")</f>
        <v/>
      </c>
      <c r="J33" s="1" t="str">
        <f>IF(IF(ROW(H31)&gt;MAX(Main!$C$4:$C$1048576),"",INDEX(Main!O$4:O$1048576,MATCH(ROW(H31),Main!$C$4:$C$1048576,0)))="",IF(I33="","",J32),IF(ROW(H31)&gt;MAX(Main!$C$4:$C$1048576),"",INDEX(Main!O$4:O$1048576,MATCH(ROW(H31),Main!$C$4:$C$1048576,0))))</f>
        <v/>
      </c>
      <c r="K33" s="27" t="str">
        <f t="shared" si="1"/>
        <v>例目</v>
      </c>
      <c r="M33" s="4" t="str">
        <f>TEXT(IF(ROW(A31)&gt;MAX(Main!$D$4:$D$1048576),"",INDEX(Main!Q$4:Q$1048576,MATCH(ROW(A31),Main!$D$4:$D$1048576,0))), "yyyy/m/d")</f>
        <v/>
      </c>
      <c r="N33" s="1" t="str">
        <f>IF(IF(ROW(A31)&gt;MAX(Main!$D$4:$D$1048576),"",INDEX(Main!G$4:G$1048576,MATCH(ROW(A31),Main!$D$4:$D$1048576,0)))="",IF(M33="","",N32),IF(ROW(A31)&gt;MAX(Main!$D$4:$D$1048576),"",INDEX(Main!G$4:G$1048576,MATCH(ROW(A31),Main!$D$4:$D$1048576,0))))</f>
        <v/>
      </c>
      <c r="O33" s="1" t="str">
        <f>IF(IF(ROW(B31)&gt;MAX(Main!$D$4:$D$1048576),"",INDEX(Main!H$4:H$1048576,MATCH(ROW(B31),Main!$D$4:$D$1048576,0)))="",IF(N33="","",O32),IF(ROW(B31)&gt;MAX(Main!$D$4:$D$1048576),"",INDEX(Main!H$4:H$1048576,MATCH(ROW(B31),Main!$D$4:$D$1048576,0))))</f>
        <v/>
      </c>
      <c r="P33" s="1" t="str">
        <f>IF(IF(ROW(C31)&gt;MAX(Main!$D$4:$D$1048576),"",INDEX(Main!I$4:I$1048576,MATCH(ROW(C31),Main!$D$4:$D$1048576,0)))="",IF(O33="","",P32),IF(ROW(C31)&gt;MAX(Main!$D$4:$D$1048576),"",INDEX(Main!I$4:I$1048576,MATCH(ROW(C31),Main!$D$4:$D$1048576,0))))</f>
        <v/>
      </c>
      <c r="Q33" s="1" t="str">
        <f t="shared" si="2"/>
        <v/>
      </c>
      <c r="R33" s="1" t="str">
        <f>IF(IF(ROW(D31)&gt;MAX(Main!$D$4:$D$1048576),"",INDEX(Main!J$4:J$1048576,MATCH(ROW(D31),Main!$D$4:$D$1048576,0)))="",IF(P33="","",R32),IF(ROW(D31)&gt;MAX(Main!$D$4:$D$1048576),"",INDEX(Main!J$4:J$1048576,MATCH(ROW(D31),Main!$D$4:$D$1048576,0))))</f>
        <v/>
      </c>
      <c r="S33" s="9" t="str">
        <f>IF(ROW(G31)&gt;MAX(Main!$D$4:$D$1048576),"",INDEX(Main!K$4:K$1048576,MATCH(ROW(G31),Main!$D$4:$D$1048576,0)))</f>
        <v/>
      </c>
      <c r="T33" s="1" t="str">
        <f>IF(S33&lt;&gt;"",IF(ROW(G31)&gt;MAX(Main!$D$4:$D$1048576),"",INDEX(Main!N$4:N$1048576,MATCH(ROW(G31),Main!$D$4:$D$1048576,0))),"")</f>
        <v/>
      </c>
      <c r="U33" s="1" t="str">
        <f>IF(IF(ROW(H31)&gt;MAX(Main!$D$4:$D$1048576),"",INDEX(Main!O$4:O$1048576,MATCH(ROW(H31),Main!$D$4:$D$1048576,0)))="",IF(T33="","",U32),IF(ROW(H31)&gt;MAX(Main!$D$4:$D$1048576),"",INDEX(Main!O$4:O$1048576,MATCH(ROW(H31),Main!$D$4:$D$1048576,0))))</f>
        <v/>
      </c>
    </row>
    <row r="34" spans="1:21" x14ac:dyDescent="0.4">
      <c r="A34" t="s">
        <v>21</v>
      </c>
      <c r="B34" s="4" t="str">
        <f>TEXT(IF(ROW(A32)&gt;MAX(Main!$C$4:$C$1048576),"",INDEX(Main!Q$4:Q$1048576,MATCH(ROW(A32),Main!$C$4:$C$1048576,0))), "yyyy/m/d")</f>
        <v/>
      </c>
      <c r="C34" s="1" t="str">
        <f>IF(IF(ROW(A32)&gt;MAX(Main!$C$4:$C$1048576),"",INDEX(Main!G$4:G$1048576,MATCH(ROW(A32),Main!$C$4:$C$1048576,0)))="",IF(B34="","",C33),IF(ROW(A32)&gt;MAX(Main!$C$4:$C$1048576),"",INDEX(Main!G$4:G$1048576,MATCH(ROW(A32),Main!$C$4:$C$1048576,0))))</f>
        <v/>
      </c>
      <c r="D34" s="1" t="str">
        <f>IF(IF(ROW(B32)&gt;MAX(Main!$C$4:$C$1048576),"",INDEX(Main!H$4:H$1048576,MATCH(ROW(B32),Main!$C$4:$C$1048576,0)))="",IF(C34="","",D33),IF(ROW(B32)&gt;MAX(Main!$C$4:$C$1048576),"",INDEX(Main!H$4:H$1048576,MATCH(ROW(B32),Main!$C$4:$C$1048576,0))))</f>
        <v/>
      </c>
      <c r="E34" s="1" t="str">
        <f>IF(IF(ROW(C32)&gt;MAX(Main!$C$4:$C$1048576),"",INDEX(Main!I$4:I$1048576,MATCH(ROW(C32),Main!$C$4:$C$1048576,0)))="",IF(D34="","",E33),IF(ROW(C32)&gt;MAX(Main!$C$4:$C$1048576),"",INDEX(Main!I$4:I$1048576,MATCH(ROW(C32),Main!$C$4:$C$1048576,0))))</f>
        <v/>
      </c>
      <c r="F34" s="1" t="str">
        <f t="shared" si="0"/>
        <v/>
      </c>
      <c r="G34" s="1" t="str">
        <f>IF(IF(ROW(D32)&gt;MAX(Main!$C$4:$C$1048576),"",INDEX(Main!J$4:J$1048576,MATCH(ROW(D32),Main!$C$4:$C$1048576,0)))="",IF(E34="","",G33),IF(ROW(D32)&gt;MAX(Main!$C$4:$C$1048576),"",INDEX(Main!J$4:J$1048576,MATCH(ROW(D32),Main!$C$4:$C$1048576,0))))</f>
        <v/>
      </c>
      <c r="H34" s="10" t="str">
        <f>IF(ROW(G32)&gt;MAX(Main!$C$4:$C$1048576),"",INDEX(Main!K$4:K$1048576,MATCH(ROW(G32),Main!$C$4:$C$1048576,0)))</f>
        <v/>
      </c>
      <c r="I34" s="1" t="str">
        <f>IF(H34&lt;&gt;"",IF(ROW(G32)&gt;MAX(Main!$C$4:$C$1048576),"",INDEX(Main!N$4:N$1048576,MATCH(ROW(G32),Main!$C$4:$C$1048576,0))),"")</f>
        <v/>
      </c>
      <c r="J34" s="1" t="str">
        <f>IF(IF(ROW(H32)&gt;MAX(Main!$C$4:$C$1048576),"",INDEX(Main!O$4:O$1048576,MATCH(ROW(H32),Main!$C$4:$C$1048576,0)))="",IF(I34="","",J33),IF(ROW(H32)&gt;MAX(Main!$C$4:$C$1048576),"",INDEX(Main!O$4:O$1048576,MATCH(ROW(H32),Main!$C$4:$C$1048576,0))))</f>
        <v/>
      </c>
      <c r="K34" s="27" t="str">
        <f t="shared" si="1"/>
        <v>例目</v>
      </c>
      <c r="M34" s="4" t="str">
        <f>TEXT(IF(ROW(A32)&gt;MAX(Main!$D$4:$D$1048576),"",INDEX(Main!Q$4:Q$1048576,MATCH(ROW(A32),Main!$D$4:$D$1048576,0))), "yyyy/m/d")</f>
        <v/>
      </c>
      <c r="N34" s="1" t="str">
        <f>IF(IF(ROW(A32)&gt;MAX(Main!$D$4:$D$1048576),"",INDEX(Main!G$4:G$1048576,MATCH(ROW(A32),Main!$D$4:$D$1048576,0)))="",IF(M34="","",N33),IF(ROW(A32)&gt;MAX(Main!$D$4:$D$1048576),"",INDEX(Main!G$4:G$1048576,MATCH(ROW(A32),Main!$D$4:$D$1048576,0))))</f>
        <v/>
      </c>
      <c r="O34" s="1" t="str">
        <f>IF(IF(ROW(B32)&gt;MAX(Main!$D$4:$D$1048576),"",INDEX(Main!H$4:H$1048576,MATCH(ROW(B32),Main!$D$4:$D$1048576,0)))="",IF(N34="","",O33),IF(ROW(B32)&gt;MAX(Main!$D$4:$D$1048576),"",INDEX(Main!H$4:H$1048576,MATCH(ROW(B32),Main!$D$4:$D$1048576,0))))</f>
        <v/>
      </c>
      <c r="P34" s="1" t="str">
        <f>IF(IF(ROW(C32)&gt;MAX(Main!$D$4:$D$1048576),"",INDEX(Main!I$4:I$1048576,MATCH(ROW(C32),Main!$D$4:$D$1048576,0)))="",IF(O34="","",P33),IF(ROW(C32)&gt;MAX(Main!$D$4:$D$1048576),"",INDEX(Main!I$4:I$1048576,MATCH(ROW(C32),Main!$D$4:$D$1048576,0))))</f>
        <v/>
      </c>
      <c r="Q34" s="1" t="str">
        <f t="shared" si="2"/>
        <v/>
      </c>
      <c r="R34" s="1" t="str">
        <f>IF(IF(ROW(D32)&gt;MAX(Main!$D$4:$D$1048576),"",INDEX(Main!J$4:J$1048576,MATCH(ROW(D32),Main!$D$4:$D$1048576,0)))="",IF(P34="","",R33),IF(ROW(D32)&gt;MAX(Main!$D$4:$D$1048576),"",INDEX(Main!J$4:J$1048576,MATCH(ROW(D32),Main!$D$4:$D$1048576,0))))</f>
        <v/>
      </c>
      <c r="S34" s="9" t="str">
        <f>IF(ROW(G32)&gt;MAX(Main!$D$4:$D$1048576),"",INDEX(Main!K$4:K$1048576,MATCH(ROW(G32),Main!$D$4:$D$1048576,0)))</f>
        <v/>
      </c>
      <c r="T34" s="1" t="str">
        <f>IF(S34&lt;&gt;"",IF(ROW(G32)&gt;MAX(Main!$D$4:$D$1048576),"",INDEX(Main!N$4:N$1048576,MATCH(ROW(G32),Main!$D$4:$D$1048576,0))),"")</f>
        <v/>
      </c>
      <c r="U34" s="1" t="str">
        <f>IF(IF(ROW(H32)&gt;MAX(Main!$D$4:$D$1048576),"",INDEX(Main!O$4:O$1048576,MATCH(ROW(H32),Main!$D$4:$D$1048576,0)))="",IF(T34="","",U33),IF(ROW(H32)&gt;MAX(Main!$D$4:$D$1048576),"",INDEX(Main!O$4:O$1048576,MATCH(ROW(H32),Main!$D$4:$D$1048576,0))))</f>
        <v/>
      </c>
    </row>
    <row r="35" spans="1:21" x14ac:dyDescent="0.4">
      <c r="A35" t="s">
        <v>21</v>
      </c>
      <c r="B35" s="4" t="str">
        <f>TEXT(IF(ROW(A33)&gt;MAX(Main!$C$4:$C$1048576),"",INDEX(Main!Q$4:Q$1048576,MATCH(ROW(A33),Main!$C$4:$C$1048576,0))), "yyyy/m/d")</f>
        <v/>
      </c>
      <c r="C35" s="1" t="str">
        <f>IF(IF(ROW(A33)&gt;MAX(Main!$C$4:$C$1048576),"",INDEX(Main!G$4:G$1048576,MATCH(ROW(A33),Main!$C$4:$C$1048576,0)))="",IF(B35="","",C34),IF(ROW(A33)&gt;MAX(Main!$C$4:$C$1048576),"",INDEX(Main!G$4:G$1048576,MATCH(ROW(A33),Main!$C$4:$C$1048576,0))))</f>
        <v/>
      </c>
      <c r="D35" s="1" t="str">
        <f>IF(IF(ROW(B33)&gt;MAX(Main!$C$4:$C$1048576),"",INDEX(Main!H$4:H$1048576,MATCH(ROW(B33),Main!$C$4:$C$1048576,0)))="",IF(C35="","",D34),IF(ROW(B33)&gt;MAX(Main!$C$4:$C$1048576),"",INDEX(Main!H$4:H$1048576,MATCH(ROW(B33),Main!$C$4:$C$1048576,0))))</f>
        <v/>
      </c>
      <c r="E35" s="1" t="str">
        <f>IF(IF(ROW(C33)&gt;MAX(Main!$C$4:$C$1048576),"",INDEX(Main!I$4:I$1048576,MATCH(ROW(C33),Main!$C$4:$C$1048576,0)))="",IF(D35="","",E34),IF(ROW(C33)&gt;MAX(Main!$C$4:$C$1048576),"",INDEX(Main!I$4:I$1048576,MATCH(ROW(C33),Main!$C$4:$C$1048576,0))))</f>
        <v/>
      </c>
      <c r="F35" s="1" t="str">
        <f t="shared" si="0"/>
        <v/>
      </c>
      <c r="G35" s="1" t="str">
        <f>IF(IF(ROW(D33)&gt;MAX(Main!$C$4:$C$1048576),"",INDEX(Main!J$4:J$1048576,MATCH(ROW(D33),Main!$C$4:$C$1048576,0)))="",IF(E35="","",G34),IF(ROW(D33)&gt;MAX(Main!$C$4:$C$1048576),"",INDEX(Main!J$4:J$1048576,MATCH(ROW(D33),Main!$C$4:$C$1048576,0))))</f>
        <v/>
      </c>
      <c r="H35" s="10" t="str">
        <f>IF(ROW(G33)&gt;MAX(Main!$C$4:$C$1048576),"",INDEX(Main!K$4:K$1048576,MATCH(ROW(G33),Main!$C$4:$C$1048576,0)))</f>
        <v/>
      </c>
      <c r="I35" s="1" t="str">
        <f>IF(H35&lt;&gt;"",IF(ROW(G33)&gt;MAX(Main!$C$4:$C$1048576),"",INDEX(Main!N$4:N$1048576,MATCH(ROW(G33),Main!$C$4:$C$1048576,0))),"")</f>
        <v/>
      </c>
      <c r="J35" s="1" t="str">
        <f>IF(IF(ROW(H33)&gt;MAX(Main!$C$4:$C$1048576),"",INDEX(Main!O$4:O$1048576,MATCH(ROW(H33),Main!$C$4:$C$1048576,0)))="",IF(I35="","",J34),IF(ROW(H33)&gt;MAX(Main!$C$4:$C$1048576),"",INDEX(Main!O$4:O$1048576,MATCH(ROW(H33),Main!$C$4:$C$1048576,0))))</f>
        <v/>
      </c>
      <c r="K35" s="27" t="str">
        <f t="shared" si="1"/>
        <v>例目</v>
      </c>
      <c r="M35" s="4" t="str">
        <f>TEXT(IF(ROW(A33)&gt;MAX(Main!$D$4:$D$1048576),"",INDEX(Main!Q$4:Q$1048576,MATCH(ROW(A33),Main!$D$4:$D$1048576,0))), "yyyy/m/d")</f>
        <v/>
      </c>
      <c r="N35" s="1" t="str">
        <f>IF(IF(ROW(A33)&gt;MAX(Main!$D$4:$D$1048576),"",INDEX(Main!G$4:G$1048576,MATCH(ROW(A33),Main!$D$4:$D$1048576,0)))="",IF(M35="","",N34),IF(ROW(A33)&gt;MAX(Main!$D$4:$D$1048576),"",INDEX(Main!G$4:G$1048576,MATCH(ROW(A33),Main!$D$4:$D$1048576,0))))</f>
        <v/>
      </c>
      <c r="O35" s="1" t="str">
        <f>IF(IF(ROW(B33)&gt;MAX(Main!$D$4:$D$1048576),"",INDEX(Main!H$4:H$1048576,MATCH(ROW(B33),Main!$D$4:$D$1048576,0)))="",IF(N35="","",O34),IF(ROW(B33)&gt;MAX(Main!$D$4:$D$1048576),"",INDEX(Main!H$4:H$1048576,MATCH(ROW(B33),Main!$D$4:$D$1048576,0))))</f>
        <v/>
      </c>
      <c r="P35" s="1" t="str">
        <f>IF(IF(ROW(C33)&gt;MAX(Main!$D$4:$D$1048576),"",INDEX(Main!I$4:I$1048576,MATCH(ROW(C33),Main!$D$4:$D$1048576,0)))="",IF(O35="","",P34),IF(ROW(C33)&gt;MAX(Main!$D$4:$D$1048576),"",INDEX(Main!I$4:I$1048576,MATCH(ROW(C33),Main!$D$4:$D$1048576,0))))</f>
        <v/>
      </c>
      <c r="Q35" s="1" t="str">
        <f t="shared" si="2"/>
        <v/>
      </c>
      <c r="R35" s="1" t="str">
        <f>IF(IF(ROW(D33)&gt;MAX(Main!$D$4:$D$1048576),"",INDEX(Main!J$4:J$1048576,MATCH(ROW(D33),Main!$D$4:$D$1048576,0)))="",IF(P35="","",R34),IF(ROW(D33)&gt;MAX(Main!$D$4:$D$1048576),"",INDEX(Main!J$4:J$1048576,MATCH(ROW(D33),Main!$D$4:$D$1048576,0))))</f>
        <v/>
      </c>
      <c r="S35" s="9" t="str">
        <f>IF(ROW(G33)&gt;MAX(Main!$D$4:$D$1048576),"",INDEX(Main!K$4:K$1048576,MATCH(ROW(G33),Main!$D$4:$D$1048576,0)))</f>
        <v/>
      </c>
      <c r="T35" s="1" t="str">
        <f>IF(S35&lt;&gt;"",IF(ROW(G33)&gt;MAX(Main!$D$4:$D$1048576),"",INDEX(Main!N$4:N$1048576,MATCH(ROW(G33),Main!$D$4:$D$1048576,0))),"")</f>
        <v/>
      </c>
      <c r="U35" s="1" t="str">
        <f>IF(IF(ROW(H33)&gt;MAX(Main!$D$4:$D$1048576),"",INDEX(Main!O$4:O$1048576,MATCH(ROW(H33),Main!$D$4:$D$1048576,0)))="",IF(T35="","",U34),IF(ROW(H33)&gt;MAX(Main!$D$4:$D$1048576),"",INDEX(Main!O$4:O$1048576,MATCH(ROW(H33),Main!$D$4:$D$1048576,0))))</f>
        <v/>
      </c>
    </row>
    <row r="36" spans="1:21" x14ac:dyDescent="0.4">
      <c r="A36" t="s">
        <v>21</v>
      </c>
      <c r="B36" s="4" t="str">
        <f>TEXT(IF(ROW(A34)&gt;MAX(Main!$C$4:$C$1048576),"",INDEX(Main!Q$4:Q$1048576,MATCH(ROW(A34),Main!$C$4:$C$1048576,0))), "yyyy/m/d")</f>
        <v/>
      </c>
      <c r="C36" s="1" t="str">
        <f>IF(IF(ROW(A34)&gt;MAX(Main!$C$4:$C$1048576),"",INDEX(Main!G$4:G$1048576,MATCH(ROW(A34),Main!$C$4:$C$1048576,0)))="",IF(B36="","",C35),IF(ROW(A34)&gt;MAX(Main!$C$4:$C$1048576),"",INDEX(Main!G$4:G$1048576,MATCH(ROW(A34),Main!$C$4:$C$1048576,0))))</f>
        <v/>
      </c>
      <c r="D36" s="1" t="str">
        <f>IF(IF(ROW(B34)&gt;MAX(Main!$C$4:$C$1048576),"",INDEX(Main!H$4:H$1048576,MATCH(ROW(B34),Main!$C$4:$C$1048576,0)))="",IF(C36="","",D35),IF(ROW(B34)&gt;MAX(Main!$C$4:$C$1048576),"",INDEX(Main!H$4:H$1048576,MATCH(ROW(B34),Main!$C$4:$C$1048576,0))))</f>
        <v/>
      </c>
      <c r="E36" s="1" t="str">
        <f>IF(IF(ROW(C34)&gt;MAX(Main!$C$4:$C$1048576),"",INDEX(Main!I$4:I$1048576,MATCH(ROW(C34),Main!$C$4:$C$1048576,0)))="",IF(D36="","",E35),IF(ROW(C34)&gt;MAX(Main!$C$4:$C$1048576),"",INDEX(Main!I$4:I$1048576,MATCH(ROW(C34),Main!$C$4:$C$1048576,0))))</f>
        <v/>
      </c>
      <c r="F36" s="1" t="str">
        <f t="shared" si="0"/>
        <v/>
      </c>
      <c r="G36" s="1" t="str">
        <f>IF(IF(ROW(D34)&gt;MAX(Main!$C$4:$C$1048576),"",INDEX(Main!J$4:J$1048576,MATCH(ROW(D34),Main!$C$4:$C$1048576,0)))="",IF(E36="","",G35),IF(ROW(D34)&gt;MAX(Main!$C$4:$C$1048576),"",INDEX(Main!J$4:J$1048576,MATCH(ROW(D34),Main!$C$4:$C$1048576,0))))</f>
        <v/>
      </c>
      <c r="H36" s="10" t="str">
        <f>IF(ROW(G34)&gt;MAX(Main!$C$4:$C$1048576),"",INDEX(Main!K$4:K$1048576,MATCH(ROW(G34),Main!$C$4:$C$1048576,0)))</f>
        <v/>
      </c>
      <c r="I36" s="1" t="str">
        <f>IF(H36&lt;&gt;"",IF(ROW(G34)&gt;MAX(Main!$C$4:$C$1048576),"",INDEX(Main!N$4:N$1048576,MATCH(ROW(G34),Main!$C$4:$C$1048576,0))),"")</f>
        <v/>
      </c>
      <c r="J36" s="1" t="str">
        <f>IF(IF(ROW(H34)&gt;MAX(Main!$C$4:$C$1048576),"",INDEX(Main!O$4:O$1048576,MATCH(ROW(H34),Main!$C$4:$C$1048576,0)))="",IF(I36="","",J35),IF(ROW(H34)&gt;MAX(Main!$C$4:$C$1048576),"",INDEX(Main!O$4:O$1048576,MATCH(ROW(H34),Main!$C$4:$C$1048576,0))))</f>
        <v/>
      </c>
      <c r="K36" s="27" t="str">
        <f t="shared" si="1"/>
        <v>例目</v>
      </c>
      <c r="M36" s="4" t="str">
        <f>TEXT(IF(ROW(A34)&gt;MAX(Main!$D$4:$D$1048576),"",INDEX(Main!Q$4:Q$1048576,MATCH(ROW(A34),Main!$D$4:$D$1048576,0))), "yyyy/m/d")</f>
        <v/>
      </c>
      <c r="N36" s="1" t="str">
        <f>IF(IF(ROW(A34)&gt;MAX(Main!$D$4:$D$1048576),"",INDEX(Main!G$4:G$1048576,MATCH(ROW(A34),Main!$D$4:$D$1048576,0)))="",IF(M36="","",N35),IF(ROW(A34)&gt;MAX(Main!$D$4:$D$1048576),"",INDEX(Main!G$4:G$1048576,MATCH(ROW(A34),Main!$D$4:$D$1048576,0))))</f>
        <v/>
      </c>
      <c r="O36" s="1" t="str">
        <f>IF(IF(ROW(B34)&gt;MAX(Main!$D$4:$D$1048576),"",INDEX(Main!H$4:H$1048576,MATCH(ROW(B34),Main!$D$4:$D$1048576,0)))="",IF(N36="","",O35),IF(ROW(B34)&gt;MAX(Main!$D$4:$D$1048576),"",INDEX(Main!H$4:H$1048576,MATCH(ROW(B34),Main!$D$4:$D$1048576,0))))</f>
        <v/>
      </c>
      <c r="P36" s="1" t="str">
        <f>IF(IF(ROW(C34)&gt;MAX(Main!$D$4:$D$1048576),"",INDEX(Main!I$4:I$1048576,MATCH(ROW(C34),Main!$D$4:$D$1048576,0)))="",IF(O36="","",P35),IF(ROW(C34)&gt;MAX(Main!$D$4:$D$1048576),"",INDEX(Main!I$4:I$1048576,MATCH(ROW(C34),Main!$D$4:$D$1048576,0))))</f>
        <v/>
      </c>
      <c r="Q36" s="1" t="str">
        <f t="shared" si="2"/>
        <v/>
      </c>
      <c r="R36" s="1" t="str">
        <f>IF(IF(ROW(D34)&gt;MAX(Main!$D$4:$D$1048576),"",INDEX(Main!J$4:J$1048576,MATCH(ROW(D34),Main!$D$4:$D$1048576,0)))="",IF(P36="","",R35),IF(ROW(D34)&gt;MAX(Main!$D$4:$D$1048576),"",INDEX(Main!J$4:J$1048576,MATCH(ROW(D34),Main!$D$4:$D$1048576,0))))</f>
        <v/>
      </c>
      <c r="S36" s="9" t="str">
        <f>IF(ROW(G34)&gt;MAX(Main!$D$4:$D$1048576),"",INDEX(Main!K$4:K$1048576,MATCH(ROW(G34),Main!$D$4:$D$1048576,0)))</f>
        <v/>
      </c>
      <c r="T36" s="1" t="str">
        <f>IF(S36&lt;&gt;"",IF(ROW(G34)&gt;MAX(Main!$D$4:$D$1048576),"",INDEX(Main!N$4:N$1048576,MATCH(ROW(G34),Main!$D$4:$D$1048576,0))),"")</f>
        <v/>
      </c>
      <c r="U36" s="1" t="str">
        <f>IF(IF(ROW(H34)&gt;MAX(Main!$D$4:$D$1048576),"",INDEX(Main!O$4:O$1048576,MATCH(ROW(H34),Main!$D$4:$D$1048576,0)))="",IF(T36="","",U35),IF(ROW(H34)&gt;MAX(Main!$D$4:$D$1048576),"",INDEX(Main!O$4:O$1048576,MATCH(ROW(H34),Main!$D$4:$D$1048576,0))))</f>
        <v/>
      </c>
    </row>
    <row r="37" spans="1:21" x14ac:dyDescent="0.4">
      <c r="A37" t="s">
        <v>21</v>
      </c>
      <c r="B37" s="4" t="str">
        <f>TEXT(IF(ROW(A35)&gt;MAX(Main!$C$4:$C$1048576),"",INDEX(Main!Q$4:Q$1048576,MATCH(ROW(A35),Main!$C$4:$C$1048576,0))), "yyyy/m/d")</f>
        <v/>
      </c>
      <c r="C37" s="1" t="str">
        <f>IF(IF(ROW(A35)&gt;MAX(Main!$C$4:$C$1048576),"",INDEX(Main!G$4:G$1048576,MATCH(ROW(A35),Main!$C$4:$C$1048576,0)))="",IF(B37="","",C36),IF(ROW(A35)&gt;MAX(Main!$C$4:$C$1048576),"",INDEX(Main!G$4:G$1048576,MATCH(ROW(A35),Main!$C$4:$C$1048576,0))))</f>
        <v/>
      </c>
      <c r="D37" s="1" t="str">
        <f>IF(IF(ROW(B35)&gt;MAX(Main!$C$4:$C$1048576),"",INDEX(Main!H$4:H$1048576,MATCH(ROW(B35),Main!$C$4:$C$1048576,0)))="",IF(C37="","",D36),IF(ROW(B35)&gt;MAX(Main!$C$4:$C$1048576),"",INDEX(Main!H$4:H$1048576,MATCH(ROW(B35),Main!$C$4:$C$1048576,0))))</f>
        <v/>
      </c>
      <c r="E37" s="1" t="str">
        <f>IF(IF(ROW(C35)&gt;MAX(Main!$C$4:$C$1048576),"",INDEX(Main!I$4:I$1048576,MATCH(ROW(C35),Main!$C$4:$C$1048576,0)))="",IF(D37="","",E36),IF(ROW(C35)&gt;MAX(Main!$C$4:$C$1048576),"",INDEX(Main!I$4:I$1048576,MATCH(ROW(C35),Main!$C$4:$C$1048576,0))))</f>
        <v/>
      </c>
      <c r="F37" s="1" t="str">
        <f t="shared" si="0"/>
        <v/>
      </c>
      <c r="G37" s="1" t="str">
        <f>IF(IF(ROW(D35)&gt;MAX(Main!$C$4:$C$1048576),"",INDEX(Main!J$4:J$1048576,MATCH(ROW(D35),Main!$C$4:$C$1048576,0)))="",IF(E37="","",G36),IF(ROW(D35)&gt;MAX(Main!$C$4:$C$1048576),"",INDEX(Main!J$4:J$1048576,MATCH(ROW(D35),Main!$C$4:$C$1048576,0))))</f>
        <v/>
      </c>
      <c r="H37" s="10" t="str">
        <f>IF(ROW(G35)&gt;MAX(Main!$C$4:$C$1048576),"",INDEX(Main!K$4:K$1048576,MATCH(ROW(G35),Main!$C$4:$C$1048576,0)))</f>
        <v/>
      </c>
      <c r="I37" s="1" t="str">
        <f>IF(H37&lt;&gt;"",IF(ROW(G35)&gt;MAX(Main!$C$4:$C$1048576),"",INDEX(Main!N$4:N$1048576,MATCH(ROW(G35),Main!$C$4:$C$1048576,0))),"")</f>
        <v/>
      </c>
      <c r="J37" s="1" t="str">
        <f>IF(IF(ROW(H35)&gt;MAX(Main!$C$4:$C$1048576),"",INDEX(Main!O$4:O$1048576,MATCH(ROW(H35),Main!$C$4:$C$1048576,0)))="",IF(I37="","",J36),IF(ROW(H35)&gt;MAX(Main!$C$4:$C$1048576),"",INDEX(Main!O$4:O$1048576,MATCH(ROW(H35),Main!$C$4:$C$1048576,0))))</f>
        <v/>
      </c>
      <c r="K37" s="27" t="str">
        <f t="shared" si="1"/>
        <v>例目</v>
      </c>
      <c r="M37" s="4" t="str">
        <f>TEXT(IF(ROW(A35)&gt;MAX(Main!$D$4:$D$1048576),"",INDEX(Main!Q$4:Q$1048576,MATCH(ROW(A35),Main!$D$4:$D$1048576,0))), "yyyy/m/d")</f>
        <v/>
      </c>
      <c r="N37" s="1" t="str">
        <f>IF(IF(ROW(A35)&gt;MAX(Main!$D$4:$D$1048576),"",INDEX(Main!G$4:G$1048576,MATCH(ROW(A35),Main!$D$4:$D$1048576,0)))="",IF(M37="","",N36),IF(ROW(A35)&gt;MAX(Main!$D$4:$D$1048576),"",INDEX(Main!G$4:G$1048576,MATCH(ROW(A35),Main!$D$4:$D$1048576,0))))</f>
        <v/>
      </c>
      <c r="O37" s="1" t="str">
        <f>IF(IF(ROW(B35)&gt;MAX(Main!$D$4:$D$1048576),"",INDEX(Main!H$4:H$1048576,MATCH(ROW(B35),Main!$D$4:$D$1048576,0)))="",IF(N37="","",O36),IF(ROW(B35)&gt;MAX(Main!$D$4:$D$1048576),"",INDEX(Main!H$4:H$1048576,MATCH(ROW(B35),Main!$D$4:$D$1048576,0))))</f>
        <v/>
      </c>
      <c r="P37" s="1" t="str">
        <f>IF(IF(ROW(C35)&gt;MAX(Main!$D$4:$D$1048576),"",INDEX(Main!I$4:I$1048576,MATCH(ROW(C35),Main!$D$4:$D$1048576,0)))="",IF(O37="","",P36),IF(ROW(C35)&gt;MAX(Main!$D$4:$D$1048576),"",INDEX(Main!I$4:I$1048576,MATCH(ROW(C35),Main!$D$4:$D$1048576,0))))</f>
        <v/>
      </c>
      <c r="Q37" s="1" t="str">
        <f t="shared" si="2"/>
        <v/>
      </c>
      <c r="R37" s="1" t="str">
        <f>IF(IF(ROW(D35)&gt;MAX(Main!$D$4:$D$1048576),"",INDEX(Main!J$4:J$1048576,MATCH(ROW(D35),Main!$D$4:$D$1048576,0)))="",IF(P37="","",R36),IF(ROW(D35)&gt;MAX(Main!$D$4:$D$1048576),"",INDEX(Main!J$4:J$1048576,MATCH(ROW(D35),Main!$D$4:$D$1048576,0))))</f>
        <v/>
      </c>
      <c r="S37" s="9" t="str">
        <f>IF(ROW(G35)&gt;MAX(Main!$D$4:$D$1048576),"",INDEX(Main!K$4:K$1048576,MATCH(ROW(G35),Main!$D$4:$D$1048576,0)))</f>
        <v/>
      </c>
      <c r="T37" s="1" t="str">
        <f>IF(S37&lt;&gt;"",IF(ROW(G35)&gt;MAX(Main!$D$4:$D$1048576),"",INDEX(Main!N$4:N$1048576,MATCH(ROW(G35),Main!$D$4:$D$1048576,0))),"")</f>
        <v/>
      </c>
      <c r="U37" s="1" t="str">
        <f>IF(IF(ROW(H35)&gt;MAX(Main!$D$4:$D$1048576),"",INDEX(Main!O$4:O$1048576,MATCH(ROW(H35),Main!$D$4:$D$1048576,0)))="",IF(T37="","",U36),IF(ROW(H35)&gt;MAX(Main!$D$4:$D$1048576),"",INDEX(Main!O$4:O$1048576,MATCH(ROW(H35),Main!$D$4:$D$1048576,0))))</f>
        <v/>
      </c>
    </row>
    <row r="38" spans="1:21" x14ac:dyDescent="0.4">
      <c r="A38" t="s">
        <v>21</v>
      </c>
      <c r="B38" s="4" t="str">
        <f>TEXT(IF(ROW(A36)&gt;MAX(Main!$C$4:$C$1048576),"",INDEX(Main!Q$4:Q$1048576,MATCH(ROW(A36),Main!$C$4:$C$1048576,0))), "yyyy/m/d")</f>
        <v/>
      </c>
      <c r="C38" s="1" t="str">
        <f>IF(IF(ROW(A36)&gt;MAX(Main!$C$4:$C$1048576),"",INDEX(Main!G$4:G$1048576,MATCH(ROW(A36),Main!$C$4:$C$1048576,0)))="",IF(B38="","",C37),IF(ROW(A36)&gt;MAX(Main!$C$4:$C$1048576),"",INDEX(Main!G$4:G$1048576,MATCH(ROW(A36),Main!$C$4:$C$1048576,0))))</f>
        <v/>
      </c>
      <c r="D38" s="1" t="str">
        <f>IF(IF(ROW(B36)&gt;MAX(Main!$C$4:$C$1048576),"",INDEX(Main!H$4:H$1048576,MATCH(ROW(B36),Main!$C$4:$C$1048576,0)))="",IF(C38="","",D37),IF(ROW(B36)&gt;MAX(Main!$C$4:$C$1048576),"",INDEX(Main!H$4:H$1048576,MATCH(ROW(B36),Main!$C$4:$C$1048576,0))))</f>
        <v/>
      </c>
      <c r="E38" s="1" t="str">
        <f>IF(IF(ROW(C36)&gt;MAX(Main!$C$4:$C$1048576),"",INDEX(Main!I$4:I$1048576,MATCH(ROW(C36),Main!$C$4:$C$1048576,0)))="",IF(D38="","",E37),IF(ROW(C36)&gt;MAX(Main!$C$4:$C$1048576),"",INDEX(Main!I$4:I$1048576,MATCH(ROW(C36),Main!$C$4:$C$1048576,0))))</f>
        <v/>
      </c>
      <c r="F38" s="1" t="str">
        <f t="shared" si="0"/>
        <v/>
      </c>
      <c r="G38" s="1" t="str">
        <f>IF(IF(ROW(D36)&gt;MAX(Main!$C$4:$C$1048576),"",INDEX(Main!J$4:J$1048576,MATCH(ROW(D36),Main!$C$4:$C$1048576,0)))="",IF(E38="","",G37),IF(ROW(D36)&gt;MAX(Main!$C$4:$C$1048576),"",INDEX(Main!J$4:J$1048576,MATCH(ROW(D36),Main!$C$4:$C$1048576,0))))</f>
        <v/>
      </c>
      <c r="H38" s="10" t="str">
        <f>IF(ROW(G36)&gt;MAX(Main!$C$4:$C$1048576),"",INDEX(Main!K$4:K$1048576,MATCH(ROW(G36),Main!$C$4:$C$1048576,0)))</f>
        <v/>
      </c>
      <c r="I38" s="1" t="str">
        <f>IF(H38&lt;&gt;"",IF(ROW(G36)&gt;MAX(Main!$C$4:$C$1048576),"",INDEX(Main!N$4:N$1048576,MATCH(ROW(G36),Main!$C$4:$C$1048576,0))),"")</f>
        <v/>
      </c>
      <c r="J38" s="1" t="str">
        <f>IF(IF(ROW(H36)&gt;MAX(Main!$C$4:$C$1048576),"",INDEX(Main!O$4:O$1048576,MATCH(ROW(H36),Main!$C$4:$C$1048576,0)))="",IF(I38="","",J37),IF(ROW(H36)&gt;MAX(Main!$C$4:$C$1048576),"",INDEX(Main!O$4:O$1048576,MATCH(ROW(H36),Main!$C$4:$C$1048576,0))))</f>
        <v/>
      </c>
      <c r="K38" s="27" t="str">
        <f t="shared" si="1"/>
        <v>例目</v>
      </c>
      <c r="M38" s="4" t="str">
        <f>TEXT(IF(ROW(A36)&gt;MAX(Main!$D$4:$D$1048576),"",INDEX(Main!Q$4:Q$1048576,MATCH(ROW(A36),Main!$D$4:$D$1048576,0))), "yyyy/m/d")</f>
        <v/>
      </c>
      <c r="N38" s="1" t="str">
        <f>IF(IF(ROW(A36)&gt;MAX(Main!$D$4:$D$1048576),"",INDEX(Main!G$4:G$1048576,MATCH(ROW(A36),Main!$D$4:$D$1048576,0)))="",IF(M38="","",N37),IF(ROW(A36)&gt;MAX(Main!$D$4:$D$1048576),"",INDEX(Main!G$4:G$1048576,MATCH(ROW(A36),Main!$D$4:$D$1048576,0))))</f>
        <v/>
      </c>
      <c r="O38" s="1" t="str">
        <f>IF(IF(ROW(B36)&gt;MAX(Main!$D$4:$D$1048576),"",INDEX(Main!H$4:H$1048576,MATCH(ROW(B36),Main!$D$4:$D$1048576,0)))="",IF(N38="","",O37),IF(ROW(B36)&gt;MAX(Main!$D$4:$D$1048576),"",INDEX(Main!H$4:H$1048576,MATCH(ROW(B36),Main!$D$4:$D$1048576,0))))</f>
        <v/>
      </c>
      <c r="P38" s="1" t="str">
        <f>IF(IF(ROW(C36)&gt;MAX(Main!$D$4:$D$1048576),"",INDEX(Main!I$4:I$1048576,MATCH(ROW(C36),Main!$D$4:$D$1048576,0)))="",IF(O38="","",P37),IF(ROW(C36)&gt;MAX(Main!$D$4:$D$1048576),"",INDEX(Main!I$4:I$1048576,MATCH(ROW(C36),Main!$D$4:$D$1048576,0))))</f>
        <v/>
      </c>
      <c r="Q38" s="1" t="str">
        <f t="shared" si="2"/>
        <v/>
      </c>
      <c r="R38" s="1" t="str">
        <f>IF(IF(ROW(D36)&gt;MAX(Main!$D$4:$D$1048576),"",INDEX(Main!J$4:J$1048576,MATCH(ROW(D36),Main!$D$4:$D$1048576,0)))="",IF(P38="","",R37),IF(ROW(D36)&gt;MAX(Main!$D$4:$D$1048576),"",INDEX(Main!J$4:J$1048576,MATCH(ROW(D36),Main!$D$4:$D$1048576,0))))</f>
        <v/>
      </c>
      <c r="S38" s="9" t="str">
        <f>IF(ROW(G36)&gt;MAX(Main!$D$4:$D$1048576),"",INDEX(Main!K$4:K$1048576,MATCH(ROW(G36),Main!$D$4:$D$1048576,0)))</f>
        <v/>
      </c>
      <c r="T38" s="1" t="str">
        <f>IF(S38&lt;&gt;"",IF(ROW(G36)&gt;MAX(Main!$D$4:$D$1048576),"",INDEX(Main!N$4:N$1048576,MATCH(ROW(G36),Main!$D$4:$D$1048576,0))),"")</f>
        <v/>
      </c>
      <c r="U38" s="1" t="str">
        <f>IF(IF(ROW(H36)&gt;MAX(Main!$D$4:$D$1048576),"",INDEX(Main!O$4:O$1048576,MATCH(ROW(H36),Main!$D$4:$D$1048576,0)))="",IF(T38="","",U37),IF(ROW(H36)&gt;MAX(Main!$D$4:$D$1048576),"",INDEX(Main!O$4:O$1048576,MATCH(ROW(H36),Main!$D$4:$D$1048576,0))))</f>
        <v/>
      </c>
    </row>
    <row r="39" spans="1:21" x14ac:dyDescent="0.4">
      <c r="A39" t="s">
        <v>21</v>
      </c>
      <c r="B39" s="4" t="str">
        <f>TEXT(IF(ROW(A37)&gt;MAX(Main!$C$4:$C$1048576),"",INDEX(Main!Q$4:Q$1048576,MATCH(ROW(A37),Main!$C$4:$C$1048576,0))), "yyyy/m/d")</f>
        <v/>
      </c>
      <c r="C39" s="1" t="str">
        <f>IF(IF(ROW(A37)&gt;MAX(Main!$C$4:$C$1048576),"",INDEX(Main!G$4:G$1048576,MATCH(ROW(A37),Main!$C$4:$C$1048576,0)))="",IF(B39="","",C38),IF(ROW(A37)&gt;MAX(Main!$C$4:$C$1048576),"",INDEX(Main!G$4:G$1048576,MATCH(ROW(A37),Main!$C$4:$C$1048576,0))))</f>
        <v/>
      </c>
      <c r="D39" s="1" t="str">
        <f>IF(IF(ROW(B37)&gt;MAX(Main!$C$4:$C$1048576),"",INDEX(Main!H$4:H$1048576,MATCH(ROW(B37),Main!$C$4:$C$1048576,0)))="",IF(C39="","",D38),IF(ROW(B37)&gt;MAX(Main!$C$4:$C$1048576),"",INDEX(Main!H$4:H$1048576,MATCH(ROW(B37),Main!$C$4:$C$1048576,0))))</f>
        <v/>
      </c>
      <c r="E39" s="1" t="str">
        <f>IF(IF(ROW(C37)&gt;MAX(Main!$C$4:$C$1048576),"",INDEX(Main!I$4:I$1048576,MATCH(ROW(C37),Main!$C$4:$C$1048576,0)))="",IF(D39="","",E38),IF(ROW(C37)&gt;MAX(Main!$C$4:$C$1048576),"",INDEX(Main!I$4:I$1048576,MATCH(ROW(C37),Main!$C$4:$C$1048576,0))))</f>
        <v/>
      </c>
      <c r="F39" s="1" t="str">
        <f t="shared" si="0"/>
        <v/>
      </c>
      <c r="G39" s="1" t="str">
        <f>IF(IF(ROW(D37)&gt;MAX(Main!$C$4:$C$1048576),"",INDEX(Main!J$4:J$1048576,MATCH(ROW(D37),Main!$C$4:$C$1048576,0)))="",IF(E39="","",G38),IF(ROW(D37)&gt;MAX(Main!$C$4:$C$1048576),"",INDEX(Main!J$4:J$1048576,MATCH(ROW(D37),Main!$C$4:$C$1048576,0))))</f>
        <v/>
      </c>
      <c r="H39" s="10" t="str">
        <f>IF(ROW(G37)&gt;MAX(Main!$C$4:$C$1048576),"",INDEX(Main!K$4:K$1048576,MATCH(ROW(G37),Main!$C$4:$C$1048576,0)))</f>
        <v/>
      </c>
      <c r="I39" s="1" t="str">
        <f>IF(H39&lt;&gt;"",IF(ROW(G37)&gt;MAX(Main!$C$4:$C$1048576),"",INDEX(Main!N$4:N$1048576,MATCH(ROW(G37),Main!$C$4:$C$1048576,0))),"")</f>
        <v/>
      </c>
      <c r="J39" s="1" t="str">
        <f>IF(IF(ROW(H37)&gt;MAX(Main!$C$4:$C$1048576),"",INDEX(Main!O$4:O$1048576,MATCH(ROW(H37),Main!$C$4:$C$1048576,0)))="",IF(I39="","",J38),IF(ROW(H37)&gt;MAX(Main!$C$4:$C$1048576),"",INDEX(Main!O$4:O$1048576,MATCH(ROW(H37),Main!$C$4:$C$1048576,0))))</f>
        <v/>
      </c>
      <c r="K39" s="27" t="str">
        <f t="shared" si="1"/>
        <v>例目</v>
      </c>
      <c r="M39" s="4" t="str">
        <f>TEXT(IF(ROW(A37)&gt;MAX(Main!$D$4:$D$1048576),"",INDEX(Main!Q$4:Q$1048576,MATCH(ROW(A37),Main!$D$4:$D$1048576,0))), "yyyy/m/d")</f>
        <v/>
      </c>
      <c r="N39" s="1" t="str">
        <f>IF(IF(ROW(A37)&gt;MAX(Main!$D$4:$D$1048576),"",INDEX(Main!G$4:G$1048576,MATCH(ROW(A37),Main!$D$4:$D$1048576,0)))="",IF(M39="","",N38),IF(ROW(A37)&gt;MAX(Main!$D$4:$D$1048576),"",INDEX(Main!G$4:G$1048576,MATCH(ROW(A37),Main!$D$4:$D$1048576,0))))</f>
        <v/>
      </c>
      <c r="O39" s="1" t="str">
        <f>IF(IF(ROW(B37)&gt;MAX(Main!$D$4:$D$1048576),"",INDEX(Main!H$4:H$1048576,MATCH(ROW(B37),Main!$D$4:$D$1048576,0)))="",IF(N39="","",O38),IF(ROW(B37)&gt;MAX(Main!$D$4:$D$1048576),"",INDEX(Main!H$4:H$1048576,MATCH(ROW(B37),Main!$D$4:$D$1048576,0))))</f>
        <v/>
      </c>
      <c r="P39" s="1" t="str">
        <f>IF(IF(ROW(C37)&gt;MAX(Main!$D$4:$D$1048576),"",INDEX(Main!I$4:I$1048576,MATCH(ROW(C37),Main!$D$4:$D$1048576,0)))="",IF(O39="","",P38),IF(ROW(C37)&gt;MAX(Main!$D$4:$D$1048576),"",INDEX(Main!I$4:I$1048576,MATCH(ROW(C37),Main!$D$4:$D$1048576,0))))</f>
        <v/>
      </c>
      <c r="Q39" s="1" t="str">
        <f t="shared" si="2"/>
        <v/>
      </c>
      <c r="R39" s="1" t="str">
        <f>IF(IF(ROW(D37)&gt;MAX(Main!$D$4:$D$1048576),"",INDEX(Main!J$4:J$1048576,MATCH(ROW(D37),Main!$D$4:$D$1048576,0)))="",IF(P39="","",R38),IF(ROW(D37)&gt;MAX(Main!$D$4:$D$1048576),"",INDEX(Main!J$4:J$1048576,MATCH(ROW(D37),Main!$D$4:$D$1048576,0))))</f>
        <v/>
      </c>
      <c r="S39" s="9" t="str">
        <f>IF(ROW(G37)&gt;MAX(Main!$D$4:$D$1048576),"",INDEX(Main!K$4:K$1048576,MATCH(ROW(G37),Main!$D$4:$D$1048576,0)))</f>
        <v/>
      </c>
      <c r="T39" s="1" t="str">
        <f>IF(S39&lt;&gt;"",IF(ROW(G37)&gt;MAX(Main!$D$4:$D$1048576),"",INDEX(Main!N$4:N$1048576,MATCH(ROW(G37),Main!$D$4:$D$1048576,0))),"")</f>
        <v/>
      </c>
      <c r="U39" s="1" t="str">
        <f>IF(IF(ROW(H37)&gt;MAX(Main!$D$4:$D$1048576),"",INDEX(Main!O$4:O$1048576,MATCH(ROW(H37),Main!$D$4:$D$1048576,0)))="",IF(T39="","",U38),IF(ROW(H37)&gt;MAX(Main!$D$4:$D$1048576),"",INDEX(Main!O$4:O$1048576,MATCH(ROW(H37),Main!$D$4:$D$1048576,0))))</f>
        <v/>
      </c>
    </row>
    <row r="40" spans="1:21" x14ac:dyDescent="0.4">
      <c r="A40" t="s">
        <v>21</v>
      </c>
      <c r="B40" s="4" t="str">
        <f>TEXT(IF(ROW(A38)&gt;MAX(Main!$C$4:$C$1048576),"",INDEX(Main!Q$4:Q$1048576,MATCH(ROW(A38),Main!$C$4:$C$1048576,0))), "yyyy/m/d")</f>
        <v/>
      </c>
      <c r="C40" s="1" t="str">
        <f>IF(IF(ROW(A38)&gt;MAX(Main!$C$4:$C$1048576),"",INDEX(Main!G$4:G$1048576,MATCH(ROW(A38),Main!$C$4:$C$1048576,0)))="",IF(B40="","",C39),IF(ROW(A38)&gt;MAX(Main!$C$4:$C$1048576),"",INDEX(Main!G$4:G$1048576,MATCH(ROW(A38),Main!$C$4:$C$1048576,0))))</f>
        <v/>
      </c>
      <c r="D40" s="1" t="str">
        <f>IF(IF(ROW(B38)&gt;MAX(Main!$C$4:$C$1048576),"",INDEX(Main!H$4:H$1048576,MATCH(ROW(B38),Main!$C$4:$C$1048576,0)))="",IF(C40="","",D39),IF(ROW(B38)&gt;MAX(Main!$C$4:$C$1048576),"",INDEX(Main!H$4:H$1048576,MATCH(ROW(B38),Main!$C$4:$C$1048576,0))))</f>
        <v/>
      </c>
      <c r="E40" s="1" t="str">
        <f>IF(IF(ROW(C38)&gt;MAX(Main!$C$4:$C$1048576),"",INDEX(Main!I$4:I$1048576,MATCH(ROW(C38),Main!$C$4:$C$1048576,0)))="",IF(D40="","",E39),IF(ROW(C38)&gt;MAX(Main!$C$4:$C$1048576),"",INDEX(Main!I$4:I$1048576,MATCH(ROW(C38),Main!$C$4:$C$1048576,0))))</f>
        <v/>
      </c>
      <c r="F40" s="1" t="str">
        <f t="shared" si="0"/>
        <v/>
      </c>
      <c r="G40" s="1" t="str">
        <f>IF(IF(ROW(D38)&gt;MAX(Main!$C$4:$C$1048576),"",INDEX(Main!J$4:J$1048576,MATCH(ROW(D38),Main!$C$4:$C$1048576,0)))="",IF(E40="","",G39),IF(ROW(D38)&gt;MAX(Main!$C$4:$C$1048576),"",INDEX(Main!J$4:J$1048576,MATCH(ROW(D38),Main!$C$4:$C$1048576,0))))</f>
        <v/>
      </c>
      <c r="H40" s="10" t="str">
        <f>IF(ROW(G38)&gt;MAX(Main!$C$4:$C$1048576),"",INDEX(Main!K$4:K$1048576,MATCH(ROW(G38),Main!$C$4:$C$1048576,0)))</f>
        <v/>
      </c>
      <c r="I40" s="1" t="str">
        <f>IF(H40&lt;&gt;"",IF(ROW(G38)&gt;MAX(Main!$C$4:$C$1048576),"",INDEX(Main!N$4:N$1048576,MATCH(ROW(G38),Main!$C$4:$C$1048576,0))),"")</f>
        <v/>
      </c>
      <c r="J40" s="1" t="str">
        <f>IF(IF(ROW(H38)&gt;MAX(Main!$C$4:$C$1048576),"",INDEX(Main!O$4:O$1048576,MATCH(ROW(H38),Main!$C$4:$C$1048576,0)))="",IF(I40="","",J39),IF(ROW(H38)&gt;MAX(Main!$C$4:$C$1048576),"",INDEX(Main!O$4:O$1048576,MATCH(ROW(H38),Main!$C$4:$C$1048576,0))))</f>
        <v/>
      </c>
      <c r="K40" s="27" t="str">
        <f t="shared" si="1"/>
        <v>例目</v>
      </c>
      <c r="M40" s="4" t="str">
        <f>TEXT(IF(ROW(A38)&gt;MAX(Main!$D$4:$D$1048576),"",INDEX(Main!Q$4:Q$1048576,MATCH(ROW(A38),Main!$D$4:$D$1048576,0))), "yyyy/m/d")</f>
        <v/>
      </c>
      <c r="N40" s="1" t="str">
        <f>IF(IF(ROW(A38)&gt;MAX(Main!$D$4:$D$1048576),"",INDEX(Main!G$4:G$1048576,MATCH(ROW(A38),Main!$D$4:$D$1048576,0)))="",IF(M40="","",N39),IF(ROW(A38)&gt;MAX(Main!$D$4:$D$1048576),"",INDEX(Main!G$4:G$1048576,MATCH(ROW(A38),Main!$D$4:$D$1048576,0))))</f>
        <v/>
      </c>
      <c r="O40" s="1" t="str">
        <f>IF(IF(ROW(B38)&gt;MAX(Main!$D$4:$D$1048576),"",INDEX(Main!H$4:H$1048576,MATCH(ROW(B38),Main!$D$4:$D$1048576,0)))="",IF(N40="","",O39),IF(ROW(B38)&gt;MAX(Main!$D$4:$D$1048576),"",INDEX(Main!H$4:H$1048576,MATCH(ROW(B38),Main!$D$4:$D$1048576,0))))</f>
        <v/>
      </c>
      <c r="P40" s="1" t="str">
        <f>IF(IF(ROW(C38)&gt;MAX(Main!$D$4:$D$1048576),"",INDEX(Main!I$4:I$1048576,MATCH(ROW(C38),Main!$D$4:$D$1048576,0)))="",IF(O40="","",P39),IF(ROW(C38)&gt;MAX(Main!$D$4:$D$1048576),"",INDEX(Main!I$4:I$1048576,MATCH(ROW(C38),Main!$D$4:$D$1048576,0))))</f>
        <v/>
      </c>
      <c r="Q40" s="1" t="str">
        <f t="shared" si="2"/>
        <v/>
      </c>
      <c r="R40" s="1" t="str">
        <f>IF(IF(ROW(D38)&gt;MAX(Main!$D$4:$D$1048576),"",INDEX(Main!J$4:J$1048576,MATCH(ROW(D38),Main!$D$4:$D$1048576,0)))="",IF(P40="","",R39),IF(ROW(D38)&gt;MAX(Main!$D$4:$D$1048576),"",INDEX(Main!J$4:J$1048576,MATCH(ROW(D38),Main!$D$4:$D$1048576,0))))</f>
        <v/>
      </c>
      <c r="S40" s="9" t="str">
        <f>IF(ROW(G38)&gt;MAX(Main!$D$4:$D$1048576),"",INDEX(Main!K$4:K$1048576,MATCH(ROW(G38),Main!$D$4:$D$1048576,0)))</f>
        <v/>
      </c>
      <c r="T40" s="1" t="str">
        <f>IF(S40&lt;&gt;"",IF(ROW(G38)&gt;MAX(Main!$D$4:$D$1048576),"",INDEX(Main!N$4:N$1048576,MATCH(ROW(G38),Main!$D$4:$D$1048576,0))),"")</f>
        <v/>
      </c>
      <c r="U40" s="1" t="str">
        <f>IF(IF(ROW(H38)&gt;MAX(Main!$D$4:$D$1048576),"",INDEX(Main!O$4:O$1048576,MATCH(ROW(H38),Main!$D$4:$D$1048576,0)))="",IF(T40="","",U39),IF(ROW(H38)&gt;MAX(Main!$D$4:$D$1048576),"",INDEX(Main!O$4:O$1048576,MATCH(ROW(H38),Main!$D$4:$D$1048576,0))))</f>
        <v/>
      </c>
    </row>
    <row r="41" spans="1:21" x14ac:dyDescent="0.4">
      <c r="A41" t="s">
        <v>21</v>
      </c>
      <c r="B41" s="4" t="str">
        <f>TEXT(IF(ROW(A39)&gt;MAX(Main!$C$4:$C$1048576),"",INDEX(Main!Q$4:Q$1048576,MATCH(ROW(A39),Main!$C$4:$C$1048576,0))), "yyyy/m/d")</f>
        <v/>
      </c>
      <c r="C41" s="1" t="str">
        <f>IF(IF(ROW(A39)&gt;MAX(Main!$C$4:$C$1048576),"",INDEX(Main!G$4:G$1048576,MATCH(ROW(A39),Main!$C$4:$C$1048576,0)))="",IF(B41="","",C40),IF(ROW(A39)&gt;MAX(Main!$C$4:$C$1048576),"",INDEX(Main!G$4:G$1048576,MATCH(ROW(A39),Main!$C$4:$C$1048576,0))))</f>
        <v/>
      </c>
      <c r="D41" s="1" t="str">
        <f>IF(IF(ROW(B39)&gt;MAX(Main!$C$4:$C$1048576),"",INDEX(Main!H$4:H$1048576,MATCH(ROW(B39),Main!$C$4:$C$1048576,0)))="",IF(C41="","",D40),IF(ROW(B39)&gt;MAX(Main!$C$4:$C$1048576),"",INDEX(Main!H$4:H$1048576,MATCH(ROW(B39),Main!$C$4:$C$1048576,0))))</f>
        <v/>
      </c>
      <c r="E41" s="1" t="str">
        <f>IF(IF(ROW(C39)&gt;MAX(Main!$C$4:$C$1048576),"",INDEX(Main!I$4:I$1048576,MATCH(ROW(C39),Main!$C$4:$C$1048576,0)))="",IF(D41="","",E40),IF(ROW(C39)&gt;MAX(Main!$C$4:$C$1048576),"",INDEX(Main!I$4:I$1048576,MATCH(ROW(C39),Main!$C$4:$C$1048576,0))))</f>
        <v/>
      </c>
      <c r="F41" s="1" t="str">
        <f t="shared" si="0"/>
        <v/>
      </c>
      <c r="G41" s="1" t="str">
        <f>IF(IF(ROW(D39)&gt;MAX(Main!$C$4:$C$1048576),"",INDEX(Main!J$4:J$1048576,MATCH(ROW(D39),Main!$C$4:$C$1048576,0)))="",IF(E41="","",G40),IF(ROW(D39)&gt;MAX(Main!$C$4:$C$1048576),"",INDEX(Main!J$4:J$1048576,MATCH(ROW(D39),Main!$C$4:$C$1048576,0))))</f>
        <v/>
      </c>
      <c r="H41" s="10" t="str">
        <f>IF(ROW(G39)&gt;MAX(Main!$C$4:$C$1048576),"",INDEX(Main!K$4:K$1048576,MATCH(ROW(G39),Main!$C$4:$C$1048576,0)))</f>
        <v/>
      </c>
      <c r="I41" s="1" t="str">
        <f>IF(H41&lt;&gt;"",IF(ROW(G39)&gt;MAX(Main!$C$4:$C$1048576),"",INDEX(Main!N$4:N$1048576,MATCH(ROW(G39),Main!$C$4:$C$1048576,0))),"")</f>
        <v/>
      </c>
      <c r="J41" s="1" t="str">
        <f>IF(IF(ROW(H39)&gt;MAX(Main!$C$4:$C$1048576),"",INDEX(Main!O$4:O$1048576,MATCH(ROW(H39),Main!$C$4:$C$1048576,0)))="",IF(I41="","",J40),IF(ROW(H39)&gt;MAX(Main!$C$4:$C$1048576),"",INDEX(Main!O$4:O$1048576,MATCH(ROW(H39),Main!$C$4:$C$1048576,0))))</f>
        <v/>
      </c>
      <c r="K41" s="27" t="str">
        <f t="shared" si="1"/>
        <v>例目</v>
      </c>
      <c r="M41" s="4" t="str">
        <f>TEXT(IF(ROW(A39)&gt;MAX(Main!$D$4:$D$1048576),"",INDEX(Main!Q$4:Q$1048576,MATCH(ROW(A39),Main!$D$4:$D$1048576,0))), "yyyy/m/d")</f>
        <v/>
      </c>
      <c r="N41" s="1" t="str">
        <f>IF(IF(ROW(A39)&gt;MAX(Main!$D$4:$D$1048576),"",INDEX(Main!G$4:G$1048576,MATCH(ROW(A39),Main!$D$4:$D$1048576,0)))="",IF(M41="","",N40),IF(ROW(A39)&gt;MAX(Main!$D$4:$D$1048576),"",INDEX(Main!G$4:G$1048576,MATCH(ROW(A39),Main!$D$4:$D$1048576,0))))</f>
        <v/>
      </c>
      <c r="O41" s="1" t="str">
        <f>IF(IF(ROW(B39)&gt;MAX(Main!$D$4:$D$1048576),"",INDEX(Main!H$4:H$1048576,MATCH(ROW(B39),Main!$D$4:$D$1048576,0)))="",IF(N41="","",O40),IF(ROW(B39)&gt;MAX(Main!$D$4:$D$1048576),"",INDEX(Main!H$4:H$1048576,MATCH(ROW(B39),Main!$D$4:$D$1048576,0))))</f>
        <v/>
      </c>
      <c r="P41" s="1" t="str">
        <f>IF(IF(ROW(C39)&gt;MAX(Main!$D$4:$D$1048576),"",INDEX(Main!I$4:I$1048576,MATCH(ROW(C39),Main!$D$4:$D$1048576,0)))="",IF(O41="","",P40),IF(ROW(C39)&gt;MAX(Main!$D$4:$D$1048576),"",INDEX(Main!I$4:I$1048576,MATCH(ROW(C39),Main!$D$4:$D$1048576,0))))</f>
        <v/>
      </c>
      <c r="Q41" s="1" t="str">
        <f t="shared" si="2"/>
        <v/>
      </c>
      <c r="R41" s="1" t="str">
        <f>IF(IF(ROW(D39)&gt;MAX(Main!$D$4:$D$1048576),"",INDEX(Main!J$4:J$1048576,MATCH(ROW(D39),Main!$D$4:$D$1048576,0)))="",IF(P41="","",R40),IF(ROW(D39)&gt;MAX(Main!$D$4:$D$1048576),"",INDEX(Main!J$4:J$1048576,MATCH(ROW(D39),Main!$D$4:$D$1048576,0))))</f>
        <v/>
      </c>
      <c r="S41" s="9" t="str">
        <f>IF(ROW(G39)&gt;MAX(Main!$D$4:$D$1048576),"",INDEX(Main!K$4:K$1048576,MATCH(ROW(G39),Main!$D$4:$D$1048576,0)))</f>
        <v/>
      </c>
      <c r="T41" s="1" t="str">
        <f>IF(S41&lt;&gt;"",IF(ROW(G39)&gt;MAX(Main!$D$4:$D$1048576),"",INDEX(Main!N$4:N$1048576,MATCH(ROW(G39),Main!$D$4:$D$1048576,0))),"")</f>
        <v/>
      </c>
      <c r="U41" s="1" t="str">
        <f>IF(IF(ROW(H39)&gt;MAX(Main!$D$4:$D$1048576),"",INDEX(Main!O$4:O$1048576,MATCH(ROW(H39),Main!$D$4:$D$1048576,0)))="",IF(T41="","",U40),IF(ROW(H39)&gt;MAX(Main!$D$4:$D$1048576),"",INDEX(Main!O$4:O$1048576,MATCH(ROW(H39),Main!$D$4:$D$1048576,0))))</f>
        <v/>
      </c>
    </row>
    <row r="42" spans="1:21" x14ac:dyDescent="0.4">
      <c r="A42" t="s">
        <v>21</v>
      </c>
      <c r="B42" s="4" t="str">
        <f>TEXT(IF(ROW(A40)&gt;MAX(Main!$C$4:$C$1048576),"",INDEX(Main!Q$4:Q$1048576,MATCH(ROW(A40),Main!$C$4:$C$1048576,0))), "yyyy/m/d")</f>
        <v/>
      </c>
      <c r="C42" s="1" t="str">
        <f>IF(IF(ROW(A40)&gt;MAX(Main!$C$4:$C$1048576),"",INDEX(Main!G$4:G$1048576,MATCH(ROW(A40),Main!$C$4:$C$1048576,0)))="",IF(B42="","",C41),IF(ROW(A40)&gt;MAX(Main!$C$4:$C$1048576),"",INDEX(Main!G$4:G$1048576,MATCH(ROW(A40),Main!$C$4:$C$1048576,0))))</f>
        <v/>
      </c>
      <c r="D42" s="1" t="str">
        <f>IF(IF(ROW(B40)&gt;MAX(Main!$C$4:$C$1048576),"",INDEX(Main!H$4:H$1048576,MATCH(ROW(B40),Main!$C$4:$C$1048576,0)))="",IF(C42="","",D41),IF(ROW(B40)&gt;MAX(Main!$C$4:$C$1048576),"",INDEX(Main!H$4:H$1048576,MATCH(ROW(B40),Main!$C$4:$C$1048576,0))))</f>
        <v/>
      </c>
      <c r="E42" s="1" t="str">
        <f>IF(IF(ROW(C40)&gt;MAX(Main!$C$4:$C$1048576),"",INDEX(Main!I$4:I$1048576,MATCH(ROW(C40),Main!$C$4:$C$1048576,0)))="",IF(D42="","",E41),IF(ROW(C40)&gt;MAX(Main!$C$4:$C$1048576),"",INDEX(Main!I$4:I$1048576,MATCH(ROW(C40),Main!$C$4:$C$1048576,0))))</f>
        <v/>
      </c>
      <c r="F42" s="1" t="str">
        <f t="shared" si="0"/>
        <v/>
      </c>
      <c r="G42" s="1" t="str">
        <f>IF(IF(ROW(D40)&gt;MAX(Main!$C$4:$C$1048576),"",INDEX(Main!J$4:J$1048576,MATCH(ROW(D40),Main!$C$4:$C$1048576,0)))="",IF(E42="","",G41),IF(ROW(D40)&gt;MAX(Main!$C$4:$C$1048576),"",INDEX(Main!J$4:J$1048576,MATCH(ROW(D40),Main!$C$4:$C$1048576,0))))</f>
        <v/>
      </c>
      <c r="H42" s="10" t="str">
        <f>IF(ROW(G40)&gt;MAX(Main!$C$4:$C$1048576),"",INDEX(Main!K$4:K$1048576,MATCH(ROW(G40),Main!$C$4:$C$1048576,0)))</f>
        <v/>
      </c>
      <c r="I42" s="1" t="str">
        <f>IF(H42&lt;&gt;"",IF(ROW(G40)&gt;MAX(Main!$C$4:$C$1048576),"",INDEX(Main!N$4:N$1048576,MATCH(ROW(G40),Main!$C$4:$C$1048576,0))),"")</f>
        <v/>
      </c>
      <c r="J42" s="1" t="str">
        <f>IF(IF(ROW(H40)&gt;MAX(Main!$C$4:$C$1048576),"",INDEX(Main!O$4:O$1048576,MATCH(ROW(H40),Main!$C$4:$C$1048576,0)))="",IF(I42="","",J41),IF(ROW(H40)&gt;MAX(Main!$C$4:$C$1048576),"",INDEX(Main!O$4:O$1048576,MATCH(ROW(H40),Main!$C$4:$C$1048576,0))))</f>
        <v/>
      </c>
      <c r="K42" s="27" t="str">
        <f t="shared" si="1"/>
        <v>例目</v>
      </c>
      <c r="M42" s="4" t="str">
        <f>TEXT(IF(ROW(A40)&gt;MAX(Main!$D$4:$D$1048576),"",INDEX(Main!Q$4:Q$1048576,MATCH(ROW(A40),Main!$D$4:$D$1048576,0))), "yyyy/m/d")</f>
        <v/>
      </c>
      <c r="N42" s="1" t="str">
        <f>IF(IF(ROW(A40)&gt;MAX(Main!$D$4:$D$1048576),"",INDEX(Main!G$4:G$1048576,MATCH(ROW(A40),Main!$D$4:$D$1048576,0)))="",IF(M42="","",N41),IF(ROW(A40)&gt;MAX(Main!$D$4:$D$1048576),"",INDEX(Main!G$4:G$1048576,MATCH(ROW(A40),Main!$D$4:$D$1048576,0))))</f>
        <v/>
      </c>
      <c r="O42" s="1" t="str">
        <f>IF(IF(ROW(B40)&gt;MAX(Main!$D$4:$D$1048576),"",INDEX(Main!H$4:H$1048576,MATCH(ROW(B40),Main!$D$4:$D$1048576,0)))="",IF(N42="","",O41),IF(ROW(B40)&gt;MAX(Main!$D$4:$D$1048576),"",INDEX(Main!H$4:H$1048576,MATCH(ROW(B40),Main!$D$4:$D$1048576,0))))</f>
        <v/>
      </c>
      <c r="P42" s="1" t="str">
        <f>IF(IF(ROW(C40)&gt;MAX(Main!$D$4:$D$1048576),"",INDEX(Main!I$4:I$1048576,MATCH(ROW(C40),Main!$D$4:$D$1048576,0)))="",IF(O42="","",P41),IF(ROW(C40)&gt;MAX(Main!$D$4:$D$1048576),"",INDEX(Main!I$4:I$1048576,MATCH(ROW(C40),Main!$D$4:$D$1048576,0))))</f>
        <v/>
      </c>
      <c r="Q42" s="1" t="str">
        <f t="shared" si="2"/>
        <v/>
      </c>
      <c r="R42" s="1" t="str">
        <f>IF(IF(ROW(D40)&gt;MAX(Main!$D$4:$D$1048576),"",INDEX(Main!J$4:J$1048576,MATCH(ROW(D40),Main!$D$4:$D$1048576,0)))="",IF(P42="","",R41),IF(ROW(D40)&gt;MAX(Main!$D$4:$D$1048576),"",INDEX(Main!J$4:J$1048576,MATCH(ROW(D40),Main!$D$4:$D$1048576,0))))</f>
        <v/>
      </c>
      <c r="S42" s="9" t="str">
        <f>IF(ROW(G40)&gt;MAX(Main!$D$4:$D$1048576),"",INDEX(Main!K$4:K$1048576,MATCH(ROW(G40),Main!$D$4:$D$1048576,0)))</f>
        <v/>
      </c>
      <c r="T42" s="1" t="str">
        <f>IF(S42&lt;&gt;"",IF(ROW(G40)&gt;MAX(Main!$D$4:$D$1048576),"",INDEX(Main!N$4:N$1048576,MATCH(ROW(G40),Main!$D$4:$D$1048576,0))),"")</f>
        <v/>
      </c>
      <c r="U42" s="1" t="str">
        <f>IF(IF(ROW(H40)&gt;MAX(Main!$D$4:$D$1048576),"",INDEX(Main!O$4:O$1048576,MATCH(ROW(H40),Main!$D$4:$D$1048576,0)))="",IF(T42="","",U41),IF(ROW(H40)&gt;MAX(Main!$D$4:$D$1048576),"",INDEX(Main!O$4:O$1048576,MATCH(ROW(H40),Main!$D$4:$D$1048576,0))))</f>
        <v/>
      </c>
    </row>
    <row r="43" spans="1:21" x14ac:dyDescent="0.4">
      <c r="A43" t="s">
        <v>21</v>
      </c>
      <c r="B43" s="4" t="str">
        <f>TEXT(IF(ROW(A41)&gt;MAX(Main!$C$4:$C$1048576),"",INDEX(Main!Q$4:Q$1048576,MATCH(ROW(A41),Main!$C$4:$C$1048576,0))), "yyyy/m/d")</f>
        <v/>
      </c>
      <c r="C43" s="1" t="str">
        <f>IF(IF(ROW(A41)&gt;MAX(Main!$C$4:$C$1048576),"",INDEX(Main!G$4:G$1048576,MATCH(ROW(A41),Main!$C$4:$C$1048576,0)))="",IF(B43="","",C42),IF(ROW(A41)&gt;MAX(Main!$C$4:$C$1048576),"",INDEX(Main!G$4:G$1048576,MATCH(ROW(A41),Main!$C$4:$C$1048576,0))))</f>
        <v/>
      </c>
      <c r="D43" s="1" t="str">
        <f>IF(IF(ROW(B41)&gt;MAX(Main!$C$4:$C$1048576),"",INDEX(Main!H$4:H$1048576,MATCH(ROW(B41),Main!$C$4:$C$1048576,0)))="",IF(C43="","",D42),IF(ROW(B41)&gt;MAX(Main!$C$4:$C$1048576),"",INDEX(Main!H$4:H$1048576,MATCH(ROW(B41),Main!$C$4:$C$1048576,0))))</f>
        <v/>
      </c>
      <c r="E43" s="1" t="str">
        <f>IF(IF(ROW(C41)&gt;MAX(Main!$C$4:$C$1048576),"",INDEX(Main!I$4:I$1048576,MATCH(ROW(C41),Main!$C$4:$C$1048576,0)))="",IF(D43="","",E42),IF(ROW(C41)&gt;MAX(Main!$C$4:$C$1048576),"",INDEX(Main!I$4:I$1048576,MATCH(ROW(C41),Main!$C$4:$C$1048576,0))))</f>
        <v/>
      </c>
      <c r="F43" s="1" t="str">
        <f t="shared" si="0"/>
        <v/>
      </c>
      <c r="G43" s="1" t="str">
        <f>IF(IF(ROW(D41)&gt;MAX(Main!$C$4:$C$1048576),"",INDEX(Main!J$4:J$1048576,MATCH(ROW(D41),Main!$C$4:$C$1048576,0)))="",IF(E43="","",G42),IF(ROW(D41)&gt;MAX(Main!$C$4:$C$1048576),"",INDEX(Main!J$4:J$1048576,MATCH(ROW(D41),Main!$C$4:$C$1048576,0))))</f>
        <v/>
      </c>
      <c r="H43" s="10" t="str">
        <f>IF(ROW(G41)&gt;MAX(Main!$C$4:$C$1048576),"",INDEX(Main!K$4:K$1048576,MATCH(ROW(G41),Main!$C$4:$C$1048576,0)))</f>
        <v/>
      </c>
      <c r="I43" s="1" t="str">
        <f>IF(H43&lt;&gt;"",IF(ROW(G41)&gt;MAX(Main!$C$4:$C$1048576),"",INDEX(Main!N$4:N$1048576,MATCH(ROW(G41),Main!$C$4:$C$1048576,0))),"")</f>
        <v/>
      </c>
      <c r="J43" s="1" t="str">
        <f>IF(IF(ROW(H41)&gt;MAX(Main!$C$4:$C$1048576),"",INDEX(Main!O$4:O$1048576,MATCH(ROW(H41),Main!$C$4:$C$1048576,0)))="",IF(I43="","",J42),IF(ROW(H41)&gt;MAX(Main!$C$4:$C$1048576),"",INDEX(Main!O$4:O$1048576,MATCH(ROW(H41),Main!$C$4:$C$1048576,0))))</f>
        <v/>
      </c>
      <c r="K43" s="27" t="str">
        <f t="shared" si="1"/>
        <v>例目</v>
      </c>
      <c r="M43" s="4" t="str">
        <f>TEXT(IF(ROW(A41)&gt;MAX(Main!$D$4:$D$1048576),"",INDEX(Main!Q$4:Q$1048576,MATCH(ROW(A41),Main!$D$4:$D$1048576,0))), "yyyy/m/d")</f>
        <v/>
      </c>
      <c r="N43" s="1" t="str">
        <f>IF(IF(ROW(A41)&gt;MAX(Main!$D$4:$D$1048576),"",INDEX(Main!G$4:G$1048576,MATCH(ROW(A41),Main!$D$4:$D$1048576,0)))="",IF(M43="","",N42),IF(ROW(A41)&gt;MAX(Main!$D$4:$D$1048576),"",INDEX(Main!G$4:G$1048576,MATCH(ROW(A41),Main!$D$4:$D$1048576,0))))</f>
        <v/>
      </c>
      <c r="O43" s="1" t="str">
        <f>IF(IF(ROW(B41)&gt;MAX(Main!$D$4:$D$1048576),"",INDEX(Main!H$4:H$1048576,MATCH(ROW(B41),Main!$D$4:$D$1048576,0)))="",IF(N43="","",O42),IF(ROW(B41)&gt;MAX(Main!$D$4:$D$1048576),"",INDEX(Main!H$4:H$1048576,MATCH(ROW(B41),Main!$D$4:$D$1048576,0))))</f>
        <v/>
      </c>
      <c r="P43" s="1" t="str">
        <f>IF(IF(ROW(C41)&gt;MAX(Main!$D$4:$D$1048576),"",INDEX(Main!I$4:I$1048576,MATCH(ROW(C41),Main!$D$4:$D$1048576,0)))="",IF(O43="","",P42),IF(ROW(C41)&gt;MAX(Main!$D$4:$D$1048576),"",INDEX(Main!I$4:I$1048576,MATCH(ROW(C41),Main!$D$4:$D$1048576,0))))</f>
        <v/>
      </c>
      <c r="Q43" s="1" t="str">
        <f t="shared" si="2"/>
        <v/>
      </c>
      <c r="R43" s="1" t="str">
        <f>IF(IF(ROW(D41)&gt;MAX(Main!$D$4:$D$1048576),"",INDEX(Main!J$4:J$1048576,MATCH(ROW(D41),Main!$D$4:$D$1048576,0)))="",IF(P43="","",R42),IF(ROW(D41)&gt;MAX(Main!$D$4:$D$1048576),"",INDEX(Main!J$4:J$1048576,MATCH(ROW(D41),Main!$D$4:$D$1048576,0))))</f>
        <v/>
      </c>
      <c r="S43" s="9" t="str">
        <f>IF(ROW(G41)&gt;MAX(Main!$D$4:$D$1048576),"",INDEX(Main!K$4:K$1048576,MATCH(ROW(G41),Main!$D$4:$D$1048576,0)))</f>
        <v/>
      </c>
      <c r="T43" s="1" t="str">
        <f>IF(S43&lt;&gt;"",IF(ROW(G41)&gt;MAX(Main!$D$4:$D$1048576),"",INDEX(Main!N$4:N$1048576,MATCH(ROW(G41),Main!$D$4:$D$1048576,0))),"")</f>
        <v/>
      </c>
      <c r="U43" s="1" t="str">
        <f>IF(IF(ROW(H41)&gt;MAX(Main!$D$4:$D$1048576),"",INDEX(Main!O$4:O$1048576,MATCH(ROW(H41),Main!$D$4:$D$1048576,0)))="",IF(T43="","",U42),IF(ROW(H41)&gt;MAX(Main!$D$4:$D$1048576),"",INDEX(Main!O$4:O$1048576,MATCH(ROW(H41),Main!$D$4:$D$1048576,0))))</f>
        <v/>
      </c>
    </row>
    <row r="44" spans="1:21" x14ac:dyDescent="0.4">
      <c r="A44" t="s">
        <v>21</v>
      </c>
      <c r="B44" s="4" t="str">
        <f>TEXT(IF(ROW(A42)&gt;MAX(Main!$C$4:$C$1048576),"",INDEX(Main!Q$4:Q$1048576,MATCH(ROW(A42),Main!$C$4:$C$1048576,0))), "yyyy/m/d")</f>
        <v/>
      </c>
      <c r="C44" s="1" t="str">
        <f>IF(IF(ROW(A42)&gt;MAX(Main!$C$4:$C$1048576),"",INDEX(Main!G$4:G$1048576,MATCH(ROW(A42),Main!$C$4:$C$1048576,0)))="",IF(B44="","",C43),IF(ROW(A42)&gt;MAX(Main!$C$4:$C$1048576),"",INDEX(Main!G$4:G$1048576,MATCH(ROW(A42),Main!$C$4:$C$1048576,0))))</f>
        <v/>
      </c>
      <c r="D44" s="1" t="str">
        <f>IF(IF(ROW(B42)&gt;MAX(Main!$C$4:$C$1048576),"",INDEX(Main!H$4:H$1048576,MATCH(ROW(B42),Main!$C$4:$C$1048576,0)))="",IF(C44="","",D43),IF(ROW(B42)&gt;MAX(Main!$C$4:$C$1048576),"",INDEX(Main!H$4:H$1048576,MATCH(ROW(B42),Main!$C$4:$C$1048576,0))))</f>
        <v/>
      </c>
      <c r="E44" s="1" t="str">
        <f>IF(IF(ROW(C42)&gt;MAX(Main!$C$4:$C$1048576),"",INDEX(Main!I$4:I$1048576,MATCH(ROW(C42),Main!$C$4:$C$1048576,0)))="",IF(D44="","",E43),IF(ROW(C42)&gt;MAX(Main!$C$4:$C$1048576),"",INDEX(Main!I$4:I$1048576,MATCH(ROW(C42),Main!$C$4:$C$1048576,0))))</f>
        <v/>
      </c>
      <c r="F44" s="1" t="str">
        <f t="shared" si="0"/>
        <v/>
      </c>
      <c r="G44" s="1" t="str">
        <f>IF(IF(ROW(D42)&gt;MAX(Main!$C$4:$C$1048576),"",INDEX(Main!J$4:J$1048576,MATCH(ROW(D42),Main!$C$4:$C$1048576,0)))="",IF(E44="","",G43),IF(ROW(D42)&gt;MAX(Main!$C$4:$C$1048576),"",INDEX(Main!J$4:J$1048576,MATCH(ROW(D42),Main!$C$4:$C$1048576,0))))</f>
        <v/>
      </c>
      <c r="H44" s="10" t="str">
        <f>IF(ROW(G42)&gt;MAX(Main!$C$4:$C$1048576),"",INDEX(Main!K$4:K$1048576,MATCH(ROW(G42),Main!$C$4:$C$1048576,0)))</f>
        <v/>
      </c>
      <c r="I44" s="1" t="str">
        <f>IF(H44&lt;&gt;"",IF(ROW(G42)&gt;MAX(Main!$C$4:$C$1048576),"",INDEX(Main!N$4:N$1048576,MATCH(ROW(G42),Main!$C$4:$C$1048576,0))),"")</f>
        <v/>
      </c>
      <c r="J44" s="1" t="str">
        <f>IF(IF(ROW(H42)&gt;MAX(Main!$C$4:$C$1048576),"",INDEX(Main!O$4:O$1048576,MATCH(ROW(H42),Main!$C$4:$C$1048576,0)))="",IF(I44="","",J43),IF(ROW(H42)&gt;MAX(Main!$C$4:$C$1048576),"",INDEX(Main!O$4:O$1048576,MATCH(ROW(H42),Main!$C$4:$C$1048576,0))))</f>
        <v/>
      </c>
      <c r="K44" s="27" t="str">
        <f t="shared" si="1"/>
        <v>例目</v>
      </c>
      <c r="M44" s="4" t="str">
        <f>TEXT(IF(ROW(A42)&gt;MAX(Main!$D$4:$D$1048576),"",INDEX(Main!Q$4:Q$1048576,MATCH(ROW(A42),Main!$D$4:$D$1048576,0))), "yyyy/m/d")</f>
        <v/>
      </c>
      <c r="N44" s="1" t="str">
        <f>IF(IF(ROW(A42)&gt;MAX(Main!$D$4:$D$1048576),"",INDEX(Main!G$4:G$1048576,MATCH(ROW(A42),Main!$D$4:$D$1048576,0)))="",IF(M44="","",N43),IF(ROW(A42)&gt;MAX(Main!$D$4:$D$1048576),"",INDEX(Main!G$4:G$1048576,MATCH(ROW(A42),Main!$D$4:$D$1048576,0))))</f>
        <v/>
      </c>
      <c r="O44" s="1" t="str">
        <f>IF(IF(ROW(B42)&gt;MAX(Main!$D$4:$D$1048576),"",INDEX(Main!H$4:H$1048576,MATCH(ROW(B42),Main!$D$4:$D$1048576,0)))="",IF(N44="","",O43),IF(ROW(B42)&gt;MAX(Main!$D$4:$D$1048576),"",INDEX(Main!H$4:H$1048576,MATCH(ROW(B42),Main!$D$4:$D$1048576,0))))</f>
        <v/>
      </c>
      <c r="P44" s="1" t="str">
        <f>IF(IF(ROW(C42)&gt;MAX(Main!$D$4:$D$1048576),"",INDEX(Main!I$4:I$1048576,MATCH(ROW(C42),Main!$D$4:$D$1048576,0)))="",IF(O44="","",P43),IF(ROW(C42)&gt;MAX(Main!$D$4:$D$1048576),"",INDEX(Main!I$4:I$1048576,MATCH(ROW(C42),Main!$D$4:$D$1048576,0))))</f>
        <v/>
      </c>
      <c r="Q44" s="1" t="str">
        <f t="shared" si="2"/>
        <v/>
      </c>
      <c r="R44" s="1" t="str">
        <f>IF(IF(ROW(D42)&gt;MAX(Main!$D$4:$D$1048576),"",INDEX(Main!J$4:J$1048576,MATCH(ROW(D42),Main!$D$4:$D$1048576,0)))="",IF(P44="","",R43),IF(ROW(D42)&gt;MAX(Main!$D$4:$D$1048576),"",INDEX(Main!J$4:J$1048576,MATCH(ROW(D42),Main!$D$4:$D$1048576,0))))</f>
        <v/>
      </c>
      <c r="S44" s="9" t="str">
        <f>IF(ROW(G42)&gt;MAX(Main!$D$4:$D$1048576),"",INDEX(Main!K$4:K$1048576,MATCH(ROW(G42),Main!$D$4:$D$1048576,0)))</f>
        <v/>
      </c>
      <c r="T44" s="1" t="str">
        <f>IF(S44&lt;&gt;"",IF(ROW(G42)&gt;MAX(Main!$D$4:$D$1048576),"",INDEX(Main!N$4:N$1048576,MATCH(ROW(G42),Main!$D$4:$D$1048576,0))),"")</f>
        <v/>
      </c>
      <c r="U44" s="1" t="str">
        <f>IF(IF(ROW(H42)&gt;MAX(Main!$D$4:$D$1048576),"",INDEX(Main!O$4:O$1048576,MATCH(ROW(H42),Main!$D$4:$D$1048576,0)))="",IF(T44="","",U43),IF(ROW(H42)&gt;MAX(Main!$D$4:$D$1048576),"",INDEX(Main!O$4:O$1048576,MATCH(ROW(H42),Main!$D$4:$D$1048576,0))))</f>
        <v/>
      </c>
    </row>
    <row r="45" spans="1:21" x14ac:dyDescent="0.4">
      <c r="A45" t="s">
        <v>21</v>
      </c>
      <c r="B45" s="4" t="str">
        <f>TEXT(IF(ROW(A43)&gt;MAX(Main!$C$4:$C$1048576),"",INDEX(Main!Q$4:Q$1048576,MATCH(ROW(A43),Main!$C$4:$C$1048576,0))), "yyyy/m/d")</f>
        <v/>
      </c>
      <c r="C45" s="1" t="str">
        <f>IF(IF(ROW(A43)&gt;MAX(Main!$C$4:$C$1048576),"",INDEX(Main!G$4:G$1048576,MATCH(ROW(A43),Main!$C$4:$C$1048576,0)))="",IF(B45="","",C44),IF(ROW(A43)&gt;MAX(Main!$C$4:$C$1048576),"",INDEX(Main!G$4:G$1048576,MATCH(ROW(A43),Main!$C$4:$C$1048576,0))))</f>
        <v/>
      </c>
      <c r="D45" s="1" t="str">
        <f>IF(IF(ROW(B43)&gt;MAX(Main!$C$4:$C$1048576),"",INDEX(Main!H$4:H$1048576,MATCH(ROW(B43),Main!$C$4:$C$1048576,0)))="",IF(C45="","",D44),IF(ROW(B43)&gt;MAX(Main!$C$4:$C$1048576),"",INDEX(Main!H$4:H$1048576,MATCH(ROW(B43),Main!$C$4:$C$1048576,0))))</f>
        <v/>
      </c>
      <c r="E45" s="1" t="str">
        <f>IF(IF(ROW(C43)&gt;MAX(Main!$C$4:$C$1048576),"",INDEX(Main!I$4:I$1048576,MATCH(ROW(C43),Main!$C$4:$C$1048576,0)))="",IF(D45="","",E44),IF(ROW(C43)&gt;MAX(Main!$C$4:$C$1048576),"",INDEX(Main!I$4:I$1048576,MATCH(ROW(C43),Main!$C$4:$C$1048576,0))))</f>
        <v/>
      </c>
      <c r="F45" s="1" t="str">
        <f t="shared" si="0"/>
        <v/>
      </c>
      <c r="G45" s="1" t="str">
        <f>IF(IF(ROW(D43)&gt;MAX(Main!$C$4:$C$1048576),"",INDEX(Main!J$4:J$1048576,MATCH(ROW(D43),Main!$C$4:$C$1048576,0)))="",IF(E45="","",G44),IF(ROW(D43)&gt;MAX(Main!$C$4:$C$1048576),"",INDEX(Main!J$4:J$1048576,MATCH(ROW(D43),Main!$C$4:$C$1048576,0))))</f>
        <v/>
      </c>
      <c r="H45" s="10" t="str">
        <f>IF(ROW(G43)&gt;MAX(Main!$C$4:$C$1048576),"",INDEX(Main!K$4:K$1048576,MATCH(ROW(G43),Main!$C$4:$C$1048576,0)))</f>
        <v/>
      </c>
      <c r="I45" s="1" t="str">
        <f>IF(H45&lt;&gt;"",IF(ROW(G43)&gt;MAX(Main!$C$4:$C$1048576),"",INDEX(Main!N$4:N$1048576,MATCH(ROW(G43),Main!$C$4:$C$1048576,0))),"")</f>
        <v/>
      </c>
      <c r="J45" s="1" t="str">
        <f>IF(IF(ROW(H43)&gt;MAX(Main!$C$4:$C$1048576),"",INDEX(Main!O$4:O$1048576,MATCH(ROW(H43),Main!$C$4:$C$1048576,0)))="",IF(I45="","",J44),IF(ROW(H43)&gt;MAX(Main!$C$4:$C$1048576),"",INDEX(Main!O$4:O$1048576,MATCH(ROW(H43),Main!$C$4:$C$1048576,0))))</f>
        <v/>
      </c>
      <c r="K45" s="27" t="str">
        <f t="shared" si="1"/>
        <v>例目</v>
      </c>
      <c r="M45" s="4" t="str">
        <f>TEXT(IF(ROW(A43)&gt;MAX(Main!$D$4:$D$1048576),"",INDEX(Main!Q$4:Q$1048576,MATCH(ROW(A43),Main!$D$4:$D$1048576,0))), "yyyy/m/d")</f>
        <v/>
      </c>
      <c r="N45" s="1" t="str">
        <f>IF(IF(ROW(A43)&gt;MAX(Main!$D$4:$D$1048576),"",INDEX(Main!G$4:G$1048576,MATCH(ROW(A43),Main!$D$4:$D$1048576,0)))="",IF(M45="","",N44),IF(ROW(A43)&gt;MAX(Main!$D$4:$D$1048576),"",INDEX(Main!G$4:G$1048576,MATCH(ROW(A43),Main!$D$4:$D$1048576,0))))</f>
        <v/>
      </c>
      <c r="O45" s="1" t="str">
        <f>IF(IF(ROW(B43)&gt;MAX(Main!$D$4:$D$1048576),"",INDEX(Main!H$4:H$1048576,MATCH(ROW(B43),Main!$D$4:$D$1048576,0)))="",IF(N45="","",O44),IF(ROW(B43)&gt;MAX(Main!$D$4:$D$1048576),"",INDEX(Main!H$4:H$1048576,MATCH(ROW(B43),Main!$D$4:$D$1048576,0))))</f>
        <v/>
      </c>
      <c r="P45" s="1" t="str">
        <f>IF(IF(ROW(C43)&gt;MAX(Main!$D$4:$D$1048576),"",INDEX(Main!I$4:I$1048576,MATCH(ROW(C43),Main!$D$4:$D$1048576,0)))="",IF(O45="","",P44),IF(ROW(C43)&gt;MAX(Main!$D$4:$D$1048576),"",INDEX(Main!I$4:I$1048576,MATCH(ROW(C43),Main!$D$4:$D$1048576,0))))</f>
        <v/>
      </c>
      <c r="Q45" s="1" t="str">
        <f t="shared" si="2"/>
        <v/>
      </c>
      <c r="R45" s="1" t="str">
        <f>IF(IF(ROW(D43)&gt;MAX(Main!$D$4:$D$1048576),"",INDEX(Main!J$4:J$1048576,MATCH(ROW(D43),Main!$D$4:$D$1048576,0)))="",IF(P45="","",R44),IF(ROW(D43)&gt;MAX(Main!$D$4:$D$1048576),"",INDEX(Main!J$4:J$1048576,MATCH(ROW(D43),Main!$D$4:$D$1048576,0))))</f>
        <v/>
      </c>
      <c r="S45" s="9" t="str">
        <f>IF(ROW(G43)&gt;MAX(Main!$D$4:$D$1048576),"",INDEX(Main!K$4:K$1048576,MATCH(ROW(G43),Main!$D$4:$D$1048576,0)))</f>
        <v/>
      </c>
      <c r="T45" s="1" t="str">
        <f>IF(S45&lt;&gt;"",IF(ROW(G43)&gt;MAX(Main!$D$4:$D$1048576),"",INDEX(Main!N$4:N$1048576,MATCH(ROW(G43),Main!$D$4:$D$1048576,0))),"")</f>
        <v/>
      </c>
      <c r="U45" s="1" t="str">
        <f>IF(IF(ROW(H43)&gt;MAX(Main!$D$4:$D$1048576),"",INDEX(Main!O$4:O$1048576,MATCH(ROW(H43),Main!$D$4:$D$1048576,0)))="",IF(T45="","",U44),IF(ROW(H43)&gt;MAX(Main!$D$4:$D$1048576),"",INDEX(Main!O$4:O$1048576,MATCH(ROW(H43),Main!$D$4:$D$1048576,0))))</f>
        <v/>
      </c>
    </row>
    <row r="46" spans="1:21" x14ac:dyDescent="0.4">
      <c r="A46" t="s">
        <v>21</v>
      </c>
      <c r="B46" s="4" t="str">
        <f>TEXT(IF(ROW(A44)&gt;MAX(Main!$C$4:$C$1048576),"",INDEX(Main!Q$4:Q$1048576,MATCH(ROW(A44),Main!$C$4:$C$1048576,0))), "yyyy/m/d")</f>
        <v/>
      </c>
      <c r="C46" s="1" t="str">
        <f>IF(IF(ROW(A44)&gt;MAX(Main!$C$4:$C$1048576),"",INDEX(Main!G$4:G$1048576,MATCH(ROW(A44),Main!$C$4:$C$1048576,0)))="",IF(B46="","",C45),IF(ROW(A44)&gt;MAX(Main!$C$4:$C$1048576),"",INDEX(Main!G$4:G$1048576,MATCH(ROW(A44),Main!$C$4:$C$1048576,0))))</f>
        <v/>
      </c>
      <c r="D46" s="1" t="str">
        <f>IF(IF(ROW(B44)&gt;MAX(Main!$C$4:$C$1048576),"",INDEX(Main!H$4:H$1048576,MATCH(ROW(B44),Main!$C$4:$C$1048576,0)))="",IF(C46="","",D45),IF(ROW(B44)&gt;MAX(Main!$C$4:$C$1048576),"",INDEX(Main!H$4:H$1048576,MATCH(ROW(B44),Main!$C$4:$C$1048576,0))))</f>
        <v/>
      </c>
      <c r="E46" s="1" t="str">
        <f>IF(IF(ROW(C44)&gt;MAX(Main!$C$4:$C$1048576),"",INDEX(Main!I$4:I$1048576,MATCH(ROW(C44),Main!$C$4:$C$1048576,0)))="",IF(D46="","",E45),IF(ROW(C44)&gt;MAX(Main!$C$4:$C$1048576),"",INDEX(Main!I$4:I$1048576,MATCH(ROW(C44),Main!$C$4:$C$1048576,0))))</f>
        <v/>
      </c>
      <c r="F46" s="1" t="str">
        <f t="shared" si="0"/>
        <v/>
      </c>
      <c r="G46" s="1" t="str">
        <f>IF(IF(ROW(D44)&gt;MAX(Main!$C$4:$C$1048576),"",INDEX(Main!J$4:J$1048576,MATCH(ROW(D44),Main!$C$4:$C$1048576,0)))="",IF(E46="","",G45),IF(ROW(D44)&gt;MAX(Main!$C$4:$C$1048576),"",INDEX(Main!J$4:J$1048576,MATCH(ROW(D44),Main!$C$4:$C$1048576,0))))</f>
        <v/>
      </c>
      <c r="H46" s="10" t="str">
        <f>IF(ROW(G44)&gt;MAX(Main!$C$4:$C$1048576),"",INDEX(Main!K$4:K$1048576,MATCH(ROW(G44),Main!$C$4:$C$1048576,0)))</f>
        <v/>
      </c>
      <c r="I46" s="1" t="str">
        <f>IF(H46&lt;&gt;"",IF(ROW(G44)&gt;MAX(Main!$C$4:$C$1048576),"",INDEX(Main!N$4:N$1048576,MATCH(ROW(G44),Main!$C$4:$C$1048576,0))),"")</f>
        <v/>
      </c>
      <c r="J46" s="1" t="str">
        <f>IF(IF(ROW(H44)&gt;MAX(Main!$C$4:$C$1048576),"",INDEX(Main!O$4:O$1048576,MATCH(ROW(H44),Main!$C$4:$C$1048576,0)))="",IF(I46="","",J45),IF(ROW(H44)&gt;MAX(Main!$C$4:$C$1048576),"",INDEX(Main!O$4:O$1048576,MATCH(ROW(H44),Main!$C$4:$C$1048576,0))))</f>
        <v/>
      </c>
      <c r="K46" s="27" t="str">
        <f t="shared" si="1"/>
        <v>例目</v>
      </c>
      <c r="M46" s="4" t="str">
        <f>TEXT(IF(ROW(A44)&gt;MAX(Main!$D$4:$D$1048576),"",INDEX(Main!Q$4:Q$1048576,MATCH(ROW(A44),Main!$D$4:$D$1048576,0))), "yyyy/m/d")</f>
        <v/>
      </c>
      <c r="N46" s="1" t="str">
        <f>IF(IF(ROW(A44)&gt;MAX(Main!$D$4:$D$1048576),"",INDEX(Main!G$4:G$1048576,MATCH(ROW(A44),Main!$D$4:$D$1048576,0)))="",IF(M46="","",N45),IF(ROW(A44)&gt;MAX(Main!$D$4:$D$1048576),"",INDEX(Main!G$4:G$1048576,MATCH(ROW(A44),Main!$D$4:$D$1048576,0))))</f>
        <v/>
      </c>
      <c r="O46" s="1" t="str">
        <f>IF(IF(ROW(B44)&gt;MAX(Main!$D$4:$D$1048576),"",INDEX(Main!H$4:H$1048576,MATCH(ROW(B44),Main!$D$4:$D$1048576,0)))="",IF(N46="","",O45),IF(ROW(B44)&gt;MAX(Main!$D$4:$D$1048576),"",INDEX(Main!H$4:H$1048576,MATCH(ROW(B44),Main!$D$4:$D$1048576,0))))</f>
        <v/>
      </c>
      <c r="P46" s="1" t="str">
        <f>IF(IF(ROW(C44)&gt;MAX(Main!$D$4:$D$1048576),"",INDEX(Main!I$4:I$1048576,MATCH(ROW(C44),Main!$D$4:$D$1048576,0)))="",IF(O46="","",P45),IF(ROW(C44)&gt;MAX(Main!$D$4:$D$1048576),"",INDEX(Main!I$4:I$1048576,MATCH(ROW(C44),Main!$D$4:$D$1048576,0))))</f>
        <v/>
      </c>
      <c r="Q46" s="1" t="str">
        <f t="shared" si="2"/>
        <v/>
      </c>
      <c r="R46" s="1" t="str">
        <f>IF(IF(ROW(D44)&gt;MAX(Main!$D$4:$D$1048576),"",INDEX(Main!J$4:J$1048576,MATCH(ROW(D44),Main!$D$4:$D$1048576,0)))="",IF(P46="","",R45),IF(ROW(D44)&gt;MAX(Main!$D$4:$D$1048576),"",INDEX(Main!J$4:J$1048576,MATCH(ROW(D44),Main!$D$4:$D$1048576,0))))</f>
        <v/>
      </c>
      <c r="S46" s="9" t="str">
        <f>IF(ROW(G44)&gt;MAX(Main!$D$4:$D$1048576),"",INDEX(Main!K$4:K$1048576,MATCH(ROW(G44),Main!$D$4:$D$1048576,0)))</f>
        <v/>
      </c>
      <c r="T46" s="1" t="str">
        <f>IF(S46&lt;&gt;"",IF(ROW(G44)&gt;MAX(Main!$D$4:$D$1048576),"",INDEX(Main!N$4:N$1048576,MATCH(ROW(G44),Main!$D$4:$D$1048576,0))),"")</f>
        <v/>
      </c>
      <c r="U46" s="1" t="str">
        <f>IF(IF(ROW(H44)&gt;MAX(Main!$D$4:$D$1048576),"",INDEX(Main!O$4:O$1048576,MATCH(ROW(H44),Main!$D$4:$D$1048576,0)))="",IF(T46="","",U45),IF(ROW(H44)&gt;MAX(Main!$D$4:$D$1048576),"",INDEX(Main!O$4:O$1048576,MATCH(ROW(H44),Main!$D$4:$D$1048576,0))))</f>
        <v/>
      </c>
    </row>
    <row r="47" spans="1:21" x14ac:dyDescent="0.4">
      <c r="A47" t="s">
        <v>21</v>
      </c>
      <c r="B47" s="4" t="str">
        <f>TEXT(IF(ROW(A45)&gt;MAX(Main!$C$4:$C$1048576),"",INDEX(Main!Q$4:Q$1048576,MATCH(ROW(A45),Main!$C$4:$C$1048576,0))), "yyyy/m/d")</f>
        <v/>
      </c>
      <c r="C47" s="1" t="str">
        <f>IF(IF(ROW(A45)&gt;MAX(Main!$C$4:$C$1048576),"",INDEX(Main!G$4:G$1048576,MATCH(ROW(A45),Main!$C$4:$C$1048576,0)))="",IF(B47="","",C46),IF(ROW(A45)&gt;MAX(Main!$C$4:$C$1048576),"",INDEX(Main!G$4:G$1048576,MATCH(ROW(A45),Main!$C$4:$C$1048576,0))))</f>
        <v/>
      </c>
      <c r="D47" s="1" t="str">
        <f>IF(IF(ROW(B45)&gt;MAX(Main!$C$4:$C$1048576),"",INDEX(Main!H$4:H$1048576,MATCH(ROW(B45),Main!$C$4:$C$1048576,0)))="",IF(C47="","",D46),IF(ROW(B45)&gt;MAX(Main!$C$4:$C$1048576),"",INDEX(Main!H$4:H$1048576,MATCH(ROW(B45),Main!$C$4:$C$1048576,0))))</f>
        <v/>
      </c>
      <c r="E47" s="1" t="str">
        <f>IF(IF(ROW(C45)&gt;MAX(Main!$C$4:$C$1048576),"",INDEX(Main!I$4:I$1048576,MATCH(ROW(C45),Main!$C$4:$C$1048576,0)))="",IF(D47="","",E46),IF(ROW(C45)&gt;MAX(Main!$C$4:$C$1048576),"",INDEX(Main!I$4:I$1048576,MATCH(ROW(C45),Main!$C$4:$C$1048576,0))))</f>
        <v/>
      </c>
      <c r="F47" s="1" t="str">
        <f t="shared" si="0"/>
        <v/>
      </c>
      <c r="G47" s="1" t="str">
        <f>IF(IF(ROW(D45)&gt;MAX(Main!$C$4:$C$1048576),"",INDEX(Main!J$4:J$1048576,MATCH(ROW(D45),Main!$C$4:$C$1048576,0)))="",IF(E47="","",G46),IF(ROW(D45)&gt;MAX(Main!$C$4:$C$1048576),"",INDEX(Main!J$4:J$1048576,MATCH(ROW(D45),Main!$C$4:$C$1048576,0))))</f>
        <v/>
      </c>
      <c r="H47" s="10" t="str">
        <f>IF(ROW(G45)&gt;MAX(Main!$C$4:$C$1048576),"",INDEX(Main!K$4:K$1048576,MATCH(ROW(G45),Main!$C$4:$C$1048576,0)))</f>
        <v/>
      </c>
      <c r="I47" s="1" t="str">
        <f>IF(H47&lt;&gt;"",IF(ROW(G45)&gt;MAX(Main!$C$4:$C$1048576),"",INDEX(Main!N$4:N$1048576,MATCH(ROW(G45),Main!$C$4:$C$1048576,0))),"")</f>
        <v/>
      </c>
      <c r="J47" s="1" t="str">
        <f>IF(IF(ROW(H45)&gt;MAX(Main!$C$4:$C$1048576),"",INDEX(Main!O$4:O$1048576,MATCH(ROW(H45),Main!$C$4:$C$1048576,0)))="",IF(I47="","",J46),IF(ROW(H45)&gt;MAX(Main!$C$4:$C$1048576),"",INDEX(Main!O$4:O$1048576,MATCH(ROW(H45),Main!$C$4:$C$1048576,0))))</f>
        <v/>
      </c>
      <c r="K47" s="27" t="str">
        <f t="shared" si="1"/>
        <v>例目</v>
      </c>
      <c r="M47" s="4" t="str">
        <f>TEXT(IF(ROW(A45)&gt;MAX(Main!$D$4:$D$1048576),"",INDEX(Main!Q$4:Q$1048576,MATCH(ROW(A45),Main!$D$4:$D$1048576,0))), "yyyy/m/d")</f>
        <v/>
      </c>
      <c r="N47" s="1" t="str">
        <f>IF(IF(ROW(A45)&gt;MAX(Main!$D$4:$D$1048576),"",INDEX(Main!G$4:G$1048576,MATCH(ROW(A45),Main!$D$4:$D$1048576,0)))="",IF(M47="","",N46),IF(ROW(A45)&gt;MAX(Main!$D$4:$D$1048576),"",INDEX(Main!G$4:G$1048576,MATCH(ROW(A45),Main!$D$4:$D$1048576,0))))</f>
        <v/>
      </c>
      <c r="O47" s="1" t="str">
        <f>IF(IF(ROW(B45)&gt;MAX(Main!$D$4:$D$1048576),"",INDEX(Main!H$4:H$1048576,MATCH(ROW(B45),Main!$D$4:$D$1048576,0)))="",IF(N47="","",O46),IF(ROW(B45)&gt;MAX(Main!$D$4:$D$1048576),"",INDEX(Main!H$4:H$1048576,MATCH(ROW(B45),Main!$D$4:$D$1048576,0))))</f>
        <v/>
      </c>
      <c r="P47" s="1" t="str">
        <f>IF(IF(ROW(C45)&gt;MAX(Main!$D$4:$D$1048576),"",INDEX(Main!I$4:I$1048576,MATCH(ROW(C45),Main!$D$4:$D$1048576,0)))="",IF(O47="","",P46),IF(ROW(C45)&gt;MAX(Main!$D$4:$D$1048576),"",INDEX(Main!I$4:I$1048576,MATCH(ROW(C45),Main!$D$4:$D$1048576,0))))</f>
        <v/>
      </c>
      <c r="Q47" s="1" t="str">
        <f t="shared" si="2"/>
        <v/>
      </c>
      <c r="R47" s="1" t="str">
        <f>IF(IF(ROW(D45)&gt;MAX(Main!$D$4:$D$1048576),"",INDEX(Main!J$4:J$1048576,MATCH(ROW(D45),Main!$D$4:$D$1048576,0)))="",IF(P47="","",R46),IF(ROW(D45)&gt;MAX(Main!$D$4:$D$1048576),"",INDEX(Main!J$4:J$1048576,MATCH(ROW(D45),Main!$D$4:$D$1048576,0))))</f>
        <v/>
      </c>
      <c r="S47" s="9" t="str">
        <f>IF(ROW(G45)&gt;MAX(Main!$D$4:$D$1048576),"",INDEX(Main!K$4:K$1048576,MATCH(ROW(G45),Main!$D$4:$D$1048576,0)))</f>
        <v/>
      </c>
      <c r="T47" s="1" t="str">
        <f>IF(S47&lt;&gt;"",IF(ROW(G45)&gt;MAX(Main!$D$4:$D$1048576),"",INDEX(Main!N$4:N$1048576,MATCH(ROW(G45),Main!$D$4:$D$1048576,0))),"")</f>
        <v/>
      </c>
      <c r="U47" s="1" t="str">
        <f>IF(IF(ROW(H45)&gt;MAX(Main!$D$4:$D$1048576),"",INDEX(Main!O$4:O$1048576,MATCH(ROW(H45),Main!$D$4:$D$1048576,0)))="",IF(T47="","",U46),IF(ROW(H45)&gt;MAX(Main!$D$4:$D$1048576),"",INDEX(Main!O$4:O$1048576,MATCH(ROW(H45),Main!$D$4:$D$1048576,0))))</f>
        <v/>
      </c>
    </row>
    <row r="48" spans="1:21" x14ac:dyDescent="0.4">
      <c r="A48" t="s">
        <v>21</v>
      </c>
      <c r="B48" s="4" t="str">
        <f>TEXT(IF(ROW(A46)&gt;MAX(Main!$C$4:$C$1048576),"",INDEX(Main!Q$4:Q$1048576,MATCH(ROW(A46),Main!$C$4:$C$1048576,0))), "yyyy/m/d")</f>
        <v/>
      </c>
      <c r="C48" s="1" t="str">
        <f>IF(IF(ROW(A46)&gt;MAX(Main!$C$4:$C$1048576),"",INDEX(Main!G$4:G$1048576,MATCH(ROW(A46),Main!$C$4:$C$1048576,0)))="",IF(B48="","",C47),IF(ROW(A46)&gt;MAX(Main!$C$4:$C$1048576),"",INDEX(Main!G$4:G$1048576,MATCH(ROW(A46),Main!$C$4:$C$1048576,0))))</f>
        <v/>
      </c>
      <c r="D48" s="1" t="str">
        <f>IF(IF(ROW(B46)&gt;MAX(Main!$C$4:$C$1048576),"",INDEX(Main!H$4:H$1048576,MATCH(ROW(B46),Main!$C$4:$C$1048576,0)))="",IF(C48="","",D47),IF(ROW(B46)&gt;MAX(Main!$C$4:$C$1048576),"",INDEX(Main!H$4:H$1048576,MATCH(ROW(B46),Main!$C$4:$C$1048576,0))))</f>
        <v/>
      </c>
      <c r="E48" s="1" t="str">
        <f>IF(IF(ROW(C46)&gt;MAX(Main!$C$4:$C$1048576),"",INDEX(Main!I$4:I$1048576,MATCH(ROW(C46),Main!$C$4:$C$1048576,0)))="",IF(D48="","",E47),IF(ROW(C46)&gt;MAX(Main!$C$4:$C$1048576),"",INDEX(Main!I$4:I$1048576,MATCH(ROW(C46),Main!$C$4:$C$1048576,0))))</f>
        <v/>
      </c>
      <c r="F48" s="1" t="str">
        <f t="shared" si="0"/>
        <v/>
      </c>
      <c r="G48" s="1" t="str">
        <f>IF(IF(ROW(D46)&gt;MAX(Main!$C$4:$C$1048576),"",INDEX(Main!J$4:J$1048576,MATCH(ROW(D46),Main!$C$4:$C$1048576,0)))="",IF(E48="","",G47),IF(ROW(D46)&gt;MAX(Main!$C$4:$C$1048576),"",INDEX(Main!J$4:J$1048576,MATCH(ROW(D46),Main!$C$4:$C$1048576,0))))</f>
        <v/>
      </c>
      <c r="H48" s="10" t="str">
        <f>IF(ROW(G46)&gt;MAX(Main!$C$4:$C$1048576),"",INDEX(Main!K$4:K$1048576,MATCH(ROW(G46),Main!$C$4:$C$1048576,0)))</f>
        <v/>
      </c>
      <c r="I48" s="1" t="str">
        <f>IF(H48&lt;&gt;"",IF(ROW(G46)&gt;MAX(Main!$C$4:$C$1048576),"",INDEX(Main!N$4:N$1048576,MATCH(ROW(G46),Main!$C$4:$C$1048576,0))),"")</f>
        <v/>
      </c>
      <c r="J48" s="1" t="str">
        <f>IF(IF(ROW(H46)&gt;MAX(Main!$C$4:$C$1048576),"",INDEX(Main!O$4:O$1048576,MATCH(ROW(H46),Main!$C$4:$C$1048576,0)))="",IF(I48="","",J47),IF(ROW(H46)&gt;MAX(Main!$C$4:$C$1048576),"",INDEX(Main!O$4:O$1048576,MATCH(ROW(H46),Main!$C$4:$C$1048576,0))))</f>
        <v/>
      </c>
      <c r="K48" s="27" t="str">
        <f t="shared" si="1"/>
        <v>例目</v>
      </c>
      <c r="M48" s="4" t="str">
        <f>TEXT(IF(ROW(A46)&gt;MAX(Main!$D$4:$D$1048576),"",INDEX(Main!Q$4:Q$1048576,MATCH(ROW(A46),Main!$D$4:$D$1048576,0))), "yyyy/m/d")</f>
        <v/>
      </c>
      <c r="N48" s="1" t="str">
        <f>IF(IF(ROW(A46)&gt;MAX(Main!$D$4:$D$1048576),"",INDEX(Main!G$4:G$1048576,MATCH(ROW(A46),Main!$D$4:$D$1048576,0)))="",IF(M48="","",N47),IF(ROW(A46)&gt;MAX(Main!$D$4:$D$1048576),"",INDEX(Main!G$4:G$1048576,MATCH(ROW(A46),Main!$D$4:$D$1048576,0))))</f>
        <v/>
      </c>
      <c r="O48" s="1" t="str">
        <f>IF(IF(ROW(B46)&gt;MAX(Main!$D$4:$D$1048576),"",INDEX(Main!H$4:H$1048576,MATCH(ROW(B46),Main!$D$4:$D$1048576,0)))="",IF(N48="","",O47),IF(ROW(B46)&gt;MAX(Main!$D$4:$D$1048576),"",INDEX(Main!H$4:H$1048576,MATCH(ROW(B46),Main!$D$4:$D$1048576,0))))</f>
        <v/>
      </c>
      <c r="P48" s="1" t="str">
        <f>IF(IF(ROW(C46)&gt;MAX(Main!$D$4:$D$1048576),"",INDEX(Main!I$4:I$1048576,MATCH(ROW(C46),Main!$D$4:$D$1048576,0)))="",IF(O48="","",P47),IF(ROW(C46)&gt;MAX(Main!$D$4:$D$1048576),"",INDEX(Main!I$4:I$1048576,MATCH(ROW(C46),Main!$D$4:$D$1048576,0))))</f>
        <v/>
      </c>
      <c r="Q48" s="1" t="str">
        <f t="shared" si="2"/>
        <v/>
      </c>
      <c r="R48" s="1" t="str">
        <f>IF(IF(ROW(D46)&gt;MAX(Main!$D$4:$D$1048576),"",INDEX(Main!J$4:J$1048576,MATCH(ROW(D46),Main!$D$4:$D$1048576,0)))="",IF(P48="","",R47),IF(ROW(D46)&gt;MAX(Main!$D$4:$D$1048576),"",INDEX(Main!J$4:J$1048576,MATCH(ROW(D46),Main!$D$4:$D$1048576,0))))</f>
        <v/>
      </c>
      <c r="S48" s="9" t="str">
        <f>IF(ROW(G46)&gt;MAX(Main!$D$4:$D$1048576),"",INDEX(Main!K$4:K$1048576,MATCH(ROW(G46),Main!$D$4:$D$1048576,0)))</f>
        <v/>
      </c>
      <c r="T48" s="1" t="str">
        <f>IF(S48&lt;&gt;"",IF(ROW(G46)&gt;MAX(Main!$D$4:$D$1048576),"",INDEX(Main!N$4:N$1048576,MATCH(ROW(G46),Main!$D$4:$D$1048576,0))),"")</f>
        <v/>
      </c>
      <c r="U48" s="1" t="str">
        <f>IF(IF(ROW(H46)&gt;MAX(Main!$D$4:$D$1048576),"",INDEX(Main!O$4:O$1048576,MATCH(ROW(H46),Main!$D$4:$D$1048576,0)))="",IF(T48="","",U47),IF(ROW(H46)&gt;MAX(Main!$D$4:$D$1048576),"",INDEX(Main!O$4:O$1048576,MATCH(ROW(H46),Main!$D$4:$D$1048576,0))))</f>
        <v/>
      </c>
    </row>
    <row r="49" spans="1:21" x14ac:dyDescent="0.4">
      <c r="A49" t="s">
        <v>21</v>
      </c>
      <c r="B49" s="4" t="str">
        <f>TEXT(IF(ROW(A47)&gt;MAX(Main!$C$4:$C$1048576),"",INDEX(Main!Q$4:Q$1048576,MATCH(ROW(A47),Main!$C$4:$C$1048576,0))), "yyyy/m/d")</f>
        <v/>
      </c>
      <c r="C49" s="1" t="str">
        <f>IF(IF(ROW(A47)&gt;MAX(Main!$C$4:$C$1048576),"",INDEX(Main!G$4:G$1048576,MATCH(ROW(A47),Main!$C$4:$C$1048576,0)))="",IF(B49="","",C48),IF(ROW(A47)&gt;MAX(Main!$C$4:$C$1048576),"",INDEX(Main!G$4:G$1048576,MATCH(ROW(A47),Main!$C$4:$C$1048576,0))))</f>
        <v/>
      </c>
      <c r="D49" s="1" t="str">
        <f>IF(IF(ROW(B47)&gt;MAX(Main!$C$4:$C$1048576),"",INDEX(Main!H$4:H$1048576,MATCH(ROW(B47),Main!$C$4:$C$1048576,0)))="",IF(C49="","",D48),IF(ROW(B47)&gt;MAX(Main!$C$4:$C$1048576),"",INDEX(Main!H$4:H$1048576,MATCH(ROW(B47),Main!$C$4:$C$1048576,0))))</f>
        <v/>
      </c>
      <c r="E49" s="1" t="str">
        <f>IF(IF(ROW(C47)&gt;MAX(Main!$C$4:$C$1048576),"",INDEX(Main!I$4:I$1048576,MATCH(ROW(C47),Main!$C$4:$C$1048576,0)))="",IF(D49="","",E48),IF(ROW(C47)&gt;MAX(Main!$C$4:$C$1048576),"",INDEX(Main!I$4:I$1048576,MATCH(ROW(C47),Main!$C$4:$C$1048576,0))))</f>
        <v/>
      </c>
      <c r="F49" s="1" t="str">
        <f t="shared" si="0"/>
        <v/>
      </c>
      <c r="G49" s="1" t="str">
        <f>IF(IF(ROW(D47)&gt;MAX(Main!$C$4:$C$1048576),"",INDEX(Main!J$4:J$1048576,MATCH(ROW(D47),Main!$C$4:$C$1048576,0)))="",IF(E49="","",G48),IF(ROW(D47)&gt;MAX(Main!$C$4:$C$1048576),"",INDEX(Main!J$4:J$1048576,MATCH(ROW(D47),Main!$C$4:$C$1048576,0))))</f>
        <v/>
      </c>
      <c r="H49" s="10" t="str">
        <f>IF(ROW(G47)&gt;MAX(Main!$C$4:$C$1048576),"",INDEX(Main!K$4:K$1048576,MATCH(ROW(G47),Main!$C$4:$C$1048576,0)))</f>
        <v/>
      </c>
      <c r="I49" s="1" t="str">
        <f>IF(H49&lt;&gt;"",IF(ROW(G47)&gt;MAX(Main!$C$4:$C$1048576),"",INDEX(Main!N$4:N$1048576,MATCH(ROW(G47),Main!$C$4:$C$1048576,0))),"")</f>
        <v/>
      </c>
      <c r="J49" s="1" t="str">
        <f>IF(IF(ROW(H47)&gt;MAX(Main!$C$4:$C$1048576),"",INDEX(Main!O$4:O$1048576,MATCH(ROW(H47),Main!$C$4:$C$1048576,0)))="",IF(I49="","",J48),IF(ROW(H47)&gt;MAX(Main!$C$4:$C$1048576),"",INDEX(Main!O$4:O$1048576,MATCH(ROW(H47),Main!$C$4:$C$1048576,0))))</f>
        <v/>
      </c>
      <c r="K49" s="27" t="str">
        <f t="shared" si="1"/>
        <v>例目</v>
      </c>
      <c r="M49" s="4" t="str">
        <f>TEXT(IF(ROW(A47)&gt;MAX(Main!$D$4:$D$1048576),"",INDEX(Main!Q$4:Q$1048576,MATCH(ROW(A47),Main!$D$4:$D$1048576,0))), "yyyy/m/d")</f>
        <v/>
      </c>
      <c r="N49" s="1" t="str">
        <f>IF(IF(ROW(A47)&gt;MAX(Main!$D$4:$D$1048576),"",INDEX(Main!G$4:G$1048576,MATCH(ROW(A47),Main!$D$4:$D$1048576,0)))="",IF(M49="","",N48),IF(ROW(A47)&gt;MAX(Main!$D$4:$D$1048576),"",INDEX(Main!G$4:G$1048576,MATCH(ROW(A47),Main!$D$4:$D$1048576,0))))</f>
        <v/>
      </c>
      <c r="O49" s="1" t="str">
        <f>IF(IF(ROW(B47)&gt;MAX(Main!$D$4:$D$1048576),"",INDEX(Main!H$4:H$1048576,MATCH(ROW(B47),Main!$D$4:$D$1048576,0)))="",IF(N49="","",O48),IF(ROW(B47)&gt;MAX(Main!$D$4:$D$1048576),"",INDEX(Main!H$4:H$1048576,MATCH(ROW(B47),Main!$D$4:$D$1048576,0))))</f>
        <v/>
      </c>
      <c r="P49" s="1" t="str">
        <f>IF(IF(ROW(C47)&gt;MAX(Main!$D$4:$D$1048576),"",INDEX(Main!I$4:I$1048576,MATCH(ROW(C47),Main!$D$4:$D$1048576,0)))="",IF(O49="","",P48),IF(ROW(C47)&gt;MAX(Main!$D$4:$D$1048576),"",INDEX(Main!I$4:I$1048576,MATCH(ROW(C47),Main!$D$4:$D$1048576,0))))</f>
        <v/>
      </c>
      <c r="Q49" s="1" t="str">
        <f t="shared" si="2"/>
        <v/>
      </c>
      <c r="R49" s="1" t="str">
        <f>IF(IF(ROW(D47)&gt;MAX(Main!$D$4:$D$1048576),"",INDEX(Main!J$4:J$1048576,MATCH(ROW(D47),Main!$D$4:$D$1048576,0)))="",IF(P49="","",R48),IF(ROW(D47)&gt;MAX(Main!$D$4:$D$1048576),"",INDEX(Main!J$4:J$1048576,MATCH(ROW(D47),Main!$D$4:$D$1048576,0))))</f>
        <v/>
      </c>
      <c r="S49" s="9" t="str">
        <f>IF(ROW(G47)&gt;MAX(Main!$D$4:$D$1048576),"",INDEX(Main!K$4:K$1048576,MATCH(ROW(G47),Main!$D$4:$D$1048576,0)))</f>
        <v/>
      </c>
      <c r="T49" s="1" t="str">
        <f>IF(S49&lt;&gt;"",IF(ROW(G47)&gt;MAX(Main!$D$4:$D$1048576),"",INDEX(Main!N$4:N$1048576,MATCH(ROW(G47),Main!$D$4:$D$1048576,0))),"")</f>
        <v/>
      </c>
      <c r="U49" s="1" t="str">
        <f>IF(IF(ROW(H47)&gt;MAX(Main!$D$4:$D$1048576),"",INDEX(Main!O$4:O$1048576,MATCH(ROW(H47),Main!$D$4:$D$1048576,0)))="",IF(T49="","",U48),IF(ROW(H47)&gt;MAX(Main!$D$4:$D$1048576),"",INDEX(Main!O$4:O$1048576,MATCH(ROW(H47),Main!$D$4:$D$1048576,0))))</f>
        <v/>
      </c>
    </row>
    <row r="50" spans="1:21" x14ac:dyDescent="0.4">
      <c r="A50" t="s">
        <v>21</v>
      </c>
      <c r="B50" s="4" t="str">
        <f>TEXT(IF(ROW(A48)&gt;MAX(Main!$C$4:$C$1048576),"",INDEX(Main!Q$4:Q$1048576,MATCH(ROW(A48),Main!$C$4:$C$1048576,0))), "yyyy/m/d")</f>
        <v/>
      </c>
      <c r="C50" s="1" t="str">
        <f>IF(IF(ROW(A48)&gt;MAX(Main!$C$4:$C$1048576),"",INDEX(Main!G$4:G$1048576,MATCH(ROW(A48),Main!$C$4:$C$1048576,0)))="",IF(B50="","",C49),IF(ROW(A48)&gt;MAX(Main!$C$4:$C$1048576),"",INDEX(Main!G$4:G$1048576,MATCH(ROW(A48),Main!$C$4:$C$1048576,0))))</f>
        <v/>
      </c>
      <c r="D50" s="1" t="str">
        <f>IF(IF(ROW(B48)&gt;MAX(Main!$C$4:$C$1048576),"",INDEX(Main!H$4:H$1048576,MATCH(ROW(B48),Main!$C$4:$C$1048576,0)))="",IF(C50="","",D49),IF(ROW(B48)&gt;MAX(Main!$C$4:$C$1048576),"",INDEX(Main!H$4:H$1048576,MATCH(ROW(B48),Main!$C$4:$C$1048576,0))))</f>
        <v/>
      </c>
      <c r="E50" s="1" t="str">
        <f>IF(IF(ROW(C48)&gt;MAX(Main!$C$4:$C$1048576),"",INDEX(Main!I$4:I$1048576,MATCH(ROW(C48),Main!$C$4:$C$1048576,0)))="",IF(D50="","",E49),IF(ROW(C48)&gt;MAX(Main!$C$4:$C$1048576),"",INDEX(Main!I$4:I$1048576,MATCH(ROW(C48),Main!$C$4:$C$1048576,0))))</f>
        <v/>
      </c>
      <c r="F50" s="1" t="str">
        <f t="shared" si="0"/>
        <v/>
      </c>
      <c r="G50" s="1" t="str">
        <f>IF(IF(ROW(D48)&gt;MAX(Main!$C$4:$C$1048576),"",INDEX(Main!J$4:J$1048576,MATCH(ROW(D48),Main!$C$4:$C$1048576,0)))="",IF(E50="","",G49),IF(ROW(D48)&gt;MAX(Main!$C$4:$C$1048576),"",INDEX(Main!J$4:J$1048576,MATCH(ROW(D48),Main!$C$4:$C$1048576,0))))</f>
        <v/>
      </c>
      <c r="H50" s="10" t="str">
        <f>IF(ROW(G48)&gt;MAX(Main!$C$4:$C$1048576),"",INDEX(Main!K$4:K$1048576,MATCH(ROW(G48),Main!$C$4:$C$1048576,0)))</f>
        <v/>
      </c>
      <c r="I50" s="1" t="str">
        <f>IF(H50&lt;&gt;"",IF(ROW(G48)&gt;MAX(Main!$C$4:$C$1048576),"",INDEX(Main!N$4:N$1048576,MATCH(ROW(G48),Main!$C$4:$C$1048576,0))),"")</f>
        <v/>
      </c>
      <c r="J50" s="1" t="str">
        <f>IF(IF(ROW(H48)&gt;MAX(Main!$C$4:$C$1048576),"",INDEX(Main!O$4:O$1048576,MATCH(ROW(H48),Main!$C$4:$C$1048576,0)))="",IF(I50="","",J49),IF(ROW(H48)&gt;MAX(Main!$C$4:$C$1048576),"",INDEX(Main!O$4:O$1048576,MATCH(ROW(H48),Main!$C$4:$C$1048576,0))))</f>
        <v/>
      </c>
      <c r="K50" s="27" t="str">
        <f t="shared" si="1"/>
        <v>例目</v>
      </c>
      <c r="M50" s="4" t="str">
        <f>TEXT(IF(ROW(A48)&gt;MAX(Main!$D$4:$D$1048576),"",INDEX(Main!Q$4:Q$1048576,MATCH(ROW(A48),Main!$D$4:$D$1048576,0))), "yyyy/m/d")</f>
        <v/>
      </c>
      <c r="N50" s="1" t="str">
        <f>IF(IF(ROW(A48)&gt;MAX(Main!$D$4:$D$1048576),"",INDEX(Main!G$4:G$1048576,MATCH(ROW(A48),Main!$D$4:$D$1048576,0)))="",IF(M50="","",N49),IF(ROW(A48)&gt;MAX(Main!$D$4:$D$1048576),"",INDEX(Main!G$4:G$1048576,MATCH(ROW(A48),Main!$D$4:$D$1048576,0))))</f>
        <v/>
      </c>
      <c r="O50" s="1" t="str">
        <f>IF(IF(ROW(B48)&gt;MAX(Main!$D$4:$D$1048576),"",INDEX(Main!H$4:H$1048576,MATCH(ROW(B48),Main!$D$4:$D$1048576,0)))="",IF(N50="","",O49),IF(ROW(B48)&gt;MAX(Main!$D$4:$D$1048576),"",INDEX(Main!H$4:H$1048576,MATCH(ROW(B48),Main!$D$4:$D$1048576,0))))</f>
        <v/>
      </c>
      <c r="P50" s="1" t="str">
        <f>IF(IF(ROW(C48)&gt;MAX(Main!$D$4:$D$1048576),"",INDEX(Main!I$4:I$1048576,MATCH(ROW(C48),Main!$D$4:$D$1048576,0)))="",IF(O50="","",P49),IF(ROW(C48)&gt;MAX(Main!$D$4:$D$1048576),"",INDEX(Main!I$4:I$1048576,MATCH(ROW(C48),Main!$D$4:$D$1048576,0))))</f>
        <v/>
      </c>
      <c r="Q50" s="1" t="str">
        <f t="shared" si="2"/>
        <v/>
      </c>
      <c r="R50" s="1" t="str">
        <f>IF(IF(ROW(D48)&gt;MAX(Main!$D$4:$D$1048576),"",INDEX(Main!J$4:J$1048576,MATCH(ROW(D48),Main!$D$4:$D$1048576,0)))="",IF(P50="","",R49),IF(ROW(D48)&gt;MAX(Main!$D$4:$D$1048576),"",INDEX(Main!J$4:J$1048576,MATCH(ROW(D48),Main!$D$4:$D$1048576,0))))</f>
        <v/>
      </c>
      <c r="S50" s="9" t="str">
        <f>IF(ROW(G48)&gt;MAX(Main!$D$4:$D$1048576),"",INDEX(Main!K$4:K$1048576,MATCH(ROW(G48),Main!$D$4:$D$1048576,0)))</f>
        <v/>
      </c>
      <c r="T50" s="1" t="str">
        <f>IF(S50&lt;&gt;"",IF(ROW(G48)&gt;MAX(Main!$D$4:$D$1048576),"",INDEX(Main!N$4:N$1048576,MATCH(ROW(G48),Main!$D$4:$D$1048576,0))),"")</f>
        <v/>
      </c>
      <c r="U50" s="1" t="str">
        <f>IF(IF(ROW(H48)&gt;MAX(Main!$D$4:$D$1048576),"",INDEX(Main!O$4:O$1048576,MATCH(ROW(H48),Main!$D$4:$D$1048576,0)))="",IF(T50="","",U49),IF(ROW(H48)&gt;MAX(Main!$D$4:$D$1048576),"",INDEX(Main!O$4:O$1048576,MATCH(ROW(H48),Main!$D$4:$D$1048576,0))))</f>
        <v/>
      </c>
    </row>
    <row r="51" spans="1:21" x14ac:dyDescent="0.4">
      <c r="A51" t="s">
        <v>21</v>
      </c>
      <c r="B51" s="4" t="str">
        <f>TEXT(IF(ROW(A49)&gt;MAX(Main!$C$4:$C$1048576),"",INDEX(Main!Q$4:Q$1048576,MATCH(ROW(A49),Main!$C$4:$C$1048576,0))), "yyyy/m/d")</f>
        <v/>
      </c>
      <c r="C51" s="1" t="str">
        <f>IF(IF(ROW(A49)&gt;MAX(Main!$C$4:$C$1048576),"",INDEX(Main!G$4:G$1048576,MATCH(ROW(A49),Main!$C$4:$C$1048576,0)))="",IF(B51="","",C50),IF(ROW(A49)&gt;MAX(Main!$C$4:$C$1048576),"",INDEX(Main!G$4:G$1048576,MATCH(ROW(A49),Main!$C$4:$C$1048576,0))))</f>
        <v/>
      </c>
      <c r="D51" s="1" t="str">
        <f>IF(IF(ROW(B49)&gt;MAX(Main!$C$4:$C$1048576),"",INDEX(Main!H$4:H$1048576,MATCH(ROW(B49),Main!$C$4:$C$1048576,0)))="",IF(C51="","",D50),IF(ROW(B49)&gt;MAX(Main!$C$4:$C$1048576),"",INDEX(Main!H$4:H$1048576,MATCH(ROW(B49),Main!$C$4:$C$1048576,0))))</f>
        <v/>
      </c>
      <c r="E51" s="1" t="str">
        <f>IF(IF(ROW(C49)&gt;MAX(Main!$C$4:$C$1048576),"",INDEX(Main!I$4:I$1048576,MATCH(ROW(C49),Main!$C$4:$C$1048576,0)))="",IF(D51="","",E50),IF(ROW(C49)&gt;MAX(Main!$C$4:$C$1048576),"",INDEX(Main!I$4:I$1048576,MATCH(ROW(C49),Main!$C$4:$C$1048576,0))))</f>
        <v/>
      </c>
      <c r="F51" s="1" t="str">
        <f t="shared" si="0"/>
        <v/>
      </c>
      <c r="G51" s="1" t="str">
        <f>IF(IF(ROW(D49)&gt;MAX(Main!$C$4:$C$1048576),"",INDEX(Main!J$4:J$1048576,MATCH(ROW(D49),Main!$C$4:$C$1048576,0)))="",IF(E51="","",G50),IF(ROW(D49)&gt;MAX(Main!$C$4:$C$1048576),"",INDEX(Main!J$4:J$1048576,MATCH(ROW(D49),Main!$C$4:$C$1048576,0))))</f>
        <v/>
      </c>
      <c r="H51" s="10" t="str">
        <f>IF(ROW(G49)&gt;MAX(Main!$C$4:$C$1048576),"",INDEX(Main!K$4:K$1048576,MATCH(ROW(G49),Main!$C$4:$C$1048576,0)))</f>
        <v/>
      </c>
      <c r="I51" s="1" t="str">
        <f>IF(H51&lt;&gt;"",IF(ROW(G49)&gt;MAX(Main!$C$4:$C$1048576),"",INDEX(Main!N$4:N$1048576,MATCH(ROW(G49),Main!$C$4:$C$1048576,0))),"")</f>
        <v/>
      </c>
      <c r="J51" s="1" t="str">
        <f>IF(IF(ROW(H49)&gt;MAX(Main!$C$4:$C$1048576),"",INDEX(Main!O$4:O$1048576,MATCH(ROW(H49),Main!$C$4:$C$1048576,0)))="",IF(I51="","",J50),IF(ROW(H49)&gt;MAX(Main!$C$4:$C$1048576),"",INDEX(Main!O$4:O$1048576,MATCH(ROW(H49),Main!$C$4:$C$1048576,0))))</f>
        <v/>
      </c>
      <c r="K51" s="27" t="str">
        <f t="shared" si="1"/>
        <v>例目</v>
      </c>
      <c r="M51" s="4" t="str">
        <f>TEXT(IF(ROW(A49)&gt;MAX(Main!$D$4:$D$1048576),"",INDEX(Main!Q$4:Q$1048576,MATCH(ROW(A49),Main!$D$4:$D$1048576,0))), "yyyy/m/d")</f>
        <v/>
      </c>
      <c r="N51" s="1" t="str">
        <f>IF(IF(ROW(A49)&gt;MAX(Main!$D$4:$D$1048576),"",INDEX(Main!G$4:G$1048576,MATCH(ROW(A49),Main!$D$4:$D$1048576,0)))="",IF(M51="","",N50),IF(ROW(A49)&gt;MAX(Main!$D$4:$D$1048576),"",INDEX(Main!G$4:G$1048576,MATCH(ROW(A49),Main!$D$4:$D$1048576,0))))</f>
        <v/>
      </c>
      <c r="O51" s="1" t="str">
        <f>IF(IF(ROW(B49)&gt;MAX(Main!$D$4:$D$1048576),"",INDEX(Main!H$4:H$1048576,MATCH(ROW(B49),Main!$D$4:$D$1048576,0)))="",IF(N51="","",O50),IF(ROW(B49)&gt;MAX(Main!$D$4:$D$1048576),"",INDEX(Main!H$4:H$1048576,MATCH(ROW(B49),Main!$D$4:$D$1048576,0))))</f>
        <v/>
      </c>
      <c r="P51" s="1" t="str">
        <f>IF(IF(ROW(C49)&gt;MAX(Main!$D$4:$D$1048576),"",INDEX(Main!I$4:I$1048576,MATCH(ROW(C49),Main!$D$4:$D$1048576,0)))="",IF(O51="","",P50),IF(ROW(C49)&gt;MAX(Main!$D$4:$D$1048576),"",INDEX(Main!I$4:I$1048576,MATCH(ROW(C49),Main!$D$4:$D$1048576,0))))</f>
        <v/>
      </c>
      <c r="Q51" s="1" t="str">
        <f t="shared" si="2"/>
        <v/>
      </c>
      <c r="R51" s="1" t="str">
        <f>IF(IF(ROW(D49)&gt;MAX(Main!$D$4:$D$1048576),"",INDEX(Main!J$4:J$1048576,MATCH(ROW(D49),Main!$D$4:$D$1048576,0)))="",IF(P51="","",R50),IF(ROW(D49)&gt;MAX(Main!$D$4:$D$1048576),"",INDEX(Main!J$4:J$1048576,MATCH(ROW(D49),Main!$D$4:$D$1048576,0))))</f>
        <v/>
      </c>
      <c r="S51" s="9" t="str">
        <f>IF(ROW(G49)&gt;MAX(Main!$D$4:$D$1048576),"",INDEX(Main!K$4:K$1048576,MATCH(ROW(G49),Main!$D$4:$D$1048576,0)))</f>
        <v/>
      </c>
      <c r="T51" s="1" t="str">
        <f>IF(S51&lt;&gt;"",IF(ROW(G49)&gt;MAX(Main!$D$4:$D$1048576),"",INDEX(Main!N$4:N$1048576,MATCH(ROW(G49),Main!$D$4:$D$1048576,0))),"")</f>
        <v/>
      </c>
      <c r="U51" s="1" t="str">
        <f>IF(IF(ROW(H49)&gt;MAX(Main!$D$4:$D$1048576),"",INDEX(Main!O$4:O$1048576,MATCH(ROW(H49),Main!$D$4:$D$1048576,0)))="",IF(T51="","",U50),IF(ROW(H49)&gt;MAX(Main!$D$4:$D$1048576),"",INDEX(Main!O$4:O$1048576,MATCH(ROW(H49),Main!$D$4:$D$1048576,0))))</f>
        <v/>
      </c>
    </row>
    <row r="52" spans="1:21" x14ac:dyDescent="0.4">
      <c r="A52" t="s">
        <v>21</v>
      </c>
      <c r="B52" s="4" t="str">
        <f>TEXT(IF(ROW(A50)&gt;MAX(Main!$C$4:$C$1048576),"",INDEX(Main!Q$4:Q$1048576,MATCH(ROW(A50),Main!$C$4:$C$1048576,0))), "yyyy/m/d")</f>
        <v/>
      </c>
      <c r="C52" s="1" t="str">
        <f>IF(IF(ROW(A50)&gt;MAX(Main!$C$4:$C$1048576),"",INDEX(Main!G$4:G$1048576,MATCH(ROW(A50),Main!$C$4:$C$1048576,0)))="",IF(B52="","",C51),IF(ROW(A50)&gt;MAX(Main!$C$4:$C$1048576),"",INDEX(Main!G$4:G$1048576,MATCH(ROW(A50),Main!$C$4:$C$1048576,0))))</f>
        <v/>
      </c>
      <c r="D52" s="1" t="str">
        <f>IF(IF(ROW(B50)&gt;MAX(Main!$C$4:$C$1048576),"",INDEX(Main!H$4:H$1048576,MATCH(ROW(B50),Main!$C$4:$C$1048576,0)))="",IF(C52="","",D51),IF(ROW(B50)&gt;MAX(Main!$C$4:$C$1048576),"",INDEX(Main!H$4:H$1048576,MATCH(ROW(B50),Main!$C$4:$C$1048576,0))))</f>
        <v/>
      </c>
      <c r="E52" s="1" t="str">
        <f>IF(IF(ROW(C50)&gt;MAX(Main!$C$4:$C$1048576),"",INDEX(Main!I$4:I$1048576,MATCH(ROW(C50),Main!$C$4:$C$1048576,0)))="",IF(D52="","",E51),IF(ROW(C50)&gt;MAX(Main!$C$4:$C$1048576),"",INDEX(Main!I$4:I$1048576,MATCH(ROW(C50),Main!$C$4:$C$1048576,0))))</f>
        <v/>
      </c>
      <c r="F52" s="1" t="str">
        <f t="shared" si="0"/>
        <v/>
      </c>
      <c r="G52" s="1" t="str">
        <f>IF(IF(ROW(D50)&gt;MAX(Main!$C$4:$C$1048576),"",INDEX(Main!J$4:J$1048576,MATCH(ROW(D50),Main!$C$4:$C$1048576,0)))="",IF(E52="","",G51),IF(ROW(D50)&gt;MAX(Main!$C$4:$C$1048576),"",INDEX(Main!J$4:J$1048576,MATCH(ROW(D50),Main!$C$4:$C$1048576,0))))</f>
        <v/>
      </c>
      <c r="H52" s="10" t="str">
        <f>IF(ROW(G50)&gt;MAX(Main!$C$4:$C$1048576),"",INDEX(Main!K$4:K$1048576,MATCH(ROW(G50),Main!$C$4:$C$1048576,0)))</f>
        <v/>
      </c>
      <c r="I52" s="1" t="str">
        <f>IF(H52&lt;&gt;"",IF(ROW(G50)&gt;MAX(Main!$C$4:$C$1048576),"",INDEX(Main!N$4:N$1048576,MATCH(ROW(G50),Main!$C$4:$C$1048576,0))),"")</f>
        <v/>
      </c>
      <c r="J52" s="1" t="str">
        <f>IF(IF(ROW(H50)&gt;MAX(Main!$C$4:$C$1048576),"",INDEX(Main!O$4:O$1048576,MATCH(ROW(H50),Main!$C$4:$C$1048576,0)))="",IF(I52="","",J51),IF(ROW(H50)&gt;MAX(Main!$C$4:$C$1048576),"",INDEX(Main!O$4:O$1048576,MATCH(ROW(H50),Main!$C$4:$C$1048576,0))))</f>
        <v/>
      </c>
      <c r="K52" s="27" t="str">
        <f t="shared" si="1"/>
        <v>例目</v>
      </c>
      <c r="M52" s="4" t="str">
        <f>TEXT(IF(ROW(A50)&gt;MAX(Main!$D$4:$D$1048576),"",INDEX(Main!Q$4:Q$1048576,MATCH(ROW(A50),Main!$D$4:$D$1048576,0))), "yyyy/m/d")</f>
        <v/>
      </c>
      <c r="N52" s="1" t="str">
        <f>IF(IF(ROW(A50)&gt;MAX(Main!$D$4:$D$1048576),"",INDEX(Main!G$4:G$1048576,MATCH(ROW(A50),Main!$D$4:$D$1048576,0)))="",IF(M52="","",N51),IF(ROW(A50)&gt;MAX(Main!$D$4:$D$1048576),"",INDEX(Main!G$4:G$1048576,MATCH(ROW(A50),Main!$D$4:$D$1048576,0))))</f>
        <v/>
      </c>
      <c r="O52" s="1" t="str">
        <f>IF(IF(ROW(B50)&gt;MAX(Main!$D$4:$D$1048576),"",INDEX(Main!H$4:H$1048576,MATCH(ROW(B50),Main!$D$4:$D$1048576,0)))="",IF(N52="","",O51),IF(ROW(B50)&gt;MAX(Main!$D$4:$D$1048576),"",INDEX(Main!H$4:H$1048576,MATCH(ROW(B50),Main!$D$4:$D$1048576,0))))</f>
        <v/>
      </c>
      <c r="P52" s="1" t="str">
        <f>IF(IF(ROW(C50)&gt;MAX(Main!$D$4:$D$1048576),"",INDEX(Main!I$4:I$1048576,MATCH(ROW(C50),Main!$D$4:$D$1048576,0)))="",IF(O52="","",P51),IF(ROW(C50)&gt;MAX(Main!$D$4:$D$1048576),"",INDEX(Main!I$4:I$1048576,MATCH(ROW(C50),Main!$D$4:$D$1048576,0))))</f>
        <v/>
      </c>
      <c r="Q52" s="1" t="str">
        <f t="shared" si="2"/>
        <v/>
      </c>
      <c r="R52" s="1" t="str">
        <f>IF(IF(ROW(D50)&gt;MAX(Main!$D$4:$D$1048576),"",INDEX(Main!J$4:J$1048576,MATCH(ROW(D50),Main!$D$4:$D$1048576,0)))="",IF(P52="","",R51),IF(ROW(D50)&gt;MAX(Main!$D$4:$D$1048576),"",INDEX(Main!J$4:J$1048576,MATCH(ROW(D50),Main!$D$4:$D$1048576,0))))</f>
        <v/>
      </c>
      <c r="S52" s="9" t="str">
        <f>IF(ROW(G50)&gt;MAX(Main!$D$4:$D$1048576),"",INDEX(Main!K$4:K$1048576,MATCH(ROW(G50),Main!$D$4:$D$1048576,0)))</f>
        <v/>
      </c>
      <c r="T52" s="1" t="str">
        <f>IF(S52&lt;&gt;"",IF(ROW(G50)&gt;MAX(Main!$D$4:$D$1048576),"",INDEX(Main!N$4:N$1048576,MATCH(ROW(G50),Main!$D$4:$D$1048576,0))),"")</f>
        <v/>
      </c>
      <c r="U52" s="1" t="str">
        <f>IF(IF(ROW(H50)&gt;MAX(Main!$D$4:$D$1048576),"",INDEX(Main!O$4:O$1048576,MATCH(ROW(H50),Main!$D$4:$D$1048576,0)))="",IF(T52="","",U51),IF(ROW(H50)&gt;MAX(Main!$D$4:$D$1048576),"",INDEX(Main!O$4:O$1048576,MATCH(ROW(H50),Main!$D$4:$D$1048576,0))))</f>
        <v/>
      </c>
    </row>
    <row r="53" spans="1:21" x14ac:dyDescent="0.4">
      <c r="A53" t="s">
        <v>21</v>
      </c>
      <c r="B53" s="4" t="str">
        <f>TEXT(IF(ROW(A51)&gt;MAX(Main!$C$4:$C$1048576),"",INDEX(Main!Q$4:Q$1048576,MATCH(ROW(A51),Main!$C$4:$C$1048576,0))), "yyyy/m/d")</f>
        <v/>
      </c>
      <c r="C53" s="1" t="str">
        <f>IF(IF(ROW(A51)&gt;MAX(Main!$C$4:$C$1048576),"",INDEX(Main!G$4:G$1048576,MATCH(ROW(A51),Main!$C$4:$C$1048576,0)))="",IF(B53="","",C52),IF(ROW(A51)&gt;MAX(Main!$C$4:$C$1048576),"",INDEX(Main!G$4:G$1048576,MATCH(ROW(A51),Main!$C$4:$C$1048576,0))))</f>
        <v/>
      </c>
      <c r="D53" s="1" t="str">
        <f>IF(IF(ROW(B51)&gt;MAX(Main!$C$4:$C$1048576),"",INDEX(Main!H$4:H$1048576,MATCH(ROW(B51),Main!$C$4:$C$1048576,0)))="",IF(C53="","",D52),IF(ROW(B51)&gt;MAX(Main!$C$4:$C$1048576),"",INDEX(Main!H$4:H$1048576,MATCH(ROW(B51),Main!$C$4:$C$1048576,0))))</f>
        <v/>
      </c>
      <c r="E53" s="1" t="str">
        <f>IF(IF(ROW(C51)&gt;MAX(Main!$C$4:$C$1048576),"",INDEX(Main!I$4:I$1048576,MATCH(ROW(C51),Main!$C$4:$C$1048576,0)))="",IF(D53="","",E52),IF(ROW(C51)&gt;MAX(Main!$C$4:$C$1048576),"",INDEX(Main!I$4:I$1048576,MATCH(ROW(C51),Main!$C$4:$C$1048576,0))))</f>
        <v/>
      </c>
      <c r="F53" s="1" t="str">
        <f t="shared" si="0"/>
        <v/>
      </c>
      <c r="G53" s="1" t="str">
        <f>IF(IF(ROW(D51)&gt;MAX(Main!$C$4:$C$1048576),"",INDEX(Main!J$4:J$1048576,MATCH(ROW(D51),Main!$C$4:$C$1048576,0)))="",IF(E53="","",G52),IF(ROW(D51)&gt;MAX(Main!$C$4:$C$1048576),"",INDEX(Main!J$4:J$1048576,MATCH(ROW(D51),Main!$C$4:$C$1048576,0))))</f>
        <v/>
      </c>
      <c r="H53" s="10" t="str">
        <f>IF(ROW(G51)&gt;MAX(Main!$C$4:$C$1048576),"",INDEX(Main!K$4:K$1048576,MATCH(ROW(G51),Main!$C$4:$C$1048576,0)))</f>
        <v/>
      </c>
      <c r="I53" s="1" t="str">
        <f>IF(H53&lt;&gt;"",IF(ROW(G51)&gt;MAX(Main!$C$4:$C$1048576),"",INDEX(Main!N$4:N$1048576,MATCH(ROW(G51),Main!$C$4:$C$1048576,0))),"")</f>
        <v/>
      </c>
      <c r="J53" s="1" t="str">
        <f>IF(IF(ROW(H51)&gt;MAX(Main!$C$4:$C$1048576),"",INDEX(Main!O$4:O$1048576,MATCH(ROW(H51),Main!$C$4:$C$1048576,0)))="",IF(I53="","",J52),IF(ROW(H51)&gt;MAX(Main!$C$4:$C$1048576),"",INDEX(Main!O$4:O$1048576,MATCH(ROW(H51),Main!$C$4:$C$1048576,0))))</f>
        <v/>
      </c>
      <c r="K53" s="27" t="str">
        <f t="shared" si="1"/>
        <v>例目</v>
      </c>
      <c r="M53" s="4" t="str">
        <f>TEXT(IF(ROW(A51)&gt;MAX(Main!$D$4:$D$1048576),"",INDEX(Main!Q$4:Q$1048576,MATCH(ROW(A51),Main!$D$4:$D$1048576,0))), "yyyy/m/d")</f>
        <v/>
      </c>
      <c r="N53" s="1" t="str">
        <f>IF(IF(ROW(A51)&gt;MAX(Main!$D$4:$D$1048576),"",INDEX(Main!G$4:G$1048576,MATCH(ROW(A51),Main!$D$4:$D$1048576,0)))="",IF(M53="","",N52),IF(ROW(A51)&gt;MAX(Main!$D$4:$D$1048576),"",INDEX(Main!G$4:G$1048576,MATCH(ROW(A51),Main!$D$4:$D$1048576,0))))</f>
        <v/>
      </c>
      <c r="O53" s="1" t="str">
        <f>IF(IF(ROW(B51)&gt;MAX(Main!$D$4:$D$1048576),"",INDEX(Main!H$4:H$1048576,MATCH(ROW(B51),Main!$D$4:$D$1048576,0)))="",IF(N53="","",O52),IF(ROW(B51)&gt;MAX(Main!$D$4:$D$1048576),"",INDEX(Main!H$4:H$1048576,MATCH(ROW(B51),Main!$D$4:$D$1048576,0))))</f>
        <v/>
      </c>
      <c r="P53" s="1" t="str">
        <f>IF(IF(ROW(C51)&gt;MAX(Main!$D$4:$D$1048576),"",INDEX(Main!I$4:I$1048576,MATCH(ROW(C51),Main!$D$4:$D$1048576,0)))="",IF(O53="","",P52),IF(ROW(C51)&gt;MAX(Main!$D$4:$D$1048576),"",INDEX(Main!I$4:I$1048576,MATCH(ROW(C51),Main!$D$4:$D$1048576,0))))</f>
        <v/>
      </c>
      <c r="Q53" s="1" t="str">
        <f t="shared" si="2"/>
        <v/>
      </c>
      <c r="R53" s="1" t="str">
        <f>IF(IF(ROW(D51)&gt;MAX(Main!$D$4:$D$1048576),"",INDEX(Main!J$4:J$1048576,MATCH(ROW(D51),Main!$D$4:$D$1048576,0)))="",IF(P53="","",R52),IF(ROW(D51)&gt;MAX(Main!$D$4:$D$1048576),"",INDEX(Main!J$4:J$1048576,MATCH(ROW(D51),Main!$D$4:$D$1048576,0))))</f>
        <v/>
      </c>
      <c r="S53" s="9" t="str">
        <f>IF(ROW(G51)&gt;MAX(Main!$D$4:$D$1048576),"",INDEX(Main!K$4:K$1048576,MATCH(ROW(G51),Main!$D$4:$D$1048576,0)))</f>
        <v/>
      </c>
      <c r="T53" s="1" t="str">
        <f>IF(S53&lt;&gt;"",IF(ROW(G51)&gt;MAX(Main!$D$4:$D$1048576),"",INDEX(Main!N$4:N$1048576,MATCH(ROW(G51),Main!$D$4:$D$1048576,0))),"")</f>
        <v/>
      </c>
      <c r="U53" s="1" t="str">
        <f>IF(IF(ROW(H51)&gt;MAX(Main!$D$4:$D$1048576),"",INDEX(Main!O$4:O$1048576,MATCH(ROW(H51),Main!$D$4:$D$1048576,0)))="",IF(T53="","",U52),IF(ROW(H51)&gt;MAX(Main!$D$4:$D$1048576),"",INDEX(Main!O$4:O$1048576,MATCH(ROW(H51),Main!$D$4:$D$1048576,0))))</f>
        <v/>
      </c>
    </row>
    <row r="54" spans="1:21" x14ac:dyDescent="0.4">
      <c r="A54" t="s">
        <v>21</v>
      </c>
      <c r="B54" s="4" t="str">
        <f>TEXT(IF(ROW(A52)&gt;MAX(Main!$C$4:$C$1048576),"",INDEX(Main!Q$4:Q$1048576,MATCH(ROW(A52),Main!$C$4:$C$1048576,0))), "yyyy/m/d")</f>
        <v/>
      </c>
      <c r="C54" s="1" t="str">
        <f>IF(IF(ROW(A52)&gt;MAX(Main!$C$4:$C$1048576),"",INDEX(Main!G$4:G$1048576,MATCH(ROW(A52),Main!$C$4:$C$1048576,0)))="",IF(B54="","",C53),IF(ROW(A52)&gt;MAX(Main!$C$4:$C$1048576),"",INDEX(Main!G$4:G$1048576,MATCH(ROW(A52),Main!$C$4:$C$1048576,0))))</f>
        <v/>
      </c>
      <c r="D54" s="1" t="str">
        <f>IF(IF(ROW(B52)&gt;MAX(Main!$C$4:$C$1048576),"",INDEX(Main!H$4:H$1048576,MATCH(ROW(B52),Main!$C$4:$C$1048576,0)))="",IF(C54="","",D53),IF(ROW(B52)&gt;MAX(Main!$C$4:$C$1048576),"",INDEX(Main!H$4:H$1048576,MATCH(ROW(B52),Main!$C$4:$C$1048576,0))))</f>
        <v/>
      </c>
      <c r="E54" s="1" t="str">
        <f>IF(IF(ROW(C52)&gt;MAX(Main!$C$4:$C$1048576),"",INDEX(Main!I$4:I$1048576,MATCH(ROW(C52),Main!$C$4:$C$1048576,0)))="",IF(D54="","",E53),IF(ROW(C52)&gt;MAX(Main!$C$4:$C$1048576),"",INDEX(Main!I$4:I$1048576,MATCH(ROW(C52),Main!$C$4:$C$1048576,0))))</f>
        <v/>
      </c>
      <c r="F54" s="1" t="str">
        <f t="shared" si="0"/>
        <v/>
      </c>
      <c r="G54" s="1" t="str">
        <f>IF(IF(ROW(D52)&gt;MAX(Main!$C$4:$C$1048576),"",INDEX(Main!J$4:J$1048576,MATCH(ROW(D52),Main!$C$4:$C$1048576,0)))="",IF(E54="","",G53),IF(ROW(D52)&gt;MAX(Main!$C$4:$C$1048576),"",INDEX(Main!J$4:J$1048576,MATCH(ROW(D52),Main!$C$4:$C$1048576,0))))</f>
        <v/>
      </c>
      <c r="H54" s="10" t="str">
        <f>IF(ROW(G52)&gt;MAX(Main!$C$4:$C$1048576),"",INDEX(Main!K$4:K$1048576,MATCH(ROW(G52),Main!$C$4:$C$1048576,0)))</f>
        <v/>
      </c>
      <c r="I54" s="1" t="str">
        <f>IF(H54&lt;&gt;"",IF(ROW(G52)&gt;MAX(Main!$C$4:$C$1048576),"",INDEX(Main!N$4:N$1048576,MATCH(ROW(G52),Main!$C$4:$C$1048576,0))),"")</f>
        <v/>
      </c>
      <c r="J54" s="1" t="str">
        <f>IF(IF(ROW(H52)&gt;MAX(Main!$C$4:$C$1048576),"",INDEX(Main!O$4:O$1048576,MATCH(ROW(H52),Main!$C$4:$C$1048576,0)))="",IF(I54="","",J53),IF(ROW(H52)&gt;MAX(Main!$C$4:$C$1048576),"",INDEX(Main!O$4:O$1048576,MATCH(ROW(H52),Main!$C$4:$C$1048576,0))))</f>
        <v/>
      </c>
      <c r="K54" s="27" t="str">
        <f t="shared" si="1"/>
        <v>例目</v>
      </c>
      <c r="M54" s="4" t="str">
        <f>TEXT(IF(ROW(A52)&gt;MAX(Main!$D$4:$D$1048576),"",INDEX(Main!Q$4:Q$1048576,MATCH(ROW(A52),Main!$D$4:$D$1048576,0))), "yyyy/m/d")</f>
        <v/>
      </c>
      <c r="N54" s="1" t="str">
        <f>IF(IF(ROW(A52)&gt;MAX(Main!$D$4:$D$1048576),"",INDEX(Main!G$4:G$1048576,MATCH(ROW(A52),Main!$D$4:$D$1048576,0)))="",IF(M54="","",N53),IF(ROW(A52)&gt;MAX(Main!$D$4:$D$1048576),"",INDEX(Main!G$4:G$1048576,MATCH(ROW(A52),Main!$D$4:$D$1048576,0))))</f>
        <v/>
      </c>
      <c r="O54" s="1" t="str">
        <f>IF(IF(ROW(B52)&gt;MAX(Main!$D$4:$D$1048576),"",INDEX(Main!H$4:H$1048576,MATCH(ROW(B52),Main!$D$4:$D$1048576,0)))="",IF(N54="","",O53),IF(ROW(B52)&gt;MAX(Main!$D$4:$D$1048576),"",INDEX(Main!H$4:H$1048576,MATCH(ROW(B52),Main!$D$4:$D$1048576,0))))</f>
        <v/>
      </c>
      <c r="P54" s="1" t="str">
        <f>IF(IF(ROW(C52)&gt;MAX(Main!$D$4:$D$1048576),"",INDEX(Main!I$4:I$1048576,MATCH(ROW(C52),Main!$D$4:$D$1048576,0)))="",IF(O54="","",P53),IF(ROW(C52)&gt;MAX(Main!$D$4:$D$1048576),"",INDEX(Main!I$4:I$1048576,MATCH(ROW(C52),Main!$D$4:$D$1048576,0))))</f>
        <v/>
      </c>
      <c r="Q54" s="1" t="str">
        <f t="shared" si="2"/>
        <v/>
      </c>
      <c r="R54" s="1" t="str">
        <f>IF(IF(ROW(D52)&gt;MAX(Main!$D$4:$D$1048576),"",INDEX(Main!J$4:J$1048576,MATCH(ROW(D52),Main!$D$4:$D$1048576,0)))="",IF(P54="","",R53),IF(ROW(D52)&gt;MAX(Main!$D$4:$D$1048576),"",INDEX(Main!J$4:J$1048576,MATCH(ROW(D52),Main!$D$4:$D$1048576,0))))</f>
        <v/>
      </c>
      <c r="S54" s="9" t="str">
        <f>IF(ROW(G52)&gt;MAX(Main!$D$4:$D$1048576),"",INDEX(Main!K$4:K$1048576,MATCH(ROW(G52),Main!$D$4:$D$1048576,0)))</f>
        <v/>
      </c>
      <c r="T54" s="1" t="str">
        <f>IF(S54&lt;&gt;"",IF(ROW(G52)&gt;MAX(Main!$D$4:$D$1048576),"",INDEX(Main!N$4:N$1048576,MATCH(ROW(G52),Main!$D$4:$D$1048576,0))),"")</f>
        <v/>
      </c>
      <c r="U54" s="1" t="str">
        <f>IF(IF(ROW(H52)&gt;MAX(Main!$D$4:$D$1048576),"",INDEX(Main!O$4:O$1048576,MATCH(ROW(H52),Main!$D$4:$D$1048576,0)))="",IF(T54="","",U53),IF(ROW(H52)&gt;MAX(Main!$D$4:$D$1048576),"",INDEX(Main!O$4:O$1048576,MATCH(ROW(H52),Main!$D$4:$D$1048576,0))))</f>
        <v/>
      </c>
    </row>
    <row r="55" spans="1:21" x14ac:dyDescent="0.4">
      <c r="A55" t="s">
        <v>21</v>
      </c>
      <c r="B55" s="4" t="str">
        <f>TEXT(IF(ROW(A53)&gt;MAX(Main!$C$4:$C$1048576),"",INDEX(Main!Q$4:Q$1048576,MATCH(ROW(A53),Main!$C$4:$C$1048576,0))), "yyyy/m/d")</f>
        <v/>
      </c>
      <c r="C55" s="1" t="str">
        <f>IF(IF(ROW(A53)&gt;MAX(Main!$C$4:$C$1048576),"",INDEX(Main!G$4:G$1048576,MATCH(ROW(A53),Main!$C$4:$C$1048576,0)))="",IF(B55="","",C54),IF(ROW(A53)&gt;MAX(Main!$C$4:$C$1048576),"",INDEX(Main!G$4:G$1048576,MATCH(ROW(A53),Main!$C$4:$C$1048576,0))))</f>
        <v/>
      </c>
      <c r="D55" s="1" t="str">
        <f>IF(IF(ROW(B53)&gt;MAX(Main!$C$4:$C$1048576),"",INDEX(Main!H$4:H$1048576,MATCH(ROW(B53),Main!$C$4:$C$1048576,0)))="",IF(C55="","",D54),IF(ROW(B53)&gt;MAX(Main!$C$4:$C$1048576),"",INDEX(Main!H$4:H$1048576,MATCH(ROW(B53),Main!$C$4:$C$1048576,0))))</f>
        <v/>
      </c>
      <c r="E55" s="1" t="str">
        <f>IF(IF(ROW(C53)&gt;MAX(Main!$C$4:$C$1048576),"",INDEX(Main!I$4:I$1048576,MATCH(ROW(C53),Main!$C$4:$C$1048576,0)))="",IF(D55="","",E54),IF(ROW(C53)&gt;MAX(Main!$C$4:$C$1048576),"",INDEX(Main!I$4:I$1048576,MATCH(ROW(C53),Main!$C$4:$C$1048576,0))))</f>
        <v/>
      </c>
      <c r="F55" s="1" t="str">
        <f t="shared" si="0"/>
        <v/>
      </c>
      <c r="G55" s="1" t="str">
        <f>IF(IF(ROW(D53)&gt;MAX(Main!$C$4:$C$1048576),"",INDEX(Main!J$4:J$1048576,MATCH(ROW(D53),Main!$C$4:$C$1048576,0)))="",IF(E55="","",G54),IF(ROW(D53)&gt;MAX(Main!$C$4:$C$1048576),"",INDEX(Main!J$4:J$1048576,MATCH(ROW(D53),Main!$C$4:$C$1048576,0))))</f>
        <v/>
      </c>
      <c r="H55" s="10" t="str">
        <f>IF(ROW(G53)&gt;MAX(Main!$C$4:$C$1048576),"",INDEX(Main!K$4:K$1048576,MATCH(ROW(G53),Main!$C$4:$C$1048576,0)))</f>
        <v/>
      </c>
      <c r="I55" s="1" t="str">
        <f>IF(H55&lt;&gt;"",IF(ROW(G53)&gt;MAX(Main!$C$4:$C$1048576),"",INDEX(Main!N$4:N$1048576,MATCH(ROW(G53),Main!$C$4:$C$1048576,0))),"")</f>
        <v/>
      </c>
      <c r="J55" s="1" t="str">
        <f>IF(IF(ROW(H53)&gt;MAX(Main!$C$4:$C$1048576),"",INDEX(Main!O$4:O$1048576,MATCH(ROW(H53),Main!$C$4:$C$1048576,0)))="",IF(I55="","",J54),IF(ROW(H53)&gt;MAX(Main!$C$4:$C$1048576),"",INDEX(Main!O$4:O$1048576,MATCH(ROW(H53),Main!$C$4:$C$1048576,0))))</f>
        <v/>
      </c>
      <c r="K55" s="27" t="str">
        <f t="shared" si="1"/>
        <v>例目</v>
      </c>
      <c r="M55" s="4" t="str">
        <f>TEXT(IF(ROW(A53)&gt;MAX(Main!$D$4:$D$1048576),"",INDEX(Main!Q$4:Q$1048576,MATCH(ROW(A53),Main!$D$4:$D$1048576,0))), "yyyy/m/d")</f>
        <v/>
      </c>
      <c r="N55" s="1" t="str">
        <f>IF(IF(ROW(A53)&gt;MAX(Main!$D$4:$D$1048576),"",INDEX(Main!G$4:G$1048576,MATCH(ROW(A53),Main!$D$4:$D$1048576,0)))="",IF(M55="","",N54),IF(ROW(A53)&gt;MAX(Main!$D$4:$D$1048576),"",INDEX(Main!G$4:G$1048576,MATCH(ROW(A53),Main!$D$4:$D$1048576,0))))</f>
        <v/>
      </c>
      <c r="O55" s="1" t="str">
        <f>IF(IF(ROW(B53)&gt;MAX(Main!$D$4:$D$1048576),"",INDEX(Main!H$4:H$1048576,MATCH(ROW(B53),Main!$D$4:$D$1048576,0)))="",IF(N55="","",O54),IF(ROW(B53)&gt;MAX(Main!$D$4:$D$1048576),"",INDEX(Main!H$4:H$1048576,MATCH(ROW(B53),Main!$D$4:$D$1048576,0))))</f>
        <v/>
      </c>
      <c r="P55" s="1" t="str">
        <f>IF(IF(ROW(C53)&gt;MAX(Main!$D$4:$D$1048576),"",INDEX(Main!I$4:I$1048576,MATCH(ROW(C53),Main!$D$4:$D$1048576,0)))="",IF(O55="","",P54),IF(ROW(C53)&gt;MAX(Main!$D$4:$D$1048576),"",INDEX(Main!I$4:I$1048576,MATCH(ROW(C53),Main!$D$4:$D$1048576,0))))</f>
        <v/>
      </c>
      <c r="Q55" s="1" t="str">
        <f t="shared" si="2"/>
        <v/>
      </c>
      <c r="R55" s="1" t="str">
        <f>IF(IF(ROW(D53)&gt;MAX(Main!$D$4:$D$1048576),"",INDEX(Main!J$4:J$1048576,MATCH(ROW(D53),Main!$D$4:$D$1048576,0)))="",IF(P55="","",R54),IF(ROW(D53)&gt;MAX(Main!$D$4:$D$1048576),"",INDEX(Main!J$4:J$1048576,MATCH(ROW(D53),Main!$D$4:$D$1048576,0))))</f>
        <v/>
      </c>
      <c r="S55" s="9" t="str">
        <f>IF(ROW(G53)&gt;MAX(Main!$D$4:$D$1048576),"",INDEX(Main!K$4:K$1048576,MATCH(ROW(G53),Main!$D$4:$D$1048576,0)))</f>
        <v/>
      </c>
      <c r="T55" s="1" t="str">
        <f>IF(S55&lt;&gt;"",IF(ROW(G53)&gt;MAX(Main!$D$4:$D$1048576),"",INDEX(Main!N$4:N$1048576,MATCH(ROW(G53),Main!$D$4:$D$1048576,0))),"")</f>
        <v/>
      </c>
      <c r="U55" s="1" t="str">
        <f>IF(IF(ROW(H53)&gt;MAX(Main!$D$4:$D$1048576),"",INDEX(Main!O$4:O$1048576,MATCH(ROW(H53),Main!$D$4:$D$1048576,0)))="",IF(T55="","",U54),IF(ROW(H53)&gt;MAX(Main!$D$4:$D$1048576),"",INDEX(Main!O$4:O$1048576,MATCH(ROW(H53),Main!$D$4:$D$1048576,0))))</f>
        <v/>
      </c>
    </row>
    <row r="56" spans="1:21" x14ac:dyDescent="0.4">
      <c r="A56" t="s">
        <v>21</v>
      </c>
      <c r="B56" s="4" t="str">
        <f>TEXT(IF(ROW(A54)&gt;MAX(Main!$C$4:$C$1048576),"",INDEX(Main!Q$4:Q$1048576,MATCH(ROW(A54),Main!$C$4:$C$1048576,0))), "yyyy/m/d")</f>
        <v/>
      </c>
      <c r="C56" s="1" t="str">
        <f>IF(IF(ROW(A54)&gt;MAX(Main!$C$4:$C$1048576),"",INDEX(Main!G$4:G$1048576,MATCH(ROW(A54),Main!$C$4:$C$1048576,0)))="",IF(B56="","",C55),IF(ROW(A54)&gt;MAX(Main!$C$4:$C$1048576),"",INDEX(Main!G$4:G$1048576,MATCH(ROW(A54),Main!$C$4:$C$1048576,0))))</f>
        <v/>
      </c>
      <c r="D56" s="1" t="str">
        <f>IF(IF(ROW(B54)&gt;MAX(Main!$C$4:$C$1048576),"",INDEX(Main!H$4:H$1048576,MATCH(ROW(B54),Main!$C$4:$C$1048576,0)))="",IF(C56="","",D55),IF(ROW(B54)&gt;MAX(Main!$C$4:$C$1048576),"",INDEX(Main!H$4:H$1048576,MATCH(ROW(B54),Main!$C$4:$C$1048576,0))))</f>
        <v/>
      </c>
      <c r="E56" s="1" t="str">
        <f>IF(IF(ROW(C54)&gt;MAX(Main!$C$4:$C$1048576),"",INDEX(Main!I$4:I$1048576,MATCH(ROW(C54),Main!$C$4:$C$1048576,0)))="",IF(D56="","",E55),IF(ROW(C54)&gt;MAX(Main!$C$4:$C$1048576),"",INDEX(Main!I$4:I$1048576,MATCH(ROW(C54),Main!$C$4:$C$1048576,0))))</f>
        <v/>
      </c>
      <c r="F56" s="1" t="str">
        <f t="shared" si="0"/>
        <v/>
      </c>
      <c r="G56" s="1" t="str">
        <f>IF(IF(ROW(D54)&gt;MAX(Main!$C$4:$C$1048576),"",INDEX(Main!J$4:J$1048576,MATCH(ROW(D54),Main!$C$4:$C$1048576,0)))="",IF(E56="","",G55),IF(ROW(D54)&gt;MAX(Main!$C$4:$C$1048576),"",INDEX(Main!J$4:J$1048576,MATCH(ROW(D54),Main!$C$4:$C$1048576,0))))</f>
        <v/>
      </c>
      <c r="H56" s="10" t="str">
        <f>IF(ROW(G54)&gt;MAX(Main!$C$4:$C$1048576),"",INDEX(Main!K$4:K$1048576,MATCH(ROW(G54),Main!$C$4:$C$1048576,0)))</f>
        <v/>
      </c>
      <c r="I56" s="1" t="str">
        <f>IF(H56&lt;&gt;"",IF(ROW(G54)&gt;MAX(Main!$C$4:$C$1048576),"",INDEX(Main!N$4:N$1048576,MATCH(ROW(G54),Main!$C$4:$C$1048576,0))),"")</f>
        <v/>
      </c>
      <c r="J56" s="1" t="str">
        <f>IF(IF(ROW(H54)&gt;MAX(Main!$C$4:$C$1048576),"",INDEX(Main!O$4:O$1048576,MATCH(ROW(H54),Main!$C$4:$C$1048576,0)))="",IF(I56="","",J55),IF(ROW(H54)&gt;MAX(Main!$C$4:$C$1048576),"",INDEX(Main!O$4:O$1048576,MATCH(ROW(H54),Main!$C$4:$C$1048576,0))))</f>
        <v/>
      </c>
      <c r="K56" s="27" t="str">
        <f t="shared" si="1"/>
        <v>例目</v>
      </c>
      <c r="M56" s="4" t="str">
        <f>TEXT(IF(ROW(A54)&gt;MAX(Main!$D$4:$D$1048576),"",INDEX(Main!Q$4:Q$1048576,MATCH(ROW(A54),Main!$D$4:$D$1048576,0))), "yyyy/m/d")</f>
        <v/>
      </c>
      <c r="N56" s="1" t="str">
        <f>IF(IF(ROW(A54)&gt;MAX(Main!$D$4:$D$1048576),"",INDEX(Main!G$4:G$1048576,MATCH(ROW(A54),Main!$D$4:$D$1048576,0)))="",IF(M56="","",N55),IF(ROW(A54)&gt;MAX(Main!$D$4:$D$1048576),"",INDEX(Main!G$4:G$1048576,MATCH(ROW(A54),Main!$D$4:$D$1048576,0))))</f>
        <v/>
      </c>
      <c r="O56" s="1" t="str">
        <f>IF(IF(ROW(B54)&gt;MAX(Main!$D$4:$D$1048576),"",INDEX(Main!H$4:H$1048576,MATCH(ROW(B54),Main!$D$4:$D$1048576,0)))="",IF(N56="","",O55),IF(ROW(B54)&gt;MAX(Main!$D$4:$D$1048576),"",INDEX(Main!H$4:H$1048576,MATCH(ROW(B54),Main!$D$4:$D$1048576,0))))</f>
        <v/>
      </c>
      <c r="P56" s="1" t="str">
        <f>IF(IF(ROW(C54)&gt;MAX(Main!$D$4:$D$1048576),"",INDEX(Main!I$4:I$1048576,MATCH(ROW(C54),Main!$D$4:$D$1048576,0)))="",IF(O56="","",P55),IF(ROW(C54)&gt;MAX(Main!$D$4:$D$1048576),"",INDEX(Main!I$4:I$1048576,MATCH(ROW(C54),Main!$D$4:$D$1048576,0))))</f>
        <v/>
      </c>
      <c r="Q56" s="1" t="str">
        <f t="shared" si="2"/>
        <v/>
      </c>
      <c r="R56" s="1" t="str">
        <f>IF(IF(ROW(D54)&gt;MAX(Main!$D$4:$D$1048576),"",INDEX(Main!J$4:J$1048576,MATCH(ROW(D54),Main!$D$4:$D$1048576,0)))="",IF(P56="","",R55),IF(ROW(D54)&gt;MAX(Main!$D$4:$D$1048576),"",INDEX(Main!J$4:J$1048576,MATCH(ROW(D54),Main!$D$4:$D$1048576,0))))</f>
        <v/>
      </c>
      <c r="S56" s="9" t="str">
        <f>IF(ROW(G54)&gt;MAX(Main!$D$4:$D$1048576),"",INDEX(Main!K$4:K$1048576,MATCH(ROW(G54),Main!$D$4:$D$1048576,0)))</f>
        <v/>
      </c>
      <c r="T56" s="1" t="str">
        <f>IF(S56&lt;&gt;"",IF(ROW(G54)&gt;MAX(Main!$D$4:$D$1048576),"",INDEX(Main!N$4:N$1048576,MATCH(ROW(G54),Main!$D$4:$D$1048576,0))),"")</f>
        <v/>
      </c>
      <c r="U56" s="1" t="str">
        <f>IF(IF(ROW(H54)&gt;MAX(Main!$D$4:$D$1048576),"",INDEX(Main!O$4:O$1048576,MATCH(ROW(H54),Main!$D$4:$D$1048576,0)))="",IF(T56="","",U55),IF(ROW(H54)&gt;MAX(Main!$D$4:$D$1048576),"",INDEX(Main!O$4:O$1048576,MATCH(ROW(H54),Main!$D$4:$D$1048576,0))))</f>
        <v/>
      </c>
    </row>
    <row r="57" spans="1:21" x14ac:dyDescent="0.4">
      <c r="A57" t="s">
        <v>21</v>
      </c>
      <c r="B57" s="4" t="str">
        <f>TEXT(IF(ROW(A55)&gt;MAX(Main!$C$4:$C$1048576),"",INDEX(Main!Q$4:Q$1048576,MATCH(ROW(A55),Main!$C$4:$C$1048576,0))), "yyyy/m/d")</f>
        <v/>
      </c>
      <c r="C57" s="1" t="str">
        <f>IF(IF(ROW(A55)&gt;MAX(Main!$C$4:$C$1048576),"",INDEX(Main!G$4:G$1048576,MATCH(ROW(A55),Main!$C$4:$C$1048576,0)))="",IF(B57="","",C56),IF(ROW(A55)&gt;MAX(Main!$C$4:$C$1048576),"",INDEX(Main!G$4:G$1048576,MATCH(ROW(A55),Main!$C$4:$C$1048576,0))))</f>
        <v/>
      </c>
      <c r="D57" s="1" t="str">
        <f>IF(IF(ROW(B55)&gt;MAX(Main!$C$4:$C$1048576),"",INDEX(Main!H$4:H$1048576,MATCH(ROW(B55),Main!$C$4:$C$1048576,0)))="",IF(C57="","",D56),IF(ROW(B55)&gt;MAX(Main!$C$4:$C$1048576),"",INDEX(Main!H$4:H$1048576,MATCH(ROW(B55),Main!$C$4:$C$1048576,0))))</f>
        <v/>
      </c>
      <c r="E57" s="1" t="str">
        <f>IF(IF(ROW(C55)&gt;MAX(Main!$C$4:$C$1048576),"",INDEX(Main!I$4:I$1048576,MATCH(ROW(C55),Main!$C$4:$C$1048576,0)))="",IF(D57="","",E56),IF(ROW(C55)&gt;MAX(Main!$C$4:$C$1048576),"",INDEX(Main!I$4:I$1048576,MATCH(ROW(C55),Main!$C$4:$C$1048576,0))))</f>
        <v/>
      </c>
      <c r="F57" s="1" t="str">
        <f t="shared" si="0"/>
        <v/>
      </c>
      <c r="G57" s="1" t="str">
        <f>IF(IF(ROW(D55)&gt;MAX(Main!$C$4:$C$1048576),"",INDEX(Main!J$4:J$1048576,MATCH(ROW(D55),Main!$C$4:$C$1048576,0)))="",IF(E57="","",G56),IF(ROW(D55)&gt;MAX(Main!$C$4:$C$1048576),"",INDEX(Main!J$4:J$1048576,MATCH(ROW(D55),Main!$C$4:$C$1048576,0))))</f>
        <v/>
      </c>
      <c r="H57" s="10" t="str">
        <f>IF(ROW(G55)&gt;MAX(Main!$C$4:$C$1048576),"",INDEX(Main!K$4:K$1048576,MATCH(ROW(G55),Main!$C$4:$C$1048576,0)))</f>
        <v/>
      </c>
      <c r="I57" s="1" t="str">
        <f>IF(H57&lt;&gt;"",IF(ROW(G55)&gt;MAX(Main!$C$4:$C$1048576),"",INDEX(Main!N$4:N$1048576,MATCH(ROW(G55),Main!$C$4:$C$1048576,0))),"")</f>
        <v/>
      </c>
      <c r="J57" s="1" t="str">
        <f>IF(IF(ROW(H55)&gt;MAX(Main!$C$4:$C$1048576),"",INDEX(Main!O$4:O$1048576,MATCH(ROW(H55),Main!$C$4:$C$1048576,0)))="",IF(I57="","",J56),IF(ROW(H55)&gt;MAX(Main!$C$4:$C$1048576),"",INDEX(Main!O$4:O$1048576,MATCH(ROW(H55),Main!$C$4:$C$1048576,0))))</f>
        <v/>
      </c>
      <c r="K57" s="27" t="str">
        <f t="shared" si="1"/>
        <v>例目</v>
      </c>
      <c r="M57" s="4" t="str">
        <f>TEXT(IF(ROW(A55)&gt;MAX(Main!$D$4:$D$1048576),"",INDEX(Main!Q$4:Q$1048576,MATCH(ROW(A55),Main!$D$4:$D$1048576,0))), "yyyy/m/d")</f>
        <v/>
      </c>
      <c r="N57" s="1" t="str">
        <f>IF(IF(ROW(A55)&gt;MAX(Main!$D$4:$D$1048576),"",INDEX(Main!G$4:G$1048576,MATCH(ROW(A55),Main!$D$4:$D$1048576,0)))="",IF(M57="","",N56),IF(ROW(A55)&gt;MAX(Main!$D$4:$D$1048576),"",INDEX(Main!G$4:G$1048576,MATCH(ROW(A55),Main!$D$4:$D$1048576,0))))</f>
        <v/>
      </c>
      <c r="O57" s="1" t="str">
        <f>IF(IF(ROW(B55)&gt;MAX(Main!$D$4:$D$1048576),"",INDEX(Main!H$4:H$1048576,MATCH(ROW(B55),Main!$D$4:$D$1048576,0)))="",IF(N57="","",O56),IF(ROW(B55)&gt;MAX(Main!$D$4:$D$1048576),"",INDEX(Main!H$4:H$1048576,MATCH(ROW(B55),Main!$D$4:$D$1048576,0))))</f>
        <v/>
      </c>
      <c r="P57" s="1" t="str">
        <f>IF(IF(ROW(C55)&gt;MAX(Main!$D$4:$D$1048576),"",INDEX(Main!I$4:I$1048576,MATCH(ROW(C55),Main!$D$4:$D$1048576,0)))="",IF(O57="","",P56),IF(ROW(C55)&gt;MAX(Main!$D$4:$D$1048576),"",INDEX(Main!I$4:I$1048576,MATCH(ROW(C55),Main!$D$4:$D$1048576,0))))</f>
        <v/>
      </c>
      <c r="Q57" s="1" t="str">
        <f t="shared" si="2"/>
        <v/>
      </c>
      <c r="R57" s="1" t="str">
        <f>IF(IF(ROW(D55)&gt;MAX(Main!$D$4:$D$1048576),"",INDEX(Main!J$4:J$1048576,MATCH(ROW(D55),Main!$D$4:$D$1048576,0)))="",IF(P57="","",R56),IF(ROW(D55)&gt;MAX(Main!$D$4:$D$1048576),"",INDEX(Main!J$4:J$1048576,MATCH(ROW(D55),Main!$D$4:$D$1048576,0))))</f>
        <v/>
      </c>
      <c r="S57" s="9" t="str">
        <f>IF(ROW(G55)&gt;MAX(Main!$D$4:$D$1048576),"",INDEX(Main!K$4:K$1048576,MATCH(ROW(G55),Main!$D$4:$D$1048576,0)))</f>
        <v/>
      </c>
      <c r="T57" s="1" t="str">
        <f>IF(S57&lt;&gt;"",IF(ROW(G55)&gt;MAX(Main!$D$4:$D$1048576),"",INDEX(Main!N$4:N$1048576,MATCH(ROW(G55),Main!$D$4:$D$1048576,0))),"")</f>
        <v/>
      </c>
      <c r="U57" s="1" t="str">
        <f>IF(IF(ROW(H55)&gt;MAX(Main!$D$4:$D$1048576),"",INDEX(Main!O$4:O$1048576,MATCH(ROW(H55),Main!$D$4:$D$1048576,0)))="",IF(T57="","",U56),IF(ROW(H55)&gt;MAX(Main!$D$4:$D$1048576),"",INDEX(Main!O$4:O$1048576,MATCH(ROW(H55),Main!$D$4:$D$1048576,0))))</f>
        <v/>
      </c>
    </row>
    <row r="58" spans="1:21" x14ac:dyDescent="0.4">
      <c r="A58" t="s">
        <v>21</v>
      </c>
      <c r="B58" s="4" t="str">
        <f>TEXT(IF(ROW(A56)&gt;MAX(Main!$C$4:$C$1048576),"",INDEX(Main!Q$4:Q$1048576,MATCH(ROW(A56),Main!$C$4:$C$1048576,0))), "yyyy/m/d")</f>
        <v/>
      </c>
      <c r="C58" s="1" t="str">
        <f>IF(IF(ROW(A56)&gt;MAX(Main!$C$4:$C$1048576),"",INDEX(Main!G$4:G$1048576,MATCH(ROW(A56),Main!$C$4:$C$1048576,0)))="",IF(B58="","",C57),IF(ROW(A56)&gt;MAX(Main!$C$4:$C$1048576),"",INDEX(Main!G$4:G$1048576,MATCH(ROW(A56),Main!$C$4:$C$1048576,0))))</f>
        <v/>
      </c>
      <c r="D58" s="1" t="str">
        <f>IF(IF(ROW(B56)&gt;MAX(Main!$C$4:$C$1048576),"",INDEX(Main!H$4:H$1048576,MATCH(ROW(B56),Main!$C$4:$C$1048576,0)))="",IF(C58="","",D57),IF(ROW(B56)&gt;MAX(Main!$C$4:$C$1048576),"",INDEX(Main!H$4:H$1048576,MATCH(ROW(B56),Main!$C$4:$C$1048576,0))))</f>
        <v/>
      </c>
      <c r="E58" s="1" t="str">
        <f>IF(IF(ROW(C56)&gt;MAX(Main!$C$4:$C$1048576),"",INDEX(Main!I$4:I$1048576,MATCH(ROW(C56),Main!$C$4:$C$1048576,0)))="",IF(D58="","",E57),IF(ROW(C56)&gt;MAX(Main!$C$4:$C$1048576),"",INDEX(Main!I$4:I$1048576,MATCH(ROW(C56),Main!$C$4:$C$1048576,0))))</f>
        <v/>
      </c>
      <c r="F58" s="1" t="str">
        <f t="shared" si="0"/>
        <v/>
      </c>
      <c r="G58" s="1" t="str">
        <f>IF(IF(ROW(D56)&gt;MAX(Main!$C$4:$C$1048576),"",INDEX(Main!J$4:J$1048576,MATCH(ROW(D56),Main!$C$4:$C$1048576,0)))="",IF(E58="","",G57),IF(ROW(D56)&gt;MAX(Main!$C$4:$C$1048576),"",INDEX(Main!J$4:J$1048576,MATCH(ROW(D56),Main!$C$4:$C$1048576,0))))</f>
        <v/>
      </c>
      <c r="H58" s="10" t="str">
        <f>IF(ROW(G56)&gt;MAX(Main!$C$4:$C$1048576),"",INDEX(Main!K$4:K$1048576,MATCH(ROW(G56),Main!$C$4:$C$1048576,0)))</f>
        <v/>
      </c>
      <c r="I58" s="1" t="str">
        <f>IF(H58&lt;&gt;"",IF(ROW(G56)&gt;MAX(Main!$C$4:$C$1048576),"",INDEX(Main!N$4:N$1048576,MATCH(ROW(G56),Main!$C$4:$C$1048576,0))),"")</f>
        <v/>
      </c>
      <c r="J58" s="1" t="str">
        <f>IF(IF(ROW(H56)&gt;MAX(Main!$C$4:$C$1048576),"",INDEX(Main!O$4:O$1048576,MATCH(ROW(H56),Main!$C$4:$C$1048576,0)))="",IF(I58="","",J57),IF(ROW(H56)&gt;MAX(Main!$C$4:$C$1048576),"",INDEX(Main!O$4:O$1048576,MATCH(ROW(H56),Main!$C$4:$C$1048576,0))))</f>
        <v/>
      </c>
      <c r="K58" s="27" t="str">
        <f t="shared" si="1"/>
        <v>例目</v>
      </c>
      <c r="M58" s="4" t="str">
        <f>TEXT(IF(ROW(A56)&gt;MAX(Main!$D$4:$D$1048576),"",INDEX(Main!Q$4:Q$1048576,MATCH(ROW(A56),Main!$D$4:$D$1048576,0))), "yyyy/m/d")</f>
        <v/>
      </c>
      <c r="N58" s="1" t="str">
        <f>IF(IF(ROW(A56)&gt;MAX(Main!$D$4:$D$1048576),"",INDEX(Main!G$4:G$1048576,MATCH(ROW(A56),Main!$D$4:$D$1048576,0)))="",IF(M58="","",N57),IF(ROW(A56)&gt;MAX(Main!$D$4:$D$1048576),"",INDEX(Main!G$4:G$1048576,MATCH(ROW(A56),Main!$D$4:$D$1048576,0))))</f>
        <v/>
      </c>
      <c r="O58" s="1" t="str">
        <f>IF(IF(ROW(B56)&gt;MAX(Main!$D$4:$D$1048576),"",INDEX(Main!H$4:H$1048576,MATCH(ROW(B56),Main!$D$4:$D$1048576,0)))="",IF(N58="","",O57),IF(ROW(B56)&gt;MAX(Main!$D$4:$D$1048576),"",INDEX(Main!H$4:H$1048576,MATCH(ROW(B56),Main!$D$4:$D$1048576,0))))</f>
        <v/>
      </c>
      <c r="P58" s="1" t="str">
        <f>IF(IF(ROW(C56)&gt;MAX(Main!$D$4:$D$1048576),"",INDEX(Main!I$4:I$1048576,MATCH(ROW(C56),Main!$D$4:$D$1048576,0)))="",IF(O58="","",P57),IF(ROW(C56)&gt;MAX(Main!$D$4:$D$1048576),"",INDEX(Main!I$4:I$1048576,MATCH(ROW(C56),Main!$D$4:$D$1048576,0))))</f>
        <v/>
      </c>
      <c r="Q58" s="1" t="str">
        <f t="shared" si="2"/>
        <v/>
      </c>
      <c r="R58" s="1" t="str">
        <f>IF(IF(ROW(D56)&gt;MAX(Main!$D$4:$D$1048576),"",INDEX(Main!J$4:J$1048576,MATCH(ROW(D56),Main!$D$4:$D$1048576,0)))="",IF(P58="","",R57),IF(ROW(D56)&gt;MAX(Main!$D$4:$D$1048576),"",INDEX(Main!J$4:J$1048576,MATCH(ROW(D56),Main!$D$4:$D$1048576,0))))</f>
        <v/>
      </c>
      <c r="S58" s="9" t="str">
        <f>IF(ROW(G56)&gt;MAX(Main!$D$4:$D$1048576),"",INDEX(Main!K$4:K$1048576,MATCH(ROW(G56),Main!$D$4:$D$1048576,0)))</f>
        <v/>
      </c>
      <c r="T58" s="1" t="str">
        <f>IF(S58&lt;&gt;"",IF(ROW(G56)&gt;MAX(Main!$D$4:$D$1048576),"",INDEX(Main!N$4:N$1048576,MATCH(ROW(G56),Main!$D$4:$D$1048576,0))),"")</f>
        <v/>
      </c>
      <c r="U58" s="1" t="str">
        <f>IF(IF(ROW(H56)&gt;MAX(Main!$D$4:$D$1048576),"",INDEX(Main!O$4:O$1048576,MATCH(ROW(H56),Main!$D$4:$D$1048576,0)))="",IF(T58="","",U57),IF(ROW(H56)&gt;MAX(Main!$D$4:$D$1048576),"",INDEX(Main!O$4:O$1048576,MATCH(ROW(H56),Main!$D$4:$D$1048576,0))))</f>
        <v/>
      </c>
    </row>
    <row r="59" spans="1:21" x14ac:dyDescent="0.4">
      <c r="A59" t="s">
        <v>21</v>
      </c>
      <c r="B59" s="4" t="str">
        <f>TEXT(IF(ROW(A57)&gt;MAX(Main!$C$4:$C$1048576),"",INDEX(Main!Q$4:Q$1048576,MATCH(ROW(A57),Main!$C$4:$C$1048576,0))), "yyyy/m/d")</f>
        <v/>
      </c>
      <c r="C59" s="1" t="str">
        <f>IF(IF(ROW(A57)&gt;MAX(Main!$C$4:$C$1048576),"",INDEX(Main!G$4:G$1048576,MATCH(ROW(A57),Main!$C$4:$C$1048576,0)))="",IF(B59="","",C58),IF(ROW(A57)&gt;MAX(Main!$C$4:$C$1048576),"",INDEX(Main!G$4:G$1048576,MATCH(ROW(A57),Main!$C$4:$C$1048576,0))))</f>
        <v/>
      </c>
      <c r="D59" s="1" t="str">
        <f>IF(IF(ROW(B57)&gt;MAX(Main!$C$4:$C$1048576),"",INDEX(Main!H$4:H$1048576,MATCH(ROW(B57),Main!$C$4:$C$1048576,0)))="",IF(C59="","",D58),IF(ROW(B57)&gt;MAX(Main!$C$4:$C$1048576),"",INDEX(Main!H$4:H$1048576,MATCH(ROW(B57),Main!$C$4:$C$1048576,0))))</f>
        <v/>
      </c>
      <c r="E59" s="1" t="str">
        <f>IF(IF(ROW(C57)&gt;MAX(Main!$C$4:$C$1048576),"",INDEX(Main!I$4:I$1048576,MATCH(ROW(C57),Main!$C$4:$C$1048576,0)))="",IF(D59="","",E58),IF(ROW(C57)&gt;MAX(Main!$C$4:$C$1048576),"",INDEX(Main!I$4:I$1048576,MATCH(ROW(C57),Main!$C$4:$C$1048576,0))))</f>
        <v/>
      </c>
      <c r="F59" s="1" t="str">
        <f t="shared" si="0"/>
        <v/>
      </c>
      <c r="G59" s="1" t="str">
        <f>IF(IF(ROW(D57)&gt;MAX(Main!$C$4:$C$1048576),"",INDEX(Main!J$4:J$1048576,MATCH(ROW(D57),Main!$C$4:$C$1048576,0)))="",IF(E59="","",G58),IF(ROW(D57)&gt;MAX(Main!$C$4:$C$1048576),"",INDEX(Main!J$4:J$1048576,MATCH(ROW(D57),Main!$C$4:$C$1048576,0))))</f>
        <v/>
      </c>
      <c r="H59" s="10" t="str">
        <f>IF(ROW(G57)&gt;MAX(Main!$C$4:$C$1048576),"",INDEX(Main!K$4:K$1048576,MATCH(ROW(G57),Main!$C$4:$C$1048576,0)))</f>
        <v/>
      </c>
      <c r="I59" s="1" t="str">
        <f>IF(H59&lt;&gt;"",IF(ROW(G57)&gt;MAX(Main!$C$4:$C$1048576),"",INDEX(Main!N$4:N$1048576,MATCH(ROW(G57),Main!$C$4:$C$1048576,0))),"")</f>
        <v/>
      </c>
      <c r="J59" s="1" t="str">
        <f>IF(IF(ROW(H57)&gt;MAX(Main!$C$4:$C$1048576),"",INDEX(Main!O$4:O$1048576,MATCH(ROW(H57),Main!$C$4:$C$1048576,0)))="",IF(I59="","",J58),IF(ROW(H57)&gt;MAX(Main!$C$4:$C$1048576),"",INDEX(Main!O$4:O$1048576,MATCH(ROW(H57),Main!$C$4:$C$1048576,0))))</f>
        <v/>
      </c>
      <c r="K59" s="27" t="str">
        <f t="shared" si="1"/>
        <v>例目</v>
      </c>
      <c r="M59" s="4" t="str">
        <f>TEXT(IF(ROW(A57)&gt;MAX(Main!$D$4:$D$1048576),"",INDEX(Main!Q$4:Q$1048576,MATCH(ROW(A57),Main!$D$4:$D$1048576,0))), "yyyy/m/d")</f>
        <v/>
      </c>
      <c r="N59" s="1" t="str">
        <f>IF(IF(ROW(A57)&gt;MAX(Main!$D$4:$D$1048576),"",INDEX(Main!G$4:G$1048576,MATCH(ROW(A57),Main!$D$4:$D$1048576,0)))="",IF(M59="","",N58),IF(ROW(A57)&gt;MAX(Main!$D$4:$D$1048576),"",INDEX(Main!G$4:G$1048576,MATCH(ROW(A57),Main!$D$4:$D$1048576,0))))</f>
        <v/>
      </c>
      <c r="O59" s="1" t="str">
        <f>IF(IF(ROW(B57)&gt;MAX(Main!$D$4:$D$1048576),"",INDEX(Main!H$4:H$1048576,MATCH(ROW(B57),Main!$D$4:$D$1048576,0)))="",IF(N59="","",O58),IF(ROW(B57)&gt;MAX(Main!$D$4:$D$1048576),"",INDEX(Main!H$4:H$1048576,MATCH(ROW(B57),Main!$D$4:$D$1048576,0))))</f>
        <v/>
      </c>
      <c r="P59" s="1" t="str">
        <f>IF(IF(ROW(C57)&gt;MAX(Main!$D$4:$D$1048576),"",INDEX(Main!I$4:I$1048576,MATCH(ROW(C57),Main!$D$4:$D$1048576,0)))="",IF(O59="","",P58),IF(ROW(C57)&gt;MAX(Main!$D$4:$D$1048576),"",INDEX(Main!I$4:I$1048576,MATCH(ROW(C57),Main!$D$4:$D$1048576,0))))</f>
        <v/>
      </c>
      <c r="Q59" s="1" t="str">
        <f t="shared" si="2"/>
        <v/>
      </c>
      <c r="R59" s="1" t="str">
        <f>IF(IF(ROW(D57)&gt;MAX(Main!$D$4:$D$1048576),"",INDEX(Main!J$4:J$1048576,MATCH(ROW(D57),Main!$D$4:$D$1048576,0)))="",IF(P59="","",R58),IF(ROW(D57)&gt;MAX(Main!$D$4:$D$1048576),"",INDEX(Main!J$4:J$1048576,MATCH(ROW(D57),Main!$D$4:$D$1048576,0))))</f>
        <v/>
      </c>
      <c r="S59" s="9" t="str">
        <f>IF(ROW(G57)&gt;MAX(Main!$D$4:$D$1048576),"",INDEX(Main!K$4:K$1048576,MATCH(ROW(G57),Main!$D$4:$D$1048576,0)))</f>
        <v/>
      </c>
      <c r="T59" s="1" t="str">
        <f>IF(S59&lt;&gt;"",IF(ROW(G57)&gt;MAX(Main!$D$4:$D$1048576),"",INDEX(Main!N$4:N$1048576,MATCH(ROW(G57),Main!$D$4:$D$1048576,0))),"")</f>
        <v/>
      </c>
      <c r="U59" s="1" t="str">
        <f>IF(IF(ROW(H57)&gt;MAX(Main!$D$4:$D$1048576),"",INDEX(Main!O$4:O$1048576,MATCH(ROW(H57),Main!$D$4:$D$1048576,0)))="",IF(T59="","",U58),IF(ROW(H57)&gt;MAX(Main!$D$4:$D$1048576),"",INDEX(Main!O$4:O$1048576,MATCH(ROW(H57),Main!$D$4:$D$1048576,0))))</f>
        <v/>
      </c>
    </row>
    <row r="60" spans="1:21" x14ac:dyDescent="0.4">
      <c r="A60" t="s">
        <v>21</v>
      </c>
      <c r="B60" s="4" t="str">
        <f>TEXT(IF(ROW(A58)&gt;MAX(Main!$C$4:$C$1048576),"",INDEX(Main!Q$4:Q$1048576,MATCH(ROW(A58),Main!$C$4:$C$1048576,0))), "yyyy/m/d")</f>
        <v/>
      </c>
      <c r="C60" s="1" t="str">
        <f>IF(IF(ROW(A58)&gt;MAX(Main!$C$4:$C$1048576),"",INDEX(Main!G$4:G$1048576,MATCH(ROW(A58),Main!$C$4:$C$1048576,0)))="",IF(B60="","",C59),IF(ROW(A58)&gt;MAX(Main!$C$4:$C$1048576),"",INDEX(Main!G$4:G$1048576,MATCH(ROW(A58),Main!$C$4:$C$1048576,0))))</f>
        <v/>
      </c>
      <c r="D60" s="1" t="str">
        <f>IF(IF(ROW(B58)&gt;MAX(Main!$C$4:$C$1048576),"",INDEX(Main!H$4:H$1048576,MATCH(ROW(B58),Main!$C$4:$C$1048576,0)))="",IF(C60="","",D59),IF(ROW(B58)&gt;MAX(Main!$C$4:$C$1048576),"",INDEX(Main!H$4:H$1048576,MATCH(ROW(B58),Main!$C$4:$C$1048576,0))))</f>
        <v/>
      </c>
      <c r="E60" s="1" t="str">
        <f>IF(IF(ROW(C58)&gt;MAX(Main!$C$4:$C$1048576),"",INDEX(Main!I$4:I$1048576,MATCH(ROW(C58),Main!$C$4:$C$1048576,0)))="",IF(D60="","",E59),IF(ROW(C58)&gt;MAX(Main!$C$4:$C$1048576),"",INDEX(Main!I$4:I$1048576,MATCH(ROW(C58),Main!$C$4:$C$1048576,0))))</f>
        <v/>
      </c>
      <c r="F60" s="1" t="str">
        <f t="shared" si="0"/>
        <v/>
      </c>
      <c r="G60" s="1" t="str">
        <f>IF(IF(ROW(D58)&gt;MAX(Main!$C$4:$C$1048576),"",INDEX(Main!J$4:J$1048576,MATCH(ROW(D58),Main!$C$4:$C$1048576,0)))="",IF(E60="","",G59),IF(ROW(D58)&gt;MAX(Main!$C$4:$C$1048576),"",INDEX(Main!J$4:J$1048576,MATCH(ROW(D58),Main!$C$4:$C$1048576,0))))</f>
        <v/>
      </c>
      <c r="H60" s="10" t="str">
        <f>IF(ROW(G58)&gt;MAX(Main!$C$4:$C$1048576),"",INDEX(Main!K$4:K$1048576,MATCH(ROW(G58),Main!$C$4:$C$1048576,0)))</f>
        <v/>
      </c>
      <c r="I60" s="1" t="str">
        <f>IF(H60&lt;&gt;"",IF(ROW(G58)&gt;MAX(Main!$C$4:$C$1048576),"",INDEX(Main!N$4:N$1048576,MATCH(ROW(G58),Main!$C$4:$C$1048576,0))),"")</f>
        <v/>
      </c>
      <c r="J60" s="1" t="str">
        <f>IF(IF(ROW(H58)&gt;MAX(Main!$C$4:$C$1048576),"",INDEX(Main!O$4:O$1048576,MATCH(ROW(H58),Main!$C$4:$C$1048576,0)))="",IF(I60="","",J59),IF(ROW(H58)&gt;MAX(Main!$C$4:$C$1048576),"",INDEX(Main!O$4:O$1048576,MATCH(ROW(H58),Main!$C$4:$C$1048576,0))))</f>
        <v/>
      </c>
      <c r="K60" s="27" t="str">
        <f t="shared" si="1"/>
        <v>例目</v>
      </c>
      <c r="M60" s="4" t="str">
        <f>TEXT(IF(ROW(A58)&gt;MAX(Main!$D$4:$D$1048576),"",INDEX(Main!Q$4:Q$1048576,MATCH(ROW(A58),Main!$D$4:$D$1048576,0))), "yyyy/m/d")</f>
        <v/>
      </c>
      <c r="N60" s="1" t="str">
        <f>IF(IF(ROW(A58)&gt;MAX(Main!$D$4:$D$1048576),"",INDEX(Main!G$4:G$1048576,MATCH(ROW(A58),Main!$D$4:$D$1048576,0)))="",IF(M60="","",N59),IF(ROW(A58)&gt;MAX(Main!$D$4:$D$1048576),"",INDEX(Main!G$4:G$1048576,MATCH(ROW(A58),Main!$D$4:$D$1048576,0))))</f>
        <v/>
      </c>
      <c r="O60" s="1" t="str">
        <f>IF(IF(ROW(B58)&gt;MAX(Main!$D$4:$D$1048576),"",INDEX(Main!H$4:H$1048576,MATCH(ROW(B58),Main!$D$4:$D$1048576,0)))="",IF(N60="","",O59),IF(ROW(B58)&gt;MAX(Main!$D$4:$D$1048576),"",INDEX(Main!H$4:H$1048576,MATCH(ROW(B58),Main!$D$4:$D$1048576,0))))</f>
        <v/>
      </c>
      <c r="P60" s="1" t="str">
        <f>IF(IF(ROW(C58)&gt;MAX(Main!$D$4:$D$1048576),"",INDEX(Main!I$4:I$1048576,MATCH(ROW(C58),Main!$D$4:$D$1048576,0)))="",IF(O60="","",P59),IF(ROW(C58)&gt;MAX(Main!$D$4:$D$1048576),"",INDEX(Main!I$4:I$1048576,MATCH(ROW(C58),Main!$D$4:$D$1048576,0))))</f>
        <v/>
      </c>
      <c r="Q60" s="1" t="str">
        <f t="shared" si="2"/>
        <v/>
      </c>
      <c r="R60" s="1" t="str">
        <f>IF(IF(ROW(D58)&gt;MAX(Main!$D$4:$D$1048576),"",INDEX(Main!J$4:J$1048576,MATCH(ROW(D58),Main!$D$4:$D$1048576,0)))="",IF(P60="","",R59),IF(ROW(D58)&gt;MAX(Main!$D$4:$D$1048576),"",INDEX(Main!J$4:J$1048576,MATCH(ROW(D58),Main!$D$4:$D$1048576,0))))</f>
        <v/>
      </c>
      <c r="S60" s="9" t="str">
        <f>IF(ROW(G58)&gt;MAX(Main!$D$4:$D$1048576),"",INDEX(Main!K$4:K$1048576,MATCH(ROW(G58),Main!$D$4:$D$1048576,0)))</f>
        <v/>
      </c>
      <c r="T60" s="1" t="str">
        <f>IF(S60&lt;&gt;"",IF(ROW(G58)&gt;MAX(Main!$D$4:$D$1048576),"",INDEX(Main!N$4:N$1048576,MATCH(ROW(G58),Main!$D$4:$D$1048576,0))),"")</f>
        <v/>
      </c>
      <c r="U60" s="1" t="str">
        <f>IF(IF(ROW(H58)&gt;MAX(Main!$D$4:$D$1048576),"",INDEX(Main!O$4:O$1048576,MATCH(ROW(H58),Main!$D$4:$D$1048576,0)))="",IF(T60="","",U59),IF(ROW(H58)&gt;MAX(Main!$D$4:$D$1048576),"",INDEX(Main!O$4:O$1048576,MATCH(ROW(H58),Main!$D$4:$D$1048576,0))))</f>
        <v/>
      </c>
    </row>
    <row r="61" spans="1:21" x14ac:dyDescent="0.4">
      <c r="A61" t="s">
        <v>21</v>
      </c>
      <c r="B61" s="4" t="str">
        <f>TEXT(IF(ROW(A59)&gt;MAX(Main!$C$4:$C$1048576),"",INDEX(Main!Q$4:Q$1048576,MATCH(ROW(A59),Main!$C$4:$C$1048576,0))), "yyyy/m/d")</f>
        <v/>
      </c>
      <c r="C61" s="1" t="str">
        <f>IF(IF(ROW(A59)&gt;MAX(Main!$C$4:$C$1048576),"",INDEX(Main!G$4:G$1048576,MATCH(ROW(A59),Main!$C$4:$C$1048576,0)))="",IF(B61="","",C60),IF(ROW(A59)&gt;MAX(Main!$C$4:$C$1048576),"",INDEX(Main!G$4:G$1048576,MATCH(ROW(A59),Main!$C$4:$C$1048576,0))))</f>
        <v/>
      </c>
      <c r="D61" s="1" t="str">
        <f>IF(IF(ROW(B59)&gt;MAX(Main!$C$4:$C$1048576),"",INDEX(Main!H$4:H$1048576,MATCH(ROW(B59),Main!$C$4:$C$1048576,0)))="",IF(C61="","",D60),IF(ROW(B59)&gt;MAX(Main!$C$4:$C$1048576),"",INDEX(Main!H$4:H$1048576,MATCH(ROW(B59),Main!$C$4:$C$1048576,0))))</f>
        <v/>
      </c>
      <c r="E61" s="1" t="str">
        <f>IF(IF(ROW(C59)&gt;MAX(Main!$C$4:$C$1048576),"",INDEX(Main!I$4:I$1048576,MATCH(ROW(C59),Main!$C$4:$C$1048576,0)))="",IF(D61="","",E60),IF(ROW(C59)&gt;MAX(Main!$C$4:$C$1048576),"",INDEX(Main!I$4:I$1048576,MATCH(ROW(C59),Main!$C$4:$C$1048576,0))))</f>
        <v/>
      </c>
      <c r="F61" s="1" t="str">
        <f t="shared" si="0"/>
        <v/>
      </c>
      <c r="G61" s="1" t="str">
        <f>IF(IF(ROW(D59)&gt;MAX(Main!$C$4:$C$1048576),"",INDEX(Main!J$4:J$1048576,MATCH(ROW(D59),Main!$C$4:$C$1048576,0)))="",IF(E61="","",G60),IF(ROW(D59)&gt;MAX(Main!$C$4:$C$1048576),"",INDEX(Main!J$4:J$1048576,MATCH(ROW(D59),Main!$C$4:$C$1048576,0))))</f>
        <v/>
      </c>
      <c r="H61" s="10" t="str">
        <f>IF(ROW(G59)&gt;MAX(Main!$C$4:$C$1048576),"",INDEX(Main!K$4:K$1048576,MATCH(ROW(G59),Main!$C$4:$C$1048576,0)))</f>
        <v/>
      </c>
      <c r="I61" s="1" t="str">
        <f>IF(H61&lt;&gt;"",IF(ROW(G59)&gt;MAX(Main!$C$4:$C$1048576),"",INDEX(Main!N$4:N$1048576,MATCH(ROW(G59),Main!$C$4:$C$1048576,0))),"")</f>
        <v/>
      </c>
      <c r="J61" s="1" t="str">
        <f>IF(IF(ROW(H59)&gt;MAX(Main!$C$4:$C$1048576),"",INDEX(Main!O$4:O$1048576,MATCH(ROW(H59),Main!$C$4:$C$1048576,0)))="",IF(I61="","",J60),IF(ROW(H59)&gt;MAX(Main!$C$4:$C$1048576),"",INDEX(Main!O$4:O$1048576,MATCH(ROW(H59),Main!$C$4:$C$1048576,0))))</f>
        <v/>
      </c>
      <c r="K61" s="27" t="str">
        <f t="shared" si="1"/>
        <v>例目</v>
      </c>
      <c r="M61" s="4" t="str">
        <f>TEXT(IF(ROW(A59)&gt;MAX(Main!$D$4:$D$1048576),"",INDEX(Main!Q$4:Q$1048576,MATCH(ROW(A59),Main!$D$4:$D$1048576,0))), "yyyy/m/d")</f>
        <v/>
      </c>
      <c r="N61" s="1" t="str">
        <f>IF(IF(ROW(A59)&gt;MAX(Main!$D$4:$D$1048576),"",INDEX(Main!G$4:G$1048576,MATCH(ROW(A59),Main!$D$4:$D$1048576,0)))="",IF(M61="","",N60),IF(ROW(A59)&gt;MAX(Main!$D$4:$D$1048576),"",INDEX(Main!G$4:G$1048576,MATCH(ROW(A59),Main!$D$4:$D$1048576,0))))</f>
        <v/>
      </c>
      <c r="O61" s="1" t="str">
        <f>IF(IF(ROW(B59)&gt;MAX(Main!$D$4:$D$1048576),"",INDEX(Main!H$4:H$1048576,MATCH(ROW(B59),Main!$D$4:$D$1048576,0)))="",IF(N61="","",O60),IF(ROW(B59)&gt;MAX(Main!$D$4:$D$1048576),"",INDEX(Main!H$4:H$1048576,MATCH(ROW(B59),Main!$D$4:$D$1048576,0))))</f>
        <v/>
      </c>
      <c r="P61" s="1" t="str">
        <f>IF(IF(ROW(C59)&gt;MAX(Main!$D$4:$D$1048576),"",INDEX(Main!I$4:I$1048576,MATCH(ROW(C59),Main!$D$4:$D$1048576,0)))="",IF(O61="","",P60),IF(ROW(C59)&gt;MAX(Main!$D$4:$D$1048576),"",INDEX(Main!I$4:I$1048576,MATCH(ROW(C59),Main!$D$4:$D$1048576,0))))</f>
        <v/>
      </c>
      <c r="Q61" s="1" t="str">
        <f t="shared" si="2"/>
        <v/>
      </c>
      <c r="R61" s="1" t="str">
        <f>IF(IF(ROW(D59)&gt;MAX(Main!$D$4:$D$1048576),"",INDEX(Main!J$4:J$1048576,MATCH(ROW(D59),Main!$D$4:$D$1048576,0)))="",IF(P61="","",R60),IF(ROW(D59)&gt;MAX(Main!$D$4:$D$1048576),"",INDEX(Main!J$4:J$1048576,MATCH(ROW(D59),Main!$D$4:$D$1048576,0))))</f>
        <v/>
      </c>
      <c r="S61" s="9" t="str">
        <f>IF(ROW(G59)&gt;MAX(Main!$D$4:$D$1048576),"",INDEX(Main!K$4:K$1048576,MATCH(ROW(G59),Main!$D$4:$D$1048576,0)))</f>
        <v/>
      </c>
      <c r="T61" s="1" t="str">
        <f>IF(S61&lt;&gt;"",IF(ROW(G59)&gt;MAX(Main!$D$4:$D$1048576),"",INDEX(Main!N$4:N$1048576,MATCH(ROW(G59),Main!$D$4:$D$1048576,0))),"")</f>
        <v/>
      </c>
      <c r="U61" s="1" t="str">
        <f>IF(IF(ROW(H59)&gt;MAX(Main!$D$4:$D$1048576),"",INDEX(Main!O$4:O$1048576,MATCH(ROW(H59),Main!$D$4:$D$1048576,0)))="",IF(T61="","",U60),IF(ROW(H59)&gt;MAX(Main!$D$4:$D$1048576),"",INDEX(Main!O$4:O$1048576,MATCH(ROW(H59),Main!$D$4:$D$1048576,0))))</f>
        <v/>
      </c>
    </row>
    <row r="62" spans="1:21" x14ac:dyDescent="0.4">
      <c r="A62" t="s">
        <v>21</v>
      </c>
      <c r="B62" s="4" t="str">
        <f>TEXT(IF(ROW(A60)&gt;MAX(Main!$C$4:$C$1048576),"",INDEX(Main!Q$4:Q$1048576,MATCH(ROW(A60),Main!$C$4:$C$1048576,0))), "yyyy/m/d")</f>
        <v/>
      </c>
      <c r="C62" s="1" t="str">
        <f>IF(IF(ROW(A60)&gt;MAX(Main!$C$4:$C$1048576),"",INDEX(Main!G$4:G$1048576,MATCH(ROW(A60),Main!$C$4:$C$1048576,0)))="",IF(B62="","",C61),IF(ROW(A60)&gt;MAX(Main!$C$4:$C$1048576),"",INDEX(Main!G$4:G$1048576,MATCH(ROW(A60),Main!$C$4:$C$1048576,0))))</f>
        <v/>
      </c>
      <c r="D62" s="1" t="str">
        <f>IF(IF(ROW(B60)&gt;MAX(Main!$C$4:$C$1048576),"",INDEX(Main!H$4:H$1048576,MATCH(ROW(B60),Main!$C$4:$C$1048576,0)))="",IF(C62="","",D61),IF(ROW(B60)&gt;MAX(Main!$C$4:$C$1048576),"",INDEX(Main!H$4:H$1048576,MATCH(ROW(B60),Main!$C$4:$C$1048576,0))))</f>
        <v/>
      </c>
      <c r="E62" s="1" t="str">
        <f>IF(IF(ROW(C60)&gt;MAX(Main!$C$4:$C$1048576),"",INDEX(Main!I$4:I$1048576,MATCH(ROW(C60),Main!$C$4:$C$1048576,0)))="",IF(D62="","",E61),IF(ROW(C60)&gt;MAX(Main!$C$4:$C$1048576),"",INDEX(Main!I$4:I$1048576,MATCH(ROW(C60),Main!$C$4:$C$1048576,0))))</f>
        <v/>
      </c>
      <c r="F62" s="1" t="str">
        <f t="shared" si="0"/>
        <v/>
      </c>
      <c r="G62" s="1" t="str">
        <f>IF(IF(ROW(D60)&gt;MAX(Main!$C$4:$C$1048576),"",INDEX(Main!J$4:J$1048576,MATCH(ROW(D60),Main!$C$4:$C$1048576,0)))="",IF(E62="","",G61),IF(ROW(D60)&gt;MAX(Main!$C$4:$C$1048576),"",INDEX(Main!J$4:J$1048576,MATCH(ROW(D60),Main!$C$4:$C$1048576,0))))</f>
        <v/>
      </c>
      <c r="H62" s="10" t="str">
        <f>IF(ROW(G60)&gt;MAX(Main!$C$4:$C$1048576),"",INDEX(Main!K$4:K$1048576,MATCH(ROW(G60),Main!$C$4:$C$1048576,0)))</f>
        <v/>
      </c>
      <c r="I62" s="1" t="str">
        <f>IF(H62&lt;&gt;"",IF(ROW(G60)&gt;MAX(Main!$C$4:$C$1048576),"",INDEX(Main!N$4:N$1048576,MATCH(ROW(G60),Main!$C$4:$C$1048576,0))),"")</f>
        <v/>
      </c>
      <c r="J62" s="1" t="str">
        <f>IF(IF(ROW(H60)&gt;MAX(Main!$C$4:$C$1048576),"",INDEX(Main!O$4:O$1048576,MATCH(ROW(H60),Main!$C$4:$C$1048576,0)))="",IF(I62="","",J61),IF(ROW(H60)&gt;MAX(Main!$C$4:$C$1048576),"",INDEX(Main!O$4:O$1048576,MATCH(ROW(H60),Main!$C$4:$C$1048576,0))))</f>
        <v/>
      </c>
      <c r="K62" s="27" t="str">
        <f t="shared" si="1"/>
        <v>例目</v>
      </c>
      <c r="M62" s="4" t="str">
        <f>TEXT(IF(ROW(A60)&gt;MAX(Main!$D$4:$D$1048576),"",INDEX(Main!Q$4:Q$1048576,MATCH(ROW(A60),Main!$D$4:$D$1048576,0))), "yyyy/m/d")</f>
        <v/>
      </c>
      <c r="N62" s="1" t="str">
        <f>IF(IF(ROW(A60)&gt;MAX(Main!$D$4:$D$1048576),"",INDEX(Main!G$4:G$1048576,MATCH(ROW(A60),Main!$D$4:$D$1048576,0)))="",IF(M62="","",N61),IF(ROW(A60)&gt;MAX(Main!$D$4:$D$1048576),"",INDEX(Main!G$4:G$1048576,MATCH(ROW(A60),Main!$D$4:$D$1048576,0))))</f>
        <v/>
      </c>
      <c r="O62" s="1" t="str">
        <f>IF(IF(ROW(B60)&gt;MAX(Main!$D$4:$D$1048576),"",INDEX(Main!H$4:H$1048576,MATCH(ROW(B60),Main!$D$4:$D$1048576,0)))="",IF(N62="","",O61),IF(ROW(B60)&gt;MAX(Main!$D$4:$D$1048576),"",INDEX(Main!H$4:H$1048576,MATCH(ROW(B60),Main!$D$4:$D$1048576,0))))</f>
        <v/>
      </c>
      <c r="P62" s="1" t="str">
        <f>IF(IF(ROW(C60)&gt;MAX(Main!$D$4:$D$1048576),"",INDEX(Main!I$4:I$1048576,MATCH(ROW(C60),Main!$D$4:$D$1048576,0)))="",IF(O62="","",P61),IF(ROW(C60)&gt;MAX(Main!$D$4:$D$1048576),"",INDEX(Main!I$4:I$1048576,MATCH(ROW(C60),Main!$D$4:$D$1048576,0))))</f>
        <v/>
      </c>
      <c r="Q62" s="1" t="str">
        <f t="shared" si="2"/>
        <v/>
      </c>
      <c r="R62" s="1" t="str">
        <f>IF(IF(ROW(D60)&gt;MAX(Main!$D$4:$D$1048576),"",INDEX(Main!J$4:J$1048576,MATCH(ROW(D60),Main!$D$4:$D$1048576,0)))="",IF(P62="","",R61),IF(ROW(D60)&gt;MAX(Main!$D$4:$D$1048576),"",INDEX(Main!J$4:J$1048576,MATCH(ROW(D60),Main!$D$4:$D$1048576,0))))</f>
        <v/>
      </c>
      <c r="S62" s="9" t="str">
        <f>IF(ROW(G60)&gt;MAX(Main!$D$4:$D$1048576),"",INDEX(Main!K$4:K$1048576,MATCH(ROW(G60),Main!$D$4:$D$1048576,0)))</f>
        <v/>
      </c>
      <c r="T62" s="1" t="str">
        <f>IF(S62&lt;&gt;"",IF(ROW(G60)&gt;MAX(Main!$D$4:$D$1048576),"",INDEX(Main!N$4:N$1048576,MATCH(ROW(G60),Main!$D$4:$D$1048576,0))),"")</f>
        <v/>
      </c>
      <c r="U62" s="1" t="str">
        <f>IF(IF(ROW(H60)&gt;MAX(Main!$D$4:$D$1048576),"",INDEX(Main!O$4:O$1048576,MATCH(ROW(H60),Main!$D$4:$D$1048576,0)))="",IF(T62="","",U61),IF(ROW(H60)&gt;MAX(Main!$D$4:$D$1048576),"",INDEX(Main!O$4:O$1048576,MATCH(ROW(H60),Main!$D$4:$D$1048576,0))))</f>
        <v/>
      </c>
    </row>
    <row r="63" spans="1:21" x14ac:dyDescent="0.4">
      <c r="A63" t="s">
        <v>21</v>
      </c>
      <c r="B63" s="4" t="str">
        <f>TEXT(IF(ROW(A61)&gt;MAX(Main!$C$4:$C$1048576),"",INDEX(Main!Q$4:Q$1048576,MATCH(ROW(A61),Main!$C$4:$C$1048576,0))), "yyyy/m/d")</f>
        <v/>
      </c>
      <c r="C63" s="1" t="str">
        <f>IF(IF(ROW(A61)&gt;MAX(Main!$C$4:$C$1048576),"",INDEX(Main!G$4:G$1048576,MATCH(ROW(A61),Main!$C$4:$C$1048576,0)))="",IF(B63="","",C62),IF(ROW(A61)&gt;MAX(Main!$C$4:$C$1048576),"",INDEX(Main!G$4:G$1048576,MATCH(ROW(A61),Main!$C$4:$C$1048576,0))))</f>
        <v/>
      </c>
      <c r="D63" s="1" t="str">
        <f>IF(IF(ROW(B61)&gt;MAX(Main!$C$4:$C$1048576),"",INDEX(Main!H$4:H$1048576,MATCH(ROW(B61),Main!$C$4:$C$1048576,0)))="",IF(C63="","",D62),IF(ROW(B61)&gt;MAX(Main!$C$4:$C$1048576),"",INDEX(Main!H$4:H$1048576,MATCH(ROW(B61),Main!$C$4:$C$1048576,0))))</f>
        <v/>
      </c>
      <c r="E63" s="1" t="str">
        <f>IF(IF(ROW(C61)&gt;MAX(Main!$C$4:$C$1048576),"",INDEX(Main!I$4:I$1048576,MATCH(ROW(C61),Main!$C$4:$C$1048576,0)))="",IF(D63="","",E62),IF(ROW(C61)&gt;MAX(Main!$C$4:$C$1048576),"",INDEX(Main!I$4:I$1048576,MATCH(ROW(C61),Main!$C$4:$C$1048576,0))))</f>
        <v/>
      </c>
      <c r="F63" s="1" t="str">
        <f t="shared" si="0"/>
        <v/>
      </c>
      <c r="G63" s="1" t="str">
        <f>IF(IF(ROW(D61)&gt;MAX(Main!$C$4:$C$1048576),"",INDEX(Main!J$4:J$1048576,MATCH(ROW(D61),Main!$C$4:$C$1048576,0)))="",IF(E63="","",G62),IF(ROW(D61)&gt;MAX(Main!$C$4:$C$1048576),"",INDEX(Main!J$4:J$1048576,MATCH(ROW(D61),Main!$C$4:$C$1048576,0))))</f>
        <v/>
      </c>
      <c r="H63" s="10" t="str">
        <f>IF(ROW(G61)&gt;MAX(Main!$C$4:$C$1048576),"",INDEX(Main!K$4:K$1048576,MATCH(ROW(G61),Main!$C$4:$C$1048576,0)))</f>
        <v/>
      </c>
      <c r="I63" s="1" t="str">
        <f>IF(H63&lt;&gt;"",IF(ROW(G61)&gt;MAX(Main!$C$4:$C$1048576),"",INDEX(Main!N$4:N$1048576,MATCH(ROW(G61),Main!$C$4:$C$1048576,0))),"")</f>
        <v/>
      </c>
      <c r="J63" s="1" t="str">
        <f>IF(IF(ROW(H61)&gt;MAX(Main!$C$4:$C$1048576),"",INDEX(Main!O$4:O$1048576,MATCH(ROW(H61),Main!$C$4:$C$1048576,0)))="",IF(I63="","",J62),IF(ROW(H61)&gt;MAX(Main!$C$4:$C$1048576),"",INDEX(Main!O$4:O$1048576,MATCH(ROW(H61),Main!$C$4:$C$1048576,0))))</f>
        <v/>
      </c>
      <c r="K63" s="27" t="str">
        <f t="shared" si="1"/>
        <v>例目</v>
      </c>
      <c r="M63" s="4" t="str">
        <f>TEXT(IF(ROW(A61)&gt;MAX(Main!$D$4:$D$1048576),"",INDEX(Main!Q$4:Q$1048576,MATCH(ROW(A61),Main!$D$4:$D$1048576,0))), "yyyy/m/d")</f>
        <v/>
      </c>
      <c r="N63" s="1" t="str">
        <f>IF(IF(ROW(A61)&gt;MAX(Main!$D$4:$D$1048576),"",INDEX(Main!G$4:G$1048576,MATCH(ROW(A61),Main!$D$4:$D$1048576,0)))="",IF(M63="","",N62),IF(ROW(A61)&gt;MAX(Main!$D$4:$D$1048576),"",INDEX(Main!G$4:G$1048576,MATCH(ROW(A61),Main!$D$4:$D$1048576,0))))</f>
        <v/>
      </c>
      <c r="O63" s="1" t="str">
        <f>IF(IF(ROW(B61)&gt;MAX(Main!$D$4:$D$1048576),"",INDEX(Main!H$4:H$1048576,MATCH(ROW(B61),Main!$D$4:$D$1048576,0)))="",IF(N63="","",O62),IF(ROW(B61)&gt;MAX(Main!$D$4:$D$1048576),"",INDEX(Main!H$4:H$1048576,MATCH(ROW(B61),Main!$D$4:$D$1048576,0))))</f>
        <v/>
      </c>
      <c r="P63" s="1" t="str">
        <f>IF(IF(ROW(C61)&gt;MAX(Main!$D$4:$D$1048576),"",INDEX(Main!I$4:I$1048576,MATCH(ROW(C61),Main!$D$4:$D$1048576,0)))="",IF(O63="","",P62),IF(ROW(C61)&gt;MAX(Main!$D$4:$D$1048576),"",INDEX(Main!I$4:I$1048576,MATCH(ROW(C61),Main!$D$4:$D$1048576,0))))</f>
        <v/>
      </c>
      <c r="Q63" s="1" t="str">
        <f t="shared" si="2"/>
        <v/>
      </c>
      <c r="R63" s="1" t="str">
        <f>IF(IF(ROW(D61)&gt;MAX(Main!$D$4:$D$1048576),"",INDEX(Main!J$4:J$1048576,MATCH(ROW(D61),Main!$D$4:$D$1048576,0)))="",IF(P63="","",R62),IF(ROW(D61)&gt;MAX(Main!$D$4:$D$1048576),"",INDEX(Main!J$4:J$1048576,MATCH(ROW(D61),Main!$D$4:$D$1048576,0))))</f>
        <v/>
      </c>
      <c r="S63" s="9" t="str">
        <f>IF(ROW(G61)&gt;MAX(Main!$D$4:$D$1048576),"",INDEX(Main!K$4:K$1048576,MATCH(ROW(G61),Main!$D$4:$D$1048576,0)))</f>
        <v/>
      </c>
      <c r="T63" s="1" t="str">
        <f>IF(S63&lt;&gt;"",IF(ROW(G61)&gt;MAX(Main!$D$4:$D$1048576),"",INDEX(Main!N$4:N$1048576,MATCH(ROW(G61),Main!$D$4:$D$1048576,0))),"")</f>
        <v/>
      </c>
      <c r="U63" s="1" t="str">
        <f>IF(IF(ROW(H61)&gt;MAX(Main!$D$4:$D$1048576),"",INDEX(Main!O$4:O$1048576,MATCH(ROW(H61),Main!$D$4:$D$1048576,0)))="",IF(T63="","",U62),IF(ROW(H61)&gt;MAX(Main!$D$4:$D$1048576),"",INDEX(Main!O$4:O$1048576,MATCH(ROW(H61),Main!$D$4:$D$1048576,0))))</f>
        <v/>
      </c>
    </row>
    <row r="64" spans="1:21" x14ac:dyDescent="0.4">
      <c r="A64" t="s">
        <v>21</v>
      </c>
      <c r="B64" s="4" t="str">
        <f>TEXT(IF(ROW(A62)&gt;MAX(Main!$C$4:$C$1048576),"",INDEX(Main!Q$4:Q$1048576,MATCH(ROW(A62),Main!$C$4:$C$1048576,0))), "yyyy/m/d")</f>
        <v/>
      </c>
      <c r="C64" s="1" t="str">
        <f>IF(IF(ROW(A62)&gt;MAX(Main!$C$4:$C$1048576),"",INDEX(Main!G$4:G$1048576,MATCH(ROW(A62),Main!$C$4:$C$1048576,0)))="",IF(B64="","",C63),IF(ROW(A62)&gt;MAX(Main!$C$4:$C$1048576),"",INDEX(Main!G$4:G$1048576,MATCH(ROW(A62),Main!$C$4:$C$1048576,0))))</f>
        <v/>
      </c>
      <c r="D64" s="1" t="str">
        <f>IF(IF(ROW(B62)&gt;MAX(Main!$C$4:$C$1048576),"",INDEX(Main!H$4:H$1048576,MATCH(ROW(B62),Main!$C$4:$C$1048576,0)))="",IF(C64="","",D63),IF(ROW(B62)&gt;MAX(Main!$C$4:$C$1048576),"",INDEX(Main!H$4:H$1048576,MATCH(ROW(B62),Main!$C$4:$C$1048576,0))))</f>
        <v/>
      </c>
      <c r="E64" s="1" t="str">
        <f>IF(IF(ROW(C62)&gt;MAX(Main!$C$4:$C$1048576),"",INDEX(Main!I$4:I$1048576,MATCH(ROW(C62),Main!$C$4:$C$1048576,0)))="",IF(D64="","",E63),IF(ROW(C62)&gt;MAX(Main!$C$4:$C$1048576),"",INDEX(Main!I$4:I$1048576,MATCH(ROW(C62),Main!$C$4:$C$1048576,0))))</f>
        <v/>
      </c>
      <c r="F64" s="1" t="str">
        <f t="shared" si="0"/>
        <v/>
      </c>
      <c r="G64" s="1" t="str">
        <f>IF(IF(ROW(D62)&gt;MAX(Main!$C$4:$C$1048576),"",INDEX(Main!J$4:J$1048576,MATCH(ROW(D62),Main!$C$4:$C$1048576,0)))="",IF(E64="","",G63),IF(ROW(D62)&gt;MAX(Main!$C$4:$C$1048576),"",INDEX(Main!J$4:J$1048576,MATCH(ROW(D62),Main!$C$4:$C$1048576,0))))</f>
        <v/>
      </c>
      <c r="H64" s="10" t="str">
        <f>IF(ROW(G62)&gt;MAX(Main!$C$4:$C$1048576),"",INDEX(Main!K$4:K$1048576,MATCH(ROW(G62),Main!$C$4:$C$1048576,0)))</f>
        <v/>
      </c>
      <c r="I64" s="1" t="str">
        <f>IF(H64&lt;&gt;"",IF(ROW(G62)&gt;MAX(Main!$C$4:$C$1048576),"",INDEX(Main!N$4:N$1048576,MATCH(ROW(G62),Main!$C$4:$C$1048576,0))),"")</f>
        <v/>
      </c>
      <c r="J64" s="1" t="str">
        <f>IF(IF(ROW(H62)&gt;MAX(Main!$C$4:$C$1048576),"",INDEX(Main!O$4:O$1048576,MATCH(ROW(H62),Main!$C$4:$C$1048576,0)))="",IF(I64="","",J63),IF(ROW(H62)&gt;MAX(Main!$C$4:$C$1048576),"",INDEX(Main!O$4:O$1048576,MATCH(ROW(H62),Main!$C$4:$C$1048576,0))))</f>
        <v/>
      </c>
      <c r="K64" s="27" t="str">
        <f t="shared" si="1"/>
        <v>例目</v>
      </c>
      <c r="M64" s="4" t="str">
        <f>TEXT(IF(ROW(A62)&gt;MAX(Main!$D$4:$D$1048576),"",INDEX(Main!Q$4:Q$1048576,MATCH(ROW(A62),Main!$D$4:$D$1048576,0))), "yyyy/m/d")</f>
        <v/>
      </c>
      <c r="N64" s="1" t="str">
        <f>IF(IF(ROW(A62)&gt;MAX(Main!$D$4:$D$1048576),"",INDEX(Main!G$4:G$1048576,MATCH(ROW(A62),Main!$D$4:$D$1048576,0)))="",IF(M64="","",N63),IF(ROW(A62)&gt;MAX(Main!$D$4:$D$1048576),"",INDEX(Main!G$4:G$1048576,MATCH(ROW(A62),Main!$D$4:$D$1048576,0))))</f>
        <v/>
      </c>
      <c r="O64" s="1" t="str">
        <f>IF(IF(ROW(B62)&gt;MAX(Main!$D$4:$D$1048576),"",INDEX(Main!H$4:H$1048576,MATCH(ROW(B62),Main!$D$4:$D$1048576,0)))="",IF(N64="","",O63),IF(ROW(B62)&gt;MAX(Main!$D$4:$D$1048576),"",INDEX(Main!H$4:H$1048576,MATCH(ROW(B62),Main!$D$4:$D$1048576,0))))</f>
        <v/>
      </c>
      <c r="P64" s="1" t="str">
        <f>IF(IF(ROW(C62)&gt;MAX(Main!$D$4:$D$1048576),"",INDEX(Main!I$4:I$1048576,MATCH(ROW(C62),Main!$D$4:$D$1048576,0)))="",IF(O64="","",P63),IF(ROW(C62)&gt;MAX(Main!$D$4:$D$1048576),"",INDEX(Main!I$4:I$1048576,MATCH(ROW(C62),Main!$D$4:$D$1048576,0))))</f>
        <v/>
      </c>
      <c r="Q64" s="1" t="str">
        <f t="shared" si="2"/>
        <v/>
      </c>
      <c r="R64" s="1" t="str">
        <f>IF(IF(ROW(D62)&gt;MAX(Main!$D$4:$D$1048576),"",INDEX(Main!J$4:J$1048576,MATCH(ROW(D62),Main!$D$4:$D$1048576,0)))="",IF(P64="","",R63),IF(ROW(D62)&gt;MAX(Main!$D$4:$D$1048576),"",INDEX(Main!J$4:J$1048576,MATCH(ROW(D62),Main!$D$4:$D$1048576,0))))</f>
        <v/>
      </c>
      <c r="S64" s="9" t="str">
        <f>IF(ROW(G62)&gt;MAX(Main!$D$4:$D$1048576),"",INDEX(Main!K$4:K$1048576,MATCH(ROW(G62),Main!$D$4:$D$1048576,0)))</f>
        <v/>
      </c>
      <c r="T64" s="1" t="str">
        <f>IF(S64&lt;&gt;"",IF(ROW(G62)&gt;MAX(Main!$D$4:$D$1048576),"",INDEX(Main!N$4:N$1048576,MATCH(ROW(G62),Main!$D$4:$D$1048576,0))),"")</f>
        <v/>
      </c>
      <c r="U64" s="1" t="str">
        <f>IF(IF(ROW(H62)&gt;MAX(Main!$D$4:$D$1048576),"",INDEX(Main!O$4:O$1048576,MATCH(ROW(H62),Main!$D$4:$D$1048576,0)))="",IF(T64="","",U63),IF(ROW(H62)&gt;MAX(Main!$D$4:$D$1048576),"",INDEX(Main!O$4:O$1048576,MATCH(ROW(H62),Main!$D$4:$D$1048576,0))))</f>
        <v/>
      </c>
    </row>
    <row r="65" spans="1:21" x14ac:dyDescent="0.4">
      <c r="A65" t="s">
        <v>21</v>
      </c>
      <c r="B65" s="4" t="str">
        <f>TEXT(IF(ROW(A63)&gt;MAX(Main!$C$4:$C$1048576),"",INDEX(Main!Q$4:Q$1048576,MATCH(ROW(A63),Main!$C$4:$C$1048576,0))), "yyyy/m/d")</f>
        <v/>
      </c>
      <c r="C65" s="1" t="str">
        <f>IF(IF(ROW(A63)&gt;MAX(Main!$C$4:$C$1048576),"",INDEX(Main!G$4:G$1048576,MATCH(ROW(A63),Main!$C$4:$C$1048576,0)))="",IF(B65="","",C64),IF(ROW(A63)&gt;MAX(Main!$C$4:$C$1048576),"",INDEX(Main!G$4:G$1048576,MATCH(ROW(A63),Main!$C$4:$C$1048576,0))))</f>
        <v/>
      </c>
      <c r="D65" s="1" t="str">
        <f>IF(IF(ROW(B63)&gt;MAX(Main!$C$4:$C$1048576),"",INDEX(Main!H$4:H$1048576,MATCH(ROW(B63),Main!$C$4:$C$1048576,0)))="",IF(C65="","",D64),IF(ROW(B63)&gt;MAX(Main!$C$4:$C$1048576),"",INDEX(Main!H$4:H$1048576,MATCH(ROW(B63),Main!$C$4:$C$1048576,0))))</f>
        <v/>
      </c>
      <c r="E65" s="1" t="str">
        <f>IF(IF(ROW(C63)&gt;MAX(Main!$C$4:$C$1048576),"",INDEX(Main!I$4:I$1048576,MATCH(ROW(C63),Main!$C$4:$C$1048576,0)))="",IF(D65="","",E64),IF(ROW(C63)&gt;MAX(Main!$C$4:$C$1048576),"",INDEX(Main!I$4:I$1048576,MATCH(ROW(C63),Main!$C$4:$C$1048576,0))))</f>
        <v/>
      </c>
      <c r="F65" s="1" t="str">
        <f t="shared" si="0"/>
        <v/>
      </c>
      <c r="G65" s="1" t="str">
        <f>IF(IF(ROW(D63)&gt;MAX(Main!$C$4:$C$1048576),"",INDEX(Main!J$4:J$1048576,MATCH(ROW(D63),Main!$C$4:$C$1048576,0)))="",IF(E65="","",G64),IF(ROW(D63)&gt;MAX(Main!$C$4:$C$1048576),"",INDEX(Main!J$4:J$1048576,MATCH(ROW(D63),Main!$C$4:$C$1048576,0))))</f>
        <v/>
      </c>
      <c r="H65" s="10" t="str">
        <f>IF(ROW(G63)&gt;MAX(Main!$C$4:$C$1048576),"",INDEX(Main!K$4:K$1048576,MATCH(ROW(G63),Main!$C$4:$C$1048576,0)))</f>
        <v/>
      </c>
      <c r="I65" s="1" t="str">
        <f>IF(H65&lt;&gt;"",IF(ROW(G63)&gt;MAX(Main!$C$4:$C$1048576),"",INDEX(Main!N$4:N$1048576,MATCH(ROW(G63),Main!$C$4:$C$1048576,0))),"")</f>
        <v/>
      </c>
      <c r="J65" s="1" t="str">
        <f>IF(IF(ROW(H63)&gt;MAX(Main!$C$4:$C$1048576),"",INDEX(Main!O$4:O$1048576,MATCH(ROW(H63),Main!$C$4:$C$1048576,0)))="",IF(I65="","",J64),IF(ROW(H63)&gt;MAX(Main!$C$4:$C$1048576),"",INDEX(Main!O$4:O$1048576,MATCH(ROW(H63),Main!$C$4:$C$1048576,0))))</f>
        <v/>
      </c>
      <c r="K65" s="27" t="str">
        <f t="shared" si="1"/>
        <v>例目</v>
      </c>
      <c r="M65" s="4" t="str">
        <f>TEXT(IF(ROW(A63)&gt;MAX(Main!$D$4:$D$1048576),"",INDEX(Main!Q$4:Q$1048576,MATCH(ROW(A63),Main!$D$4:$D$1048576,0))), "yyyy/m/d")</f>
        <v/>
      </c>
      <c r="N65" s="1" t="str">
        <f>IF(IF(ROW(A63)&gt;MAX(Main!$D$4:$D$1048576),"",INDEX(Main!G$4:G$1048576,MATCH(ROW(A63),Main!$D$4:$D$1048576,0)))="",IF(M65="","",N64),IF(ROW(A63)&gt;MAX(Main!$D$4:$D$1048576),"",INDEX(Main!G$4:G$1048576,MATCH(ROW(A63),Main!$D$4:$D$1048576,0))))</f>
        <v/>
      </c>
      <c r="O65" s="1" t="str">
        <f>IF(IF(ROW(B63)&gt;MAX(Main!$D$4:$D$1048576),"",INDEX(Main!H$4:H$1048576,MATCH(ROW(B63),Main!$D$4:$D$1048576,0)))="",IF(N65="","",O64),IF(ROW(B63)&gt;MAX(Main!$D$4:$D$1048576),"",INDEX(Main!H$4:H$1048576,MATCH(ROW(B63),Main!$D$4:$D$1048576,0))))</f>
        <v/>
      </c>
      <c r="P65" s="1" t="str">
        <f>IF(IF(ROW(C63)&gt;MAX(Main!$D$4:$D$1048576),"",INDEX(Main!I$4:I$1048576,MATCH(ROW(C63),Main!$D$4:$D$1048576,0)))="",IF(O65="","",P64),IF(ROW(C63)&gt;MAX(Main!$D$4:$D$1048576),"",INDEX(Main!I$4:I$1048576,MATCH(ROW(C63),Main!$D$4:$D$1048576,0))))</f>
        <v/>
      </c>
      <c r="Q65" s="1" t="str">
        <f t="shared" si="2"/>
        <v/>
      </c>
      <c r="R65" s="1" t="str">
        <f>IF(IF(ROW(D63)&gt;MAX(Main!$D$4:$D$1048576),"",INDEX(Main!J$4:J$1048576,MATCH(ROW(D63),Main!$D$4:$D$1048576,0)))="",IF(P65="","",R64),IF(ROW(D63)&gt;MAX(Main!$D$4:$D$1048576),"",INDEX(Main!J$4:J$1048576,MATCH(ROW(D63),Main!$D$4:$D$1048576,0))))</f>
        <v/>
      </c>
      <c r="S65" s="9" t="str">
        <f>IF(ROW(G63)&gt;MAX(Main!$D$4:$D$1048576),"",INDEX(Main!K$4:K$1048576,MATCH(ROW(G63),Main!$D$4:$D$1048576,0)))</f>
        <v/>
      </c>
      <c r="T65" s="1" t="str">
        <f>IF(S65&lt;&gt;"",IF(ROW(G63)&gt;MAX(Main!$D$4:$D$1048576),"",INDEX(Main!N$4:N$1048576,MATCH(ROW(G63),Main!$D$4:$D$1048576,0))),"")</f>
        <v/>
      </c>
      <c r="U65" s="1" t="str">
        <f>IF(IF(ROW(H63)&gt;MAX(Main!$D$4:$D$1048576),"",INDEX(Main!O$4:O$1048576,MATCH(ROW(H63),Main!$D$4:$D$1048576,0)))="",IF(T65="","",U64),IF(ROW(H63)&gt;MAX(Main!$D$4:$D$1048576),"",INDEX(Main!O$4:O$1048576,MATCH(ROW(H63),Main!$D$4:$D$1048576,0))))</f>
        <v/>
      </c>
    </row>
    <row r="66" spans="1:21" x14ac:dyDescent="0.4">
      <c r="A66" t="s">
        <v>21</v>
      </c>
      <c r="B66" s="4" t="str">
        <f>TEXT(IF(ROW(A64)&gt;MAX(Main!$C$4:$C$1048576),"",INDEX(Main!Q$4:Q$1048576,MATCH(ROW(A64),Main!$C$4:$C$1048576,0))), "yyyy/m/d")</f>
        <v/>
      </c>
      <c r="C66" s="1" t="str">
        <f>IF(IF(ROW(A64)&gt;MAX(Main!$C$4:$C$1048576),"",INDEX(Main!G$4:G$1048576,MATCH(ROW(A64),Main!$C$4:$C$1048576,0)))="",IF(B66="","",C65),IF(ROW(A64)&gt;MAX(Main!$C$4:$C$1048576),"",INDEX(Main!G$4:G$1048576,MATCH(ROW(A64),Main!$C$4:$C$1048576,0))))</f>
        <v/>
      </c>
      <c r="D66" s="1" t="str">
        <f>IF(IF(ROW(B64)&gt;MAX(Main!$C$4:$C$1048576),"",INDEX(Main!H$4:H$1048576,MATCH(ROW(B64),Main!$C$4:$C$1048576,0)))="",IF(C66="","",D65),IF(ROW(B64)&gt;MAX(Main!$C$4:$C$1048576),"",INDEX(Main!H$4:H$1048576,MATCH(ROW(B64),Main!$C$4:$C$1048576,0))))</f>
        <v/>
      </c>
      <c r="E66" s="1" t="str">
        <f>IF(IF(ROW(C64)&gt;MAX(Main!$C$4:$C$1048576),"",INDEX(Main!I$4:I$1048576,MATCH(ROW(C64),Main!$C$4:$C$1048576,0)))="",IF(D66="","",E65),IF(ROW(C64)&gt;MAX(Main!$C$4:$C$1048576),"",INDEX(Main!I$4:I$1048576,MATCH(ROW(C64),Main!$C$4:$C$1048576,0))))</f>
        <v/>
      </c>
      <c r="F66" s="1" t="str">
        <f t="shared" si="0"/>
        <v/>
      </c>
      <c r="G66" s="1" t="str">
        <f>IF(IF(ROW(D64)&gt;MAX(Main!$C$4:$C$1048576),"",INDEX(Main!J$4:J$1048576,MATCH(ROW(D64),Main!$C$4:$C$1048576,0)))="",IF(E66="","",G65),IF(ROW(D64)&gt;MAX(Main!$C$4:$C$1048576),"",INDEX(Main!J$4:J$1048576,MATCH(ROW(D64),Main!$C$4:$C$1048576,0))))</f>
        <v/>
      </c>
      <c r="H66" s="10" t="str">
        <f>IF(ROW(G64)&gt;MAX(Main!$C$4:$C$1048576),"",INDEX(Main!K$4:K$1048576,MATCH(ROW(G64),Main!$C$4:$C$1048576,0)))</f>
        <v/>
      </c>
      <c r="I66" s="1" t="str">
        <f>IF(H66&lt;&gt;"",IF(ROW(G64)&gt;MAX(Main!$C$4:$C$1048576),"",INDEX(Main!N$4:N$1048576,MATCH(ROW(G64),Main!$C$4:$C$1048576,0))),"")</f>
        <v/>
      </c>
      <c r="J66" s="1" t="str">
        <f>IF(IF(ROW(H64)&gt;MAX(Main!$C$4:$C$1048576),"",INDEX(Main!O$4:O$1048576,MATCH(ROW(H64),Main!$C$4:$C$1048576,0)))="",IF(I66="","",J65),IF(ROW(H64)&gt;MAX(Main!$C$4:$C$1048576),"",INDEX(Main!O$4:O$1048576,MATCH(ROW(H64),Main!$C$4:$C$1048576,0))))</f>
        <v/>
      </c>
      <c r="K66" s="27" t="str">
        <f t="shared" si="1"/>
        <v>例目</v>
      </c>
      <c r="M66" s="4" t="str">
        <f>TEXT(IF(ROW(A64)&gt;MAX(Main!$D$4:$D$1048576),"",INDEX(Main!Q$4:Q$1048576,MATCH(ROW(A64),Main!$D$4:$D$1048576,0))), "yyyy/m/d")</f>
        <v/>
      </c>
      <c r="N66" s="1" t="str">
        <f>IF(IF(ROW(A64)&gt;MAX(Main!$D$4:$D$1048576),"",INDEX(Main!G$4:G$1048576,MATCH(ROW(A64),Main!$D$4:$D$1048576,0)))="",IF(M66="","",N65),IF(ROW(A64)&gt;MAX(Main!$D$4:$D$1048576),"",INDEX(Main!G$4:G$1048576,MATCH(ROW(A64),Main!$D$4:$D$1048576,0))))</f>
        <v/>
      </c>
      <c r="O66" s="1" t="str">
        <f>IF(IF(ROW(B64)&gt;MAX(Main!$D$4:$D$1048576),"",INDEX(Main!H$4:H$1048576,MATCH(ROW(B64),Main!$D$4:$D$1048576,0)))="",IF(N66="","",O65),IF(ROW(B64)&gt;MAX(Main!$D$4:$D$1048576),"",INDEX(Main!H$4:H$1048576,MATCH(ROW(B64),Main!$D$4:$D$1048576,0))))</f>
        <v/>
      </c>
      <c r="P66" s="1" t="str">
        <f>IF(IF(ROW(C64)&gt;MAX(Main!$D$4:$D$1048576),"",INDEX(Main!I$4:I$1048576,MATCH(ROW(C64),Main!$D$4:$D$1048576,0)))="",IF(O66="","",P65),IF(ROW(C64)&gt;MAX(Main!$D$4:$D$1048576),"",INDEX(Main!I$4:I$1048576,MATCH(ROW(C64),Main!$D$4:$D$1048576,0))))</f>
        <v/>
      </c>
      <c r="Q66" s="1" t="str">
        <f t="shared" si="2"/>
        <v/>
      </c>
      <c r="R66" s="1" t="str">
        <f>IF(IF(ROW(D64)&gt;MAX(Main!$D$4:$D$1048576),"",INDEX(Main!J$4:J$1048576,MATCH(ROW(D64),Main!$D$4:$D$1048576,0)))="",IF(P66="","",R65),IF(ROW(D64)&gt;MAX(Main!$D$4:$D$1048576),"",INDEX(Main!J$4:J$1048576,MATCH(ROW(D64),Main!$D$4:$D$1048576,0))))</f>
        <v/>
      </c>
      <c r="S66" s="9" t="str">
        <f>IF(ROW(G64)&gt;MAX(Main!$D$4:$D$1048576),"",INDEX(Main!K$4:K$1048576,MATCH(ROW(G64),Main!$D$4:$D$1048576,0)))</f>
        <v/>
      </c>
      <c r="T66" s="1" t="str">
        <f>IF(S66&lt;&gt;"",IF(ROW(G64)&gt;MAX(Main!$D$4:$D$1048576),"",INDEX(Main!N$4:N$1048576,MATCH(ROW(G64),Main!$D$4:$D$1048576,0))),"")</f>
        <v/>
      </c>
      <c r="U66" s="1" t="str">
        <f>IF(IF(ROW(H64)&gt;MAX(Main!$D$4:$D$1048576),"",INDEX(Main!O$4:O$1048576,MATCH(ROW(H64),Main!$D$4:$D$1048576,0)))="",IF(T66="","",U65),IF(ROW(H64)&gt;MAX(Main!$D$4:$D$1048576),"",INDEX(Main!O$4:O$1048576,MATCH(ROW(H64),Main!$D$4:$D$1048576,0))))</f>
        <v/>
      </c>
    </row>
    <row r="67" spans="1:21" x14ac:dyDescent="0.4">
      <c r="A67" t="s">
        <v>21</v>
      </c>
      <c r="B67" s="4" t="str">
        <f>TEXT(IF(ROW(A65)&gt;MAX(Main!$C$4:$C$1048576),"",INDEX(Main!Q$4:Q$1048576,MATCH(ROW(A65),Main!$C$4:$C$1048576,0))), "yyyy/m/d")</f>
        <v/>
      </c>
      <c r="C67" s="1" t="str">
        <f>IF(IF(ROW(A65)&gt;MAX(Main!$C$4:$C$1048576),"",INDEX(Main!G$4:G$1048576,MATCH(ROW(A65),Main!$C$4:$C$1048576,0)))="",IF(B67="","",C66),IF(ROW(A65)&gt;MAX(Main!$C$4:$C$1048576),"",INDEX(Main!G$4:G$1048576,MATCH(ROW(A65),Main!$C$4:$C$1048576,0))))</f>
        <v/>
      </c>
      <c r="D67" s="1" t="str">
        <f>IF(IF(ROW(B65)&gt;MAX(Main!$C$4:$C$1048576),"",INDEX(Main!H$4:H$1048576,MATCH(ROW(B65),Main!$C$4:$C$1048576,0)))="",IF(C67="","",D66),IF(ROW(B65)&gt;MAX(Main!$C$4:$C$1048576),"",INDEX(Main!H$4:H$1048576,MATCH(ROW(B65),Main!$C$4:$C$1048576,0))))</f>
        <v/>
      </c>
      <c r="E67" s="1" t="str">
        <f>IF(IF(ROW(C65)&gt;MAX(Main!$C$4:$C$1048576),"",INDEX(Main!I$4:I$1048576,MATCH(ROW(C65),Main!$C$4:$C$1048576,0)))="",IF(D67="","",E66),IF(ROW(C65)&gt;MAX(Main!$C$4:$C$1048576),"",INDEX(Main!I$4:I$1048576,MATCH(ROW(C65),Main!$C$4:$C$1048576,0))))</f>
        <v/>
      </c>
      <c r="F67" s="1" t="str">
        <f t="shared" ref="F67:F130" si="3">IF(E67&lt;&gt;"",IF(E67="男性","male",IF(E67="女性","female","else")),"")</f>
        <v/>
      </c>
      <c r="G67" s="1" t="str">
        <f>IF(IF(ROW(D65)&gt;MAX(Main!$C$4:$C$1048576),"",INDEX(Main!J$4:J$1048576,MATCH(ROW(D65),Main!$C$4:$C$1048576,0)))="",IF(E67="","",G66),IF(ROW(D65)&gt;MAX(Main!$C$4:$C$1048576),"",INDEX(Main!J$4:J$1048576,MATCH(ROW(D65),Main!$C$4:$C$1048576,0))))</f>
        <v/>
      </c>
      <c r="H67" s="10" t="str">
        <f>IF(ROW(G65)&gt;MAX(Main!$C$4:$C$1048576),"",INDEX(Main!K$4:K$1048576,MATCH(ROW(G65),Main!$C$4:$C$1048576,0)))</f>
        <v/>
      </c>
      <c r="I67" s="1" t="str">
        <f>IF(H67&lt;&gt;"",IF(ROW(G65)&gt;MAX(Main!$C$4:$C$1048576),"",INDEX(Main!N$4:N$1048576,MATCH(ROW(G65),Main!$C$4:$C$1048576,0))),"")</f>
        <v/>
      </c>
      <c r="J67" s="1" t="str">
        <f>IF(IF(ROW(H65)&gt;MAX(Main!$C$4:$C$1048576),"",INDEX(Main!O$4:O$1048576,MATCH(ROW(H65),Main!$C$4:$C$1048576,0)))="",IF(I67="","",J66),IF(ROW(H65)&gt;MAX(Main!$C$4:$C$1048576),"",INDEX(Main!O$4:O$1048576,MATCH(ROW(H65),Main!$C$4:$C$1048576,0))))</f>
        <v/>
      </c>
      <c r="K67" s="27" t="str">
        <f t="shared" ref="K67:K130" si="4">IF(ISERROR(FIND($Y$1, $C67)), $C67&amp;
"例目",
"クラスターNo."&amp;LEFT(REPLACE($C67, 1, LEN($Y$1), ""), LEN($C67)-3-LEN($Y$1)))</f>
        <v>例目</v>
      </c>
      <c r="M67" s="4" t="str">
        <f>TEXT(IF(ROW(A65)&gt;MAX(Main!$D$4:$D$1048576),"",INDEX(Main!Q$4:Q$1048576,MATCH(ROW(A65),Main!$D$4:$D$1048576,0))), "yyyy/m/d")</f>
        <v/>
      </c>
      <c r="N67" s="1" t="str">
        <f>IF(IF(ROW(A65)&gt;MAX(Main!$D$4:$D$1048576),"",INDEX(Main!G$4:G$1048576,MATCH(ROW(A65),Main!$D$4:$D$1048576,0)))="",IF(M67="","",N66),IF(ROW(A65)&gt;MAX(Main!$D$4:$D$1048576),"",INDEX(Main!G$4:G$1048576,MATCH(ROW(A65),Main!$D$4:$D$1048576,0))))</f>
        <v/>
      </c>
      <c r="O67" s="1" t="str">
        <f>IF(IF(ROW(B65)&gt;MAX(Main!$D$4:$D$1048576),"",INDEX(Main!H$4:H$1048576,MATCH(ROW(B65),Main!$D$4:$D$1048576,0)))="",IF(N67="","",O66),IF(ROW(B65)&gt;MAX(Main!$D$4:$D$1048576),"",INDEX(Main!H$4:H$1048576,MATCH(ROW(B65),Main!$D$4:$D$1048576,0))))</f>
        <v/>
      </c>
      <c r="P67" s="1" t="str">
        <f>IF(IF(ROW(C65)&gt;MAX(Main!$D$4:$D$1048576),"",INDEX(Main!I$4:I$1048576,MATCH(ROW(C65),Main!$D$4:$D$1048576,0)))="",IF(O67="","",P66),IF(ROW(C65)&gt;MAX(Main!$D$4:$D$1048576),"",INDEX(Main!I$4:I$1048576,MATCH(ROW(C65),Main!$D$4:$D$1048576,0))))</f>
        <v/>
      </c>
      <c r="Q67" s="1" t="str">
        <f t="shared" ref="Q67:Q130" si="5">IF(P67&lt;&gt;"",IF(P67="男性","male",IF(P67="女性","female","else")),"")</f>
        <v/>
      </c>
      <c r="R67" s="1" t="str">
        <f>IF(IF(ROW(D65)&gt;MAX(Main!$D$4:$D$1048576),"",INDEX(Main!J$4:J$1048576,MATCH(ROW(D65),Main!$D$4:$D$1048576,0)))="",IF(P67="","",R66),IF(ROW(D65)&gt;MAX(Main!$D$4:$D$1048576),"",INDEX(Main!J$4:J$1048576,MATCH(ROW(D65),Main!$D$4:$D$1048576,0))))</f>
        <v/>
      </c>
      <c r="S67" s="9" t="str">
        <f>IF(ROW(G65)&gt;MAX(Main!$D$4:$D$1048576),"",INDEX(Main!K$4:K$1048576,MATCH(ROW(G65),Main!$D$4:$D$1048576,0)))</f>
        <v/>
      </c>
      <c r="T67" s="1" t="str">
        <f>IF(S67&lt;&gt;"",IF(ROW(G65)&gt;MAX(Main!$D$4:$D$1048576),"",INDEX(Main!N$4:N$1048576,MATCH(ROW(G65),Main!$D$4:$D$1048576,0))),"")</f>
        <v/>
      </c>
      <c r="U67" s="1" t="str">
        <f>IF(IF(ROW(H65)&gt;MAX(Main!$D$4:$D$1048576),"",INDEX(Main!O$4:O$1048576,MATCH(ROW(H65),Main!$D$4:$D$1048576,0)))="",IF(T67="","",U66),IF(ROW(H65)&gt;MAX(Main!$D$4:$D$1048576),"",INDEX(Main!O$4:O$1048576,MATCH(ROW(H65),Main!$D$4:$D$1048576,0))))</f>
        <v/>
      </c>
    </row>
    <row r="68" spans="1:21" x14ac:dyDescent="0.4">
      <c r="A68" t="s">
        <v>21</v>
      </c>
      <c r="B68" s="4" t="str">
        <f>TEXT(IF(ROW(A66)&gt;MAX(Main!$C$4:$C$1048576),"",INDEX(Main!Q$4:Q$1048576,MATCH(ROW(A66),Main!$C$4:$C$1048576,0))), "yyyy/m/d")</f>
        <v/>
      </c>
      <c r="C68" s="1" t="str">
        <f>IF(IF(ROW(A66)&gt;MAX(Main!$C$4:$C$1048576),"",INDEX(Main!G$4:G$1048576,MATCH(ROW(A66),Main!$C$4:$C$1048576,0)))="",IF(B68="","",C67),IF(ROW(A66)&gt;MAX(Main!$C$4:$C$1048576),"",INDEX(Main!G$4:G$1048576,MATCH(ROW(A66),Main!$C$4:$C$1048576,0))))</f>
        <v/>
      </c>
      <c r="D68" s="1" t="str">
        <f>IF(IF(ROW(B66)&gt;MAX(Main!$C$4:$C$1048576),"",INDEX(Main!H$4:H$1048576,MATCH(ROW(B66),Main!$C$4:$C$1048576,0)))="",IF(C68="","",D67),IF(ROW(B66)&gt;MAX(Main!$C$4:$C$1048576),"",INDEX(Main!H$4:H$1048576,MATCH(ROW(B66),Main!$C$4:$C$1048576,0))))</f>
        <v/>
      </c>
      <c r="E68" s="1" t="str">
        <f>IF(IF(ROW(C66)&gt;MAX(Main!$C$4:$C$1048576),"",INDEX(Main!I$4:I$1048576,MATCH(ROW(C66),Main!$C$4:$C$1048576,0)))="",IF(D68="","",E67),IF(ROW(C66)&gt;MAX(Main!$C$4:$C$1048576),"",INDEX(Main!I$4:I$1048576,MATCH(ROW(C66),Main!$C$4:$C$1048576,0))))</f>
        <v/>
      </c>
      <c r="F68" s="1" t="str">
        <f t="shared" si="3"/>
        <v/>
      </c>
      <c r="G68" s="1" t="str">
        <f>IF(IF(ROW(D66)&gt;MAX(Main!$C$4:$C$1048576),"",INDEX(Main!J$4:J$1048576,MATCH(ROW(D66),Main!$C$4:$C$1048576,0)))="",IF(E68="","",G67),IF(ROW(D66)&gt;MAX(Main!$C$4:$C$1048576),"",INDEX(Main!J$4:J$1048576,MATCH(ROW(D66),Main!$C$4:$C$1048576,0))))</f>
        <v/>
      </c>
      <c r="H68" s="10" t="str">
        <f>IF(ROW(G66)&gt;MAX(Main!$C$4:$C$1048576),"",INDEX(Main!K$4:K$1048576,MATCH(ROW(G66),Main!$C$4:$C$1048576,0)))</f>
        <v/>
      </c>
      <c r="I68" s="1" t="str">
        <f>IF(H68&lt;&gt;"",IF(ROW(G66)&gt;MAX(Main!$C$4:$C$1048576),"",INDEX(Main!N$4:N$1048576,MATCH(ROW(G66),Main!$C$4:$C$1048576,0))),"")</f>
        <v/>
      </c>
      <c r="J68" s="1" t="str">
        <f>IF(IF(ROW(H66)&gt;MAX(Main!$C$4:$C$1048576),"",INDEX(Main!O$4:O$1048576,MATCH(ROW(H66),Main!$C$4:$C$1048576,0)))="",IF(I68="","",J67),IF(ROW(H66)&gt;MAX(Main!$C$4:$C$1048576),"",INDEX(Main!O$4:O$1048576,MATCH(ROW(H66),Main!$C$4:$C$1048576,0))))</f>
        <v/>
      </c>
      <c r="K68" s="27" t="str">
        <f t="shared" si="4"/>
        <v>例目</v>
      </c>
      <c r="M68" s="4" t="str">
        <f>TEXT(IF(ROW(A66)&gt;MAX(Main!$D$4:$D$1048576),"",INDEX(Main!Q$4:Q$1048576,MATCH(ROW(A66),Main!$D$4:$D$1048576,0))), "yyyy/m/d")</f>
        <v/>
      </c>
      <c r="N68" s="1" t="str">
        <f>IF(IF(ROW(A66)&gt;MAX(Main!$D$4:$D$1048576),"",INDEX(Main!G$4:G$1048576,MATCH(ROW(A66),Main!$D$4:$D$1048576,0)))="",IF(M68="","",N67),IF(ROW(A66)&gt;MAX(Main!$D$4:$D$1048576),"",INDEX(Main!G$4:G$1048576,MATCH(ROW(A66),Main!$D$4:$D$1048576,0))))</f>
        <v/>
      </c>
      <c r="O68" s="1" t="str">
        <f>IF(IF(ROW(B66)&gt;MAX(Main!$D$4:$D$1048576),"",INDEX(Main!H$4:H$1048576,MATCH(ROW(B66),Main!$D$4:$D$1048576,0)))="",IF(N68="","",O67),IF(ROW(B66)&gt;MAX(Main!$D$4:$D$1048576),"",INDEX(Main!H$4:H$1048576,MATCH(ROW(B66),Main!$D$4:$D$1048576,0))))</f>
        <v/>
      </c>
      <c r="P68" s="1" t="str">
        <f>IF(IF(ROW(C66)&gt;MAX(Main!$D$4:$D$1048576),"",INDEX(Main!I$4:I$1048576,MATCH(ROW(C66),Main!$D$4:$D$1048576,0)))="",IF(O68="","",P67),IF(ROW(C66)&gt;MAX(Main!$D$4:$D$1048576),"",INDEX(Main!I$4:I$1048576,MATCH(ROW(C66),Main!$D$4:$D$1048576,0))))</f>
        <v/>
      </c>
      <c r="Q68" s="1" t="str">
        <f t="shared" si="5"/>
        <v/>
      </c>
      <c r="R68" s="1" t="str">
        <f>IF(IF(ROW(D66)&gt;MAX(Main!$D$4:$D$1048576),"",INDEX(Main!J$4:J$1048576,MATCH(ROW(D66),Main!$D$4:$D$1048576,0)))="",IF(P68="","",R67),IF(ROW(D66)&gt;MAX(Main!$D$4:$D$1048576),"",INDEX(Main!J$4:J$1048576,MATCH(ROW(D66),Main!$D$4:$D$1048576,0))))</f>
        <v/>
      </c>
      <c r="S68" s="9" t="str">
        <f>IF(ROW(G66)&gt;MAX(Main!$D$4:$D$1048576),"",INDEX(Main!K$4:K$1048576,MATCH(ROW(G66),Main!$D$4:$D$1048576,0)))</f>
        <v/>
      </c>
      <c r="T68" s="1" t="str">
        <f>IF(S68&lt;&gt;"",IF(ROW(G66)&gt;MAX(Main!$D$4:$D$1048576),"",INDEX(Main!N$4:N$1048576,MATCH(ROW(G66),Main!$D$4:$D$1048576,0))),"")</f>
        <v/>
      </c>
      <c r="U68" s="1" t="str">
        <f>IF(IF(ROW(H66)&gt;MAX(Main!$D$4:$D$1048576),"",INDEX(Main!O$4:O$1048576,MATCH(ROW(H66),Main!$D$4:$D$1048576,0)))="",IF(T68="","",U67),IF(ROW(H66)&gt;MAX(Main!$D$4:$D$1048576),"",INDEX(Main!O$4:O$1048576,MATCH(ROW(H66),Main!$D$4:$D$1048576,0))))</f>
        <v/>
      </c>
    </row>
    <row r="69" spans="1:21" x14ac:dyDescent="0.4">
      <c r="A69" t="s">
        <v>21</v>
      </c>
      <c r="B69" s="4" t="str">
        <f>TEXT(IF(ROW(A67)&gt;MAX(Main!$C$4:$C$1048576),"",INDEX(Main!Q$4:Q$1048576,MATCH(ROW(A67),Main!$C$4:$C$1048576,0))), "yyyy/m/d")</f>
        <v/>
      </c>
      <c r="C69" s="1" t="str">
        <f>IF(IF(ROW(A67)&gt;MAX(Main!$C$4:$C$1048576),"",INDEX(Main!G$4:G$1048576,MATCH(ROW(A67),Main!$C$4:$C$1048576,0)))="",IF(B69="","",C68),IF(ROW(A67)&gt;MAX(Main!$C$4:$C$1048576),"",INDEX(Main!G$4:G$1048576,MATCH(ROW(A67),Main!$C$4:$C$1048576,0))))</f>
        <v/>
      </c>
      <c r="D69" s="1" t="str">
        <f>IF(IF(ROW(B67)&gt;MAX(Main!$C$4:$C$1048576),"",INDEX(Main!H$4:H$1048576,MATCH(ROW(B67),Main!$C$4:$C$1048576,0)))="",IF(C69="","",D68),IF(ROW(B67)&gt;MAX(Main!$C$4:$C$1048576),"",INDEX(Main!H$4:H$1048576,MATCH(ROW(B67),Main!$C$4:$C$1048576,0))))</f>
        <v/>
      </c>
      <c r="E69" s="1" t="str">
        <f>IF(IF(ROW(C67)&gt;MAX(Main!$C$4:$C$1048576),"",INDEX(Main!I$4:I$1048576,MATCH(ROW(C67),Main!$C$4:$C$1048576,0)))="",IF(D69="","",E68),IF(ROW(C67)&gt;MAX(Main!$C$4:$C$1048576),"",INDEX(Main!I$4:I$1048576,MATCH(ROW(C67),Main!$C$4:$C$1048576,0))))</f>
        <v/>
      </c>
      <c r="F69" s="1" t="str">
        <f t="shared" si="3"/>
        <v/>
      </c>
      <c r="G69" s="1" t="str">
        <f>IF(IF(ROW(D67)&gt;MAX(Main!$C$4:$C$1048576),"",INDEX(Main!J$4:J$1048576,MATCH(ROW(D67),Main!$C$4:$C$1048576,0)))="",IF(E69="","",G68),IF(ROW(D67)&gt;MAX(Main!$C$4:$C$1048576),"",INDEX(Main!J$4:J$1048576,MATCH(ROW(D67),Main!$C$4:$C$1048576,0))))</f>
        <v/>
      </c>
      <c r="H69" s="10" t="str">
        <f>IF(ROW(G67)&gt;MAX(Main!$C$4:$C$1048576),"",INDEX(Main!K$4:K$1048576,MATCH(ROW(G67),Main!$C$4:$C$1048576,0)))</f>
        <v/>
      </c>
      <c r="I69" s="1" t="str">
        <f>IF(H69&lt;&gt;"",IF(ROW(G67)&gt;MAX(Main!$C$4:$C$1048576),"",INDEX(Main!N$4:N$1048576,MATCH(ROW(G67),Main!$C$4:$C$1048576,0))),"")</f>
        <v/>
      </c>
      <c r="J69" s="1" t="str">
        <f>IF(IF(ROW(H67)&gt;MAX(Main!$C$4:$C$1048576),"",INDEX(Main!O$4:O$1048576,MATCH(ROW(H67),Main!$C$4:$C$1048576,0)))="",IF(I69="","",J68),IF(ROW(H67)&gt;MAX(Main!$C$4:$C$1048576),"",INDEX(Main!O$4:O$1048576,MATCH(ROW(H67),Main!$C$4:$C$1048576,0))))</f>
        <v/>
      </c>
      <c r="K69" s="27" t="str">
        <f t="shared" si="4"/>
        <v>例目</v>
      </c>
      <c r="M69" s="4" t="str">
        <f>TEXT(IF(ROW(A67)&gt;MAX(Main!$D$4:$D$1048576),"",INDEX(Main!Q$4:Q$1048576,MATCH(ROW(A67),Main!$D$4:$D$1048576,0))), "yyyy/m/d")</f>
        <v/>
      </c>
      <c r="N69" s="1" t="str">
        <f>IF(IF(ROW(A67)&gt;MAX(Main!$D$4:$D$1048576),"",INDEX(Main!G$4:G$1048576,MATCH(ROW(A67),Main!$D$4:$D$1048576,0)))="",IF(M69="","",N68),IF(ROW(A67)&gt;MAX(Main!$D$4:$D$1048576),"",INDEX(Main!G$4:G$1048576,MATCH(ROW(A67),Main!$D$4:$D$1048576,0))))</f>
        <v/>
      </c>
      <c r="O69" s="1" t="str">
        <f>IF(IF(ROW(B67)&gt;MAX(Main!$D$4:$D$1048576),"",INDEX(Main!H$4:H$1048576,MATCH(ROW(B67),Main!$D$4:$D$1048576,0)))="",IF(N69="","",O68),IF(ROW(B67)&gt;MAX(Main!$D$4:$D$1048576),"",INDEX(Main!H$4:H$1048576,MATCH(ROW(B67),Main!$D$4:$D$1048576,0))))</f>
        <v/>
      </c>
      <c r="P69" s="1" t="str">
        <f>IF(IF(ROW(C67)&gt;MAX(Main!$D$4:$D$1048576),"",INDEX(Main!I$4:I$1048576,MATCH(ROW(C67),Main!$D$4:$D$1048576,0)))="",IF(O69="","",P68),IF(ROW(C67)&gt;MAX(Main!$D$4:$D$1048576),"",INDEX(Main!I$4:I$1048576,MATCH(ROW(C67),Main!$D$4:$D$1048576,0))))</f>
        <v/>
      </c>
      <c r="Q69" s="1" t="str">
        <f t="shared" si="5"/>
        <v/>
      </c>
      <c r="R69" s="1" t="str">
        <f>IF(IF(ROW(D67)&gt;MAX(Main!$D$4:$D$1048576),"",INDEX(Main!J$4:J$1048576,MATCH(ROW(D67),Main!$D$4:$D$1048576,0)))="",IF(P69="","",R68),IF(ROW(D67)&gt;MAX(Main!$D$4:$D$1048576),"",INDEX(Main!J$4:J$1048576,MATCH(ROW(D67),Main!$D$4:$D$1048576,0))))</f>
        <v/>
      </c>
      <c r="S69" s="9" t="str">
        <f>IF(ROW(G67)&gt;MAX(Main!$D$4:$D$1048576),"",INDEX(Main!K$4:K$1048576,MATCH(ROW(G67),Main!$D$4:$D$1048576,0)))</f>
        <v/>
      </c>
      <c r="T69" s="1" t="str">
        <f>IF(S69&lt;&gt;"",IF(ROW(G67)&gt;MAX(Main!$D$4:$D$1048576),"",INDEX(Main!N$4:N$1048576,MATCH(ROW(G67),Main!$D$4:$D$1048576,0))),"")</f>
        <v/>
      </c>
      <c r="U69" s="1" t="str">
        <f>IF(IF(ROW(H67)&gt;MAX(Main!$D$4:$D$1048576),"",INDEX(Main!O$4:O$1048576,MATCH(ROW(H67),Main!$D$4:$D$1048576,0)))="",IF(T69="","",U68),IF(ROW(H67)&gt;MAX(Main!$D$4:$D$1048576),"",INDEX(Main!O$4:O$1048576,MATCH(ROW(H67),Main!$D$4:$D$1048576,0))))</f>
        <v/>
      </c>
    </row>
    <row r="70" spans="1:21" x14ac:dyDescent="0.4">
      <c r="A70" t="s">
        <v>21</v>
      </c>
      <c r="B70" s="4" t="str">
        <f>TEXT(IF(ROW(A68)&gt;MAX(Main!$C$4:$C$1048576),"",INDEX(Main!Q$4:Q$1048576,MATCH(ROW(A68),Main!$C$4:$C$1048576,0))), "yyyy/m/d")</f>
        <v/>
      </c>
      <c r="C70" s="1" t="str">
        <f>IF(IF(ROW(A68)&gt;MAX(Main!$C$4:$C$1048576),"",INDEX(Main!G$4:G$1048576,MATCH(ROW(A68),Main!$C$4:$C$1048576,0)))="",IF(B70="","",C69),IF(ROW(A68)&gt;MAX(Main!$C$4:$C$1048576),"",INDEX(Main!G$4:G$1048576,MATCH(ROW(A68),Main!$C$4:$C$1048576,0))))</f>
        <v/>
      </c>
      <c r="D70" s="1" t="str">
        <f>IF(IF(ROW(B68)&gt;MAX(Main!$C$4:$C$1048576),"",INDEX(Main!H$4:H$1048576,MATCH(ROW(B68),Main!$C$4:$C$1048576,0)))="",IF(C70="","",D69),IF(ROW(B68)&gt;MAX(Main!$C$4:$C$1048576),"",INDEX(Main!H$4:H$1048576,MATCH(ROW(B68),Main!$C$4:$C$1048576,0))))</f>
        <v/>
      </c>
      <c r="E70" s="1" t="str">
        <f>IF(IF(ROW(C68)&gt;MAX(Main!$C$4:$C$1048576),"",INDEX(Main!I$4:I$1048576,MATCH(ROW(C68),Main!$C$4:$C$1048576,0)))="",IF(D70="","",E69),IF(ROW(C68)&gt;MAX(Main!$C$4:$C$1048576),"",INDEX(Main!I$4:I$1048576,MATCH(ROW(C68),Main!$C$4:$C$1048576,0))))</f>
        <v/>
      </c>
      <c r="F70" s="1" t="str">
        <f t="shared" si="3"/>
        <v/>
      </c>
      <c r="G70" s="1" t="str">
        <f>IF(IF(ROW(D68)&gt;MAX(Main!$C$4:$C$1048576),"",INDEX(Main!J$4:J$1048576,MATCH(ROW(D68),Main!$C$4:$C$1048576,0)))="",IF(E70="","",G69),IF(ROW(D68)&gt;MAX(Main!$C$4:$C$1048576),"",INDEX(Main!J$4:J$1048576,MATCH(ROW(D68),Main!$C$4:$C$1048576,0))))</f>
        <v/>
      </c>
      <c r="H70" s="10" t="str">
        <f>IF(ROW(G68)&gt;MAX(Main!$C$4:$C$1048576),"",INDEX(Main!K$4:K$1048576,MATCH(ROW(G68),Main!$C$4:$C$1048576,0)))</f>
        <v/>
      </c>
      <c r="I70" s="1" t="str">
        <f>IF(H70&lt;&gt;"",IF(ROW(G68)&gt;MAX(Main!$C$4:$C$1048576),"",INDEX(Main!N$4:N$1048576,MATCH(ROW(G68),Main!$C$4:$C$1048576,0))),"")</f>
        <v/>
      </c>
      <c r="J70" s="1" t="str">
        <f>IF(IF(ROW(H68)&gt;MAX(Main!$C$4:$C$1048576),"",INDEX(Main!O$4:O$1048576,MATCH(ROW(H68),Main!$C$4:$C$1048576,0)))="",IF(I70="","",J69),IF(ROW(H68)&gt;MAX(Main!$C$4:$C$1048576),"",INDEX(Main!O$4:O$1048576,MATCH(ROW(H68),Main!$C$4:$C$1048576,0))))</f>
        <v/>
      </c>
      <c r="K70" s="27" t="str">
        <f t="shared" si="4"/>
        <v>例目</v>
      </c>
      <c r="M70" s="4" t="str">
        <f>TEXT(IF(ROW(A68)&gt;MAX(Main!$D$4:$D$1048576),"",INDEX(Main!Q$4:Q$1048576,MATCH(ROW(A68),Main!$D$4:$D$1048576,0))), "yyyy/m/d")</f>
        <v/>
      </c>
      <c r="N70" s="1" t="str">
        <f>IF(IF(ROW(A68)&gt;MAX(Main!$D$4:$D$1048576),"",INDEX(Main!G$4:G$1048576,MATCH(ROW(A68),Main!$D$4:$D$1048576,0)))="",IF(M70="","",N69),IF(ROW(A68)&gt;MAX(Main!$D$4:$D$1048576),"",INDEX(Main!G$4:G$1048576,MATCH(ROW(A68),Main!$D$4:$D$1048576,0))))</f>
        <v/>
      </c>
      <c r="O70" s="1" t="str">
        <f>IF(IF(ROW(B68)&gt;MAX(Main!$D$4:$D$1048576),"",INDEX(Main!H$4:H$1048576,MATCH(ROW(B68),Main!$D$4:$D$1048576,0)))="",IF(N70="","",O69),IF(ROW(B68)&gt;MAX(Main!$D$4:$D$1048576),"",INDEX(Main!H$4:H$1048576,MATCH(ROW(B68),Main!$D$4:$D$1048576,0))))</f>
        <v/>
      </c>
      <c r="P70" s="1" t="str">
        <f>IF(IF(ROW(C68)&gt;MAX(Main!$D$4:$D$1048576),"",INDEX(Main!I$4:I$1048576,MATCH(ROW(C68),Main!$D$4:$D$1048576,0)))="",IF(O70="","",P69),IF(ROW(C68)&gt;MAX(Main!$D$4:$D$1048576),"",INDEX(Main!I$4:I$1048576,MATCH(ROW(C68),Main!$D$4:$D$1048576,0))))</f>
        <v/>
      </c>
      <c r="Q70" s="1" t="str">
        <f t="shared" si="5"/>
        <v/>
      </c>
      <c r="R70" s="1" t="str">
        <f>IF(IF(ROW(D68)&gt;MAX(Main!$D$4:$D$1048576),"",INDEX(Main!J$4:J$1048576,MATCH(ROW(D68),Main!$D$4:$D$1048576,0)))="",IF(P70="","",R69),IF(ROW(D68)&gt;MAX(Main!$D$4:$D$1048576),"",INDEX(Main!J$4:J$1048576,MATCH(ROW(D68),Main!$D$4:$D$1048576,0))))</f>
        <v/>
      </c>
      <c r="S70" s="9" t="str">
        <f>IF(ROW(G68)&gt;MAX(Main!$D$4:$D$1048576),"",INDEX(Main!K$4:K$1048576,MATCH(ROW(G68),Main!$D$4:$D$1048576,0)))</f>
        <v/>
      </c>
      <c r="T70" s="1" t="str">
        <f>IF(S70&lt;&gt;"",IF(ROW(G68)&gt;MAX(Main!$D$4:$D$1048576),"",INDEX(Main!N$4:N$1048576,MATCH(ROW(G68),Main!$D$4:$D$1048576,0))),"")</f>
        <v/>
      </c>
      <c r="U70" s="1" t="str">
        <f>IF(IF(ROW(H68)&gt;MAX(Main!$D$4:$D$1048576),"",INDEX(Main!O$4:O$1048576,MATCH(ROW(H68),Main!$D$4:$D$1048576,0)))="",IF(T70="","",U69),IF(ROW(H68)&gt;MAX(Main!$D$4:$D$1048576),"",INDEX(Main!O$4:O$1048576,MATCH(ROW(H68),Main!$D$4:$D$1048576,0))))</f>
        <v/>
      </c>
    </row>
    <row r="71" spans="1:21" x14ac:dyDescent="0.4">
      <c r="A71" t="s">
        <v>21</v>
      </c>
      <c r="B71" s="4" t="str">
        <f>TEXT(IF(ROW(A69)&gt;MAX(Main!$C$4:$C$1048576),"",INDEX(Main!Q$4:Q$1048576,MATCH(ROW(A69),Main!$C$4:$C$1048576,0))), "yyyy/m/d")</f>
        <v/>
      </c>
      <c r="C71" s="1" t="str">
        <f>IF(IF(ROW(A69)&gt;MAX(Main!$C$4:$C$1048576),"",INDEX(Main!G$4:G$1048576,MATCH(ROW(A69),Main!$C$4:$C$1048576,0)))="",IF(B71="","",C70),IF(ROW(A69)&gt;MAX(Main!$C$4:$C$1048576),"",INDEX(Main!G$4:G$1048576,MATCH(ROW(A69),Main!$C$4:$C$1048576,0))))</f>
        <v/>
      </c>
      <c r="D71" s="1" t="str">
        <f>IF(IF(ROW(B69)&gt;MAX(Main!$C$4:$C$1048576),"",INDEX(Main!H$4:H$1048576,MATCH(ROW(B69),Main!$C$4:$C$1048576,0)))="",IF(C71="","",D70),IF(ROW(B69)&gt;MAX(Main!$C$4:$C$1048576),"",INDEX(Main!H$4:H$1048576,MATCH(ROW(B69),Main!$C$4:$C$1048576,0))))</f>
        <v/>
      </c>
      <c r="E71" s="1" t="str">
        <f>IF(IF(ROW(C69)&gt;MAX(Main!$C$4:$C$1048576),"",INDEX(Main!I$4:I$1048576,MATCH(ROW(C69),Main!$C$4:$C$1048576,0)))="",IF(D71="","",E70),IF(ROW(C69)&gt;MAX(Main!$C$4:$C$1048576),"",INDEX(Main!I$4:I$1048576,MATCH(ROW(C69),Main!$C$4:$C$1048576,0))))</f>
        <v/>
      </c>
      <c r="F71" s="1" t="str">
        <f t="shared" si="3"/>
        <v/>
      </c>
      <c r="G71" s="1" t="str">
        <f>IF(IF(ROW(D69)&gt;MAX(Main!$C$4:$C$1048576),"",INDEX(Main!J$4:J$1048576,MATCH(ROW(D69),Main!$C$4:$C$1048576,0)))="",IF(E71="","",G70),IF(ROW(D69)&gt;MAX(Main!$C$4:$C$1048576),"",INDEX(Main!J$4:J$1048576,MATCH(ROW(D69),Main!$C$4:$C$1048576,0))))</f>
        <v/>
      </c>
      <c r="H71" s="10" t="str">
        <f>IF(ROW(G69)&gt;MAX(Main!$C$4:$C$1048576),"",INDEX(Main!K$4:K$1048576,MATCH(ROW(G69),Main!$C$4:$C$1048576,0)))</f>
        <v/>
      </c>
      <c r="I71" s="1" t="str">
        <f>IF(H71&lt;&gt;"",IF(ROW(G69)&gt;MAX(Main!$C$4:$C$1048576),"",INDEX(Main!N$4:N$1048576,MATCH(ROW(G69),Main!$C$4:$C$1048576,0))),"")</f>
        <v/>
      </c>
      <c r="J71" s="1" t="str">
        <f>IF(IF(ROW(H69)&gt;MAX(Main!$C$4:$C$1048576),"",INDEX(Main!O$4:O$1048576,MATCH(ROW(H69),Main!$C$4:$C$1048576,0)))="",IF(I71="","",J70),IF(ROW(H69)&gt;MAX(Main!$C$4:$C$1048576),"",INDEX(Main!O$4:O$1048576,MATCH(ROW(H69),Main!$C$4:$C$1048576,0))))</f>
        <v/>
      </c>
      <c r="K71" s="27" t="str">
        <f t="shared" si="4"/>
        <v>例目</v>
      </c>
      <c r="M71" s="4" t="str">
        <f>TEXT(IF(ROW(A69)&gt;MAX(Main!$D$4:$D$1048576),"",INDEX(Main!Q$4:Q$1048576,MATCH(ROW(A69),Main!$D$4:$D$1048576,0))), "yyyy/m/d")</f>
        <v/>
      </c>
      <c r="N71" s="1" t="str">
        <f>IF(IF(ROW(A69)&gt;MAX(Main!$D$4:$D$1048576),"",INDEX(Main!G$4:G$1048576,MATCH(ROW(A69),Main!$D$4:$D$1048576,0)))="",IF(M71="","",N70),IF(ROW(A69)&gt;MAX(Main!$D$4:$D$1048576),"",INDEX(Main!G$4:G$1048576,MATCH(ROW(A69),Main!$D$4:$D$1048576,0))))</f>
        <v/>
      </c>
      <c r="O71" s="1" t="str">
        <f>IF(IF(ROW(B69)&gt;MAX(Main!$D$4:$D$1048576),"",INDEX(Main!H$4:H$1048576,MATCH(ROW(B69),Main!$D$4:$D$1048576,0)))="",IF(N71="","",O70),IF(ROW(B69)&gt;MAX(Main!$D$4:$D$1048576),"",INDEX(Main!H$4:H$1048576,MATCH(ROW(B69),Main!$D$4:$D$1048576,0))))</f>
        <v/>
      </c>
      <c r="P71" s="1" t="str">
        <f>IF(IF(ROW(C69)&gt;MAX(Main!$D$4:$D$1048576),"",INDEX(Main!I$4:I$1048576,MATCH(ROW(C69),Main!$D$4:$D$1048576,0)))="",IF(O71="","",P70),IF(ROW(C69)&gt;MAX(Main!$D$4:$D$1048576),"",INDEX(Main!I$4:I$1048576,MATCH(ROW(C69),Main!$D$4:$D$1048576,0))))</f>
        <v/>
      </c>
      <c r="Q71" s="1" t="str">
        <f t="shared" si="5"/>
        <v/>
      </c>
      <c r="R71" s="1" t="str">
        <f>IF(IF(ROW(D69)&gt;MAX(Main!$D$4:$D$1048576),"",INDEX(Main!J$4:J$1048576,MATCH(ROW(D69),Main!$D$4:$D$1048576,0)))="",IF(P71="","",R70),IF(ROW(D69)&gt;MAX(Main!$D$4:$D$1048576),"",INDEX(Main!J$4:J$1048576,MATCH(ROW(D69),Main!$D$4:$D$1048576,0))))</f>
        <v/>
      </c>
      <c r="S71" s="9" t="str">
        <f>IF(ROW(G69)&gt;MAX(Main!$D$4:$D$1048576),"",INDEX(Main!K$4:K$1048576,MATCH(ROW(G69),Main!$D$4:$D$1048576,0)))</f>
        <v/>
      </c>
      <c r="T71" s="1" t="str">
        <f>IF(S71&lt;&gt;"",IF(ROW(G69)&gt;MAX(Main!$D$4:$D$1048576),"",INDEX(Main!N$4:N$1048576,MATCH(ROW(G69),Main!$D$4:$D$1048576,0))),"")</f>
        <v/>
      </c>
      <c r="U71" s="1" t="str">
        <f>IF(IF(ROW(H69)&gt;MAX(Main!$D$4:$D$1048576),"",INDEX(Main!O$4:O$1048576,MATCH(ROW(H69),Main!$D$4:$D$1048576,0)))="",IF(T71="","",U70),IF(ROW(H69)&gt;MAX(Main!$D$4:$D$1048576),"",INDEX(Main!O$4:O$1048576,MATCH(ROW(H69),Main!$D$4:$D$1048576,0))))</f>
        <v/>
      </c>
    </row>
    <row r="72" spans="1:21" x14ac:dyDescent="0.4">
      <c r="A72" t="s">
        <v>21</v>
      </c>
      <c r="B72" s="4" t="str">
        <f>TEXT(IF(ROW(A70)&gt;MAX(Main!$C$4:$C$1048576),"",INDEX(Main!Q$4:Q$1048576,MATCH(ROW(A70),Main!$C$4:$C$1048576,0))), "yyyy/m/d")</f>
        <v/>
      </c>
      <c r="C72" s="1" t="str">
        <f>IF(IF(ROW(A70)&gt;MAX(Main!$C$4:$C$1048576),"",INDEX(Main!G$4:G$1048576,MATCH(ROW(A70),Main!$C$4:$C$1048576,0)))="",IF(B72="","",C71),IF(ROW(A70)&gt;MAX(Main!$C$4:$C$1048576),"",INDEX(Main!G$4:G$1048576,MATCH(ROW(A70),Main!$C$4:$C$1048576,0))))</f>
        <v/>
      </c>
      <c r="D72" s="1" t="str">
        <f>IF(IF(ROW(B70)&gt;MAX(Main!$C$4:$C$1048576),"",INDEX(Main!H$4:H$1048576,MATCH(ROW(B70),Main!$C$4:$C$1048576,0)))="",IF(C72="","",D71),IF(ROW(B70)&gt;MAX(Main!$C$4:$C$1048576),"",INDEX(Main!H$4:H$1048576,MATCH(ROW(B70),Main!$C$4:$C$1048576,0))))</f>
        <v/>
      </c>
      <c r="E72" s="1" t="str">
        <f>IF(IF(ROW(C70)&gt;MAX(Main!$C$4:$C$1048576),"",INDEX(Main!I$4:I$1048576,MATCH(ROW(C70),Main!$C$4:$C$1048576,0)))="",IF(D72="","",E71),IF(ROW(C70)&gt;MAX(Main!$C$4:$C$1048576),"",INDEX(Main!I$4:I$1048576,MATCH(ROW(C70),Main!$C$4:$C$1048576,0))))</f>
        <v/>
      </c>
      <c r="F72" s="1" t="str">
        <f t="shared" si="3"/>
        <v/>
      </c>
      <c r="G72" s="1" t="str">
        <f>IF(IF(ROW(D70)&gt;MAX(Main!$C$4:$C$1048576),"",INDEX(Main!J$4:J$1048576,MATCH(ROW(D70),Main!$C$4:$C$1048576,0)))="",IF(E72="","",G71),IF(ROW(D70)&gt;MAX(Main!$C$4:$C$1048576),"",INDEX(Main!J$4:J$1048576,MATCH(ROW(D70),Main!$C$4:$C$1048576,0))))</f>
        <v/>
      </c>
      <c r="H72" s="10" t="str">
        <f>IF(ROW(G70)&gt;MAX(Main!$C$4:$C$1048576),"",INDEX(Main!K$4:K$1048576,MATCH(ROW(G70),Main!$C$4:$C$1048576,0)))</f>
        <v/>
      </c>
      <c r="I72" s="1" t="str">
        <f>IF(H72&lt;&gt;"",IF(ROW(G70)&gt;MAX(Main!$C$4:$C$1048576),"",INDEX(Main!N$4:N$1048576,MATCH(ROW(G70),Main!$C$4:$C$1048576,0))),"")</f>
        <v/>
      </c>
      <c r="J72" s="1" t="str">
        <f>IF(IF(ROW(H70)&gt;MAX(Main!$C$4:$C$1048576),"",INDEX(Main!O$4:O$1048576,MATCH(ROW(H70),Main!$C$4:$C$1048576,0)))="",IF(I72="","",J71),IF(ROW(H70)&gt;MAX(Main!$C$4:$C$1048576),"",INDEX(Main!O$4:O$1048576,MATCH(ROW(H70),Main!$C$4:$C$1048576,0))))</f>
        <v/>
      </c>
      <c r="K72" s="27" t="str">
        <f t="shared" si="4"/>
        <v>例目</v>
      </c>
      <c r="M72" s="4" t="str">
        <f>TEXT(IF(ROW(A70)&gt;MAX(Main!$D$4:$D$1048576),"",INDEX(Main!Q$4:Q$1048576,MATCH(ROW(A70),Main!$D$4:$D$1048576,0))), "yyyy/m/d")</f>
        <v/>
      </c>
      <c r="N72" s="1" t="str">
        <f>IF(IF(ROW(A70)&gt;MAX(Main!$D$4:$D$1048576),"",INDEX(Main!G$4:G$1048576,MATCH(ROW(A70),Main!$D$4:$D$1048576,0)))="",IF(M72="","",N71),IF(ROW(A70)&gt;MAX(Main!$D$4:$D$1048576),"",INDEX(Main!G$4:G$1048576,MATCH(ROW(A70),Main!$D$4:$D$1048576,0))))</f>
        <v/>
      </c>
      <c r="O72" s="1" t="str">
        <f>IF(IF(ROW(B70)&gt;MAX(Main!$D$4:$D$1048576),"",INDEX(Main!H$4:H$1048576,MATCH(ROW(B70),Main!$D$4:$D$1048576,0)))="",IF(N72="","",O71),IF(ROW(B70)&gt;MAX(Main!$D$4:$D$1048576),"",INDEX(Main!H$4:H$1048576,MATCH(ROW(B70),Main!$D$4:$D$1048576,0))))</f>
        <v/>
      </c>
      <c r="P72" s="1" t="str">
        <f>IF(IF(ROW(C70)&gt;MAX(Main!$D$4:$D$1048576),"",INDEX(Main!I$4:I$1048576,MATCH(ROW(C70),Main!$D$4:$D$1048576,0)))="",IF(O72="","",P71),IF(ROW(C70)&gt;MAX(Main!$D$4:$D$1048576),"",INDEX(Main!I$4:I$1048576,MATCH(ROW(C70),Main!$D$4:$D$1048576,0))))</f>
        <v/>
      </c>
      <c r="Q72" s="1" t="str">
        <f t="shared" si="5"/>
        <v/>
      </c>
      <c r="R72" s="1" t="str">
        <f>IF(IF(ROW(D70)&gt;MAX(Main!$D$4:$D$1048576),"",INDEX(Main!J$4:J$1048576,MATCH(ROW(D70),Main!$D$4:$D$1048576,0)))="",IF(P72="","",R71),IF(ROW(D70)&gt;MAX(Main!$D$4:$D$1048576),"",INDEX(Main!J$4:J$1048576,MATCH(ROW(D70),Main!$D$4:$D$1048576,0))))</f>
        <v/>
      </c>
      <c r="S72" s="9" t="str">
        <f>IF(ROW(G70)&gt;MAX(Main!$D$4:$D$1048576),"",INDEX(Main!K$4:K$1048576,MATCH(ROW(G70),Main!$D$4:$D$1048576,0)))</f>
        <v/>
      </c>
      <c r="T72" s="1" t="str">
        <f>IF(S72&lt;&gt;"",IF(ROW(G70)&gt;MAX(Main!$D$4:$D$1048576),"",INDEX(Main!N$4:N$1048576,MATCH(ROW(G70),Main!$D$4:$D$1048576,0))),"")</f>
        <v/>
      </c>
      <c r="U72" s="1" t="str">
        <f>IF(IF(ROW(H70)&gt;MAX(Main!$D$4:$D$1048576),"",INDEX(Main!O$4:O$1048576,MATCH(ROW(H70),Main!$D$4:$D$1048576,0)))="",IF(T72="","",U71),IF(ROW(H70)&gt;MAX(Main!$D$4:$D$1048576),"",INDEX(Main!O$4:O$1048576,MATCH(ROW(H70),Main!$D$4:$D$1048576,0))))</f>
        <v/>
      </c>
    </row>
    <row r="73" spans="1:21" x14ac:dyDescent="0.4">
      <c r="A73" t="s">
        <v>21</v>
      </c>
      <c r="B73" s="4" t="str">
        <f>TEXT(IF(ROW(A71)&gt;MAX(Main!$C$4:$C$1048576),"",INDEX(Main!Q$4:Q$1048576,MATCH(ROW(A71),Main!$C$4:$C$1048576,0))), "yyyy/m/d")</f>
        <v/>
      </c>
      <c r="C73" s="1" t="str">
        <f>IF(IF(ROW(A71)&gt;MAX(Main!$C$4:$C$1048576),"",INDEX(Main!G$4:G$1048576,MATCH(ROW(A71),Main!$C$4:$C$1048576,0)))="",IF(B73="","",C72),IF(ROW(A71)&gt;MAX(Main!$C$4:$C$1048576),"",INDEX(Main!G$4:G$1048576,MATCH(ROW(A71),Main!$C$4:$C$1048576,0))))</f>
        <v/>
      </c>
      <c r="D73" s="1" t="str">
        <f>IF(IF(ROW(B71)&gt;MAX(Main!$C$4:$C$1048576),"",INDEX(Main!H$4:H$1048576,MATCH(ROW(B71),Main!$C$4:$C$1048576,0)))="",IF(C73="","",D72),IF(ROW(B71)&gt;MAX(Main!$C$4:$C$1048576),"",INDEX(Main!H$4:H$1048576,MATCH(ROW(B71),Main!$C$4:$C$1048576,0))))</f>
        <v/>
      </c>
      <c r="E73" s="1" t="str">
        <f>IF(IF(ROW(C71)&gt;MAX(Main!$C$4:$C$1048576),"",INDEX(Main!I$4:I$1048576,MATCH(ROW(C71),Main!$C$4:$C$1048576,0)))="",IF(D73="","",E72),IF(ROW(C71)&gt;MAX(Main!$C$4:$C$1048576),"",INDEX(Main!I$4:I$1048576,MATCH(ROW(C71),Main!$C$4:$C$1048576,0))))</f>
        <v/>
      </c>
      <c r="F73" s="1" t="str">
        <f t="shared" si="3"/>
        <v/>
      </c>
      <c r="G73" s="1" t="str">
        <f>IF(IF(ROW(D71)&gt;MAX(Main!$C$4:$C$1048576),"",INDEX(Main!J$4:J$1048576,MATCH(ROW(D71),Main!$C$4:$C$1048576,0)))="",IF(E73="","",G72),IF(ROW(D71)&gt;MAX(Main!$C$4:$C$1048576),"",INDEX(Main!J$4:J$1048576,MATCH(ROW(D71),Main!$C$4:$C$1048576,0))))</f>
        <v/>
      </c>
      <c r="H73" s="10" t="str">
        <f>IF(ROW(G71)&gt;MAX(Main!$C$4:$C$1048576),"",INDEX(Main!K$4:K$1048576,MATCH(ROW(G71),Main!$C$4:$C$1048576,0)))</f>
        <v/>
      </c>
      <c r="I73" s="1" t="str">
        <f>IF(H73&lt;&gt;"",IF(ROW(G71)&gt;MAX(Main!$C$4:$C$1048576),"",INDEX(Main!N$4:N$1048576,MATCH(ROW(G71),Main!$C$4:$C$1048576,0))),"")</f>
        <v/>
      </c>
      <c r="J73" s="1" t="str">
        <f>IF(IF(ROW(H71)&gt;MAX(Main!$C$4:$C$1048576),"",INDEX(Main!O$4:O$1048576,MATCH(ROW(H71),Main!$C$4:$C$1048576,0)))="",IF(I73="","",J72),IF(ROW(H71)&gt;MAX(Main!$C$4:$C$1048576),"",INDEX(Main!O$4:O$1048576,MATCH(ROW(H71),Main!$C$4:$C$1048576,0))))</f>
        <v/>
      </c>
      <c r="K73" s="27" t="str">
        <f t="shared" si="4"/>
        <v>例目</v>
      </c>
      <c r="M73" s="4" t="str">
        <f>TEXT(IF(ROW(A71)&gt;MAX(Main!$D$4:$D$1048576),"",INDEX(Main!Q$4:Q$1048576,MATCH(ROW(A71),Main!$D$4:$D$1048576,0))), "yyyy/m/d")</f>
        <v/>
      </c>
      <c r="N73" s="1" t="str">
        <f>IF(IF(ROW(A71)&gt;MAX(Main!$D$4:$D$1048576),"",INDEX(Main!G$4:G$1048576,MATCH(ROW(A71),Main!$D$4:$D$1048576,0)))="",IF(M73="","",N72),IF(ROW(A71)&gt;MAX(Main!$D$4:$D$1048576),"",INDEX(Main!G$4:G$1048576,MATCH(ROW(A71),Main!$D$4:$D$1048576,0))))</f>
        <v/>
      </c>
      <c r="O73" s="1" t="str">
        <f>IF(IF(ROW(B71)&gt;MAX(Main!$D$4:$D$1048576),"",INDEX(Main!H$4:H$1048576,MATCH(ROW(B71),Main!$D$4:$D$1048576,0)))="",IF(N73="","",O72),IF(ROW(B71)&gt;MAX(Main!$D$4:$D$1048576),"",INDEX(Main!H$4:H$1048576,MATCH(ROW(B71),Main!$D$4:$D$1048576,0))))</f>
        <v/>
      </c>
      <c r="P73" s="1" t="str">
        <f>IF(IF(ROW(C71)&gt;MAX(Main!$D$4:$D$1048576),"",INDEX(Main!I$4:I$1048576,MATCH(ROW(C71),Main!$D$4:$D$1048576,0)))="",IF(O73="","",P72),IF(ROW(C71)&gt;MAX(Main!$D$4:$D$1048576),"",INDEX(Main!I$4:I$1048576,MATCH(ROW(C71),Main!$D$4:$D$1048576,0))))</f>
        <v/>
      </c>
      <c r="Q73" s="1" t="str">
        <f t="shared" si="5"/>
        <v/>
      </c>
      <c r="R73" s="1" t="str">
        <f>IF(IF(ROW(D71)&gt;MAX(Main!$D$4:$D$1048576),"",INDEX(Main!J$4:J$1048576,MATCH(ROW(D71),Main!$D$4:$D$1048576,0)))="",IF(P73="","",R72),IF(ROW(D71)&gt;MAX(Main!$D$4:$D$1048576),"",INDEX(Main!J$4:J$1048576,MATCH(ROW(D71),Main!$D$4:$D$1048576,0))))</f>
        <v/>
      </c>
      <c r="S73" s="9" t="str">
        <f>IF(ROW(G71)&gt;MAX(Main!$D$4:$D$1048576),"",INDEX(Main!K$4:K$1048576,MATCH(ROW(G71),Main!$D$4:$D$1048576,0)))</f>
        <v/>
      </c>
      <c r="T73" s="1" t="str">
        <f>IF(S73&lt;&gt;"",IF(ROW(G71)&gt;MAX(Main!$D$4:$D$1048576),"",INDEX(Main!N$4:N$1048576,MATCH(ROW(G71),Main!$D$4:$D$1048576,0))),"")</f>
        <v/>
      </c>
      <c r="U73" s="1" t="str">
        <f>IF(IF(ROW(H71)&gt;MAX(Main!$D$4:$D$1048576),"",INDEX(Main!O$4:O$1048576,MATCH(ROW(H71),Main!$D$4:$D$1048576,0)))="",IF(T73="","",U72),IF(ROW(H71)&gt;MAX(Main!$D$4:$D$1048576),"",INDEX(Main!O$4:O$1048576,MATCH(ROW(H71),Main!$D$4:$D$1048576,0))))</f>
        <v/>
      </c>
    </row>
    <row r="74" spans="1:21" x14ac:dyDescent="0.4">
      <c r="A74" t="s">
        <v>21</v>
      </c>
      <c r="B74" s="4" t="str">
        <f>TEXT(IF(ROW(A72)&gt;MAX(Main!$C$4:$C$1048576),"",INDEX(Main!Q$4:Q$1048576,MATCH(ROW(A72),Main!$C$4:$C$1048576,0))), "yyyy/m/d")</f>
        <v/>
      </c>
      <c r="C74" s="1" t="str">
        <f>IF(IF(ROW(A72)&gt;MAX(Main!$C$4:$C$1048576),"",INDEX(Main!G$4:G$1048576,MATCH(ROW(A72),Main!$C$4:$C$1048576,0)))="",IF(B74="","",C73),IF(ROW(A72)&gt;MAX(Main!$C$4:$C$1048576),"",INDEX(Main!G$4:G$1048576,MATCH(ROW(A72),Main!$C$4:$C$1048576,0))))</f>
        <v/>
      </c>
      <c r="D74" s="1" t="str">
        <f>IF(IF(ROW(B72)&gt;MAX(Main!$C$4:$C$1048576),"",INDEX(Main!H$4:H$1048576,MATCH(ROW(B72),Main!$C$4:$C$1048576,0)))="",IF(C74="","",D73),IF(ROW(B72)&gt;MAX(Main!$C$4:$C$1048576),"",INDEX(Main!H$4:H$1048576,MATCH(ROW(B72),Main!$C$4:$C$1048576,0))))</f>
        <v/>
      </c>
      <c r="E74" s="1" t="str">
        <f>IF(IF(ROW(C72)&gt;MAX(Main!$C$4:$C$1048576),"",INDEX(Main!I$4:I$1048576,MATCH(ROW(C72),Main!$C$4:$C$1048576,0)))="",IF(D74="","",E73),IF(ROW(C72)&gt;MAX(Main!$C$4:$C$1048576),"",INDEX(Main!I$4:I$1048576,MATCH(ROW(C72),Main!$C$4:$C$1048576,0))))</f>
        <v/>
      </c>
      <c r="F74" s="1" t="str">
        <f t="shared" si="3"/>
        <v/>
      </c>
      <c r="G74" s="1" t="str">
        <f>IF(IF(ROW(D72)&gt;MAX(Main!$C$4:$C$1048576),"",INDEX(Main!J$4:J$1048576,MATCH(ROW(D72),Main!$C$4:$C$1048576,0)))="",IF(E74="","",G73),IF(ROW(D72)&gt;MAX(Main!$C$4:$C$1048576),"",INDEX(Main!J$4:J$1048576,MATCH(ROW(D72),Main!$C$4:$C$1048576,0))))</f>
        <v/>
      </c>
      <c r="H74" s="10" t="str">
        <f>IF(ROW(G72)&gt;MAX(Main!$C$4:$C$1048576),"",INDEX(Main!K$4:K$1048576,MATCH(ROW(G72),Main!$C$4:$C$1048576,0)))</f>
        <v/>
      </c>
      <c r="I74" s="1" t="str">
        <f>IF(H74&lt;&gt;"",IF(ROW(G72)&gt;MAX(Main!$C$4:$C$1048576),"",INDEX(Main!N$4:N$1048576,MATCH(ROW(G72),Main!$C$4:$C$1048576,0))),"")</f>
        <v/>
      </c>
      <c r="J74" s="1" t="str">
        <f>IF(IF(ROW(H72)&gt;MAX(Main!$C$4:$C$1048576),"",INDEX(Main!O$4:O$1048576,MATCH(ROW(H72),Main!$C$4:$C$1048576,0)))="",IF(I74="","",J73),IF(ROW(H72)&gt;MAX(Main!$C$4:$C$1048576),"",INDEX(Main!O$4:O$1048576,MATCH(ROW(H72),Main!$C$4:$C$1048576,0))))</f>
        <v/>
      </c>
      <c r="K74" s="27" t="str">
        <f t="shared" si="4"/>
        <v>例目</v>
      </c>
      <c r="M74" s="4" t="str">
        <f>TEXT(IF(ROW(A72)&gt;MAX(Main!$D$4:$D$1048576),"",INDEX(Main!Q$4:Q$1048576,MATCH(ROW(A72),Main!$D$4:$D$1048576,0))), "yyyy/m/d")</f>
        <v/>
      </c>
      <c r="N74" s="1" t="str">
        <f>IF(IF(ROW(A72)&gt;MAX(Main!$D$4:$D$1048576),"",INDEX(Main!G$4:G$1048576,MATCH(ROW(A72),Main!$D$4:$D$1048576,0)))="",IF(M74="","",N73),IF(ROW(A72)&gt;MAX(Main!$D$4:$D$1048576),"",INDEX(Main!G$4:G$1048576,MATCH(ROW(A72),Main!$D$4:$D$1048576,0))))</f>
        <v/>
      </c>
      <c r="O74" s="1" t="str">
        <f>IF(IF(ROW(B72)&gt;MAX(Main!$D$4:$D$1048576),"",INDEX(Main!H$4:H$1048576,MATCH(ROW(B72),Main!$D$4:$D$1048576,0)))="",IF(N74="","",O73),IF(ROW(B72)&gt;MAX(Main!$D$4:$D$1048576),"",INDEX(Main!H$4:H$1048576,MATCH(ROW(B72),Main!$D$4:$D$1048576,0))))</f>
        <v/>
      </c>
      <c r="P74" s="1" t="str">
        <f>IF(IF(ROW(C72)&gt;MAX(Main!$D$4:$D$1048576),"",INDEX(Main!I$4:I$1048576,MATCH(ROW(C72),Main!$D$4:$D$1048576,0)))="",IF(O74="","",P73),IF(ROW(C72)&gt;MAX(Main!$D$4:$D$1048576),"",INDEX(Main!I$4:I$1048576,MATCH(ROW(C72),Main!$D$4:$D$1048576,0))))</f>
        <v/>
      </c>
      <c r="Q74" s="1" t="str">
        <f t="shared" si="5"/>
        <v/>
      </c>
      <c r="R74" s="1" t="str">
        <f>IF(IF(ROW(D72)&gt;MAX(Main!$D$4:$D$1048576),"",INDEX(Main!J$4:J$1048576,MATCH(ROW(D72),Main!$D$4:$D$1048576,0)))="",IF(P74="","",R73),IF(ROW(D72)&gt;MAX(Main!$D$4:$D$1048576),"",INDEX(Main!J$4:J$1048576,MATCH(ROW(D72),Main!$D$4:$D$1048576,0))))</f>
        <v/>
      </c>
      <c r="S74" s="9" t="str">
        <f>IF(ROW(G72)&gt;MAX(Main!$D$4:$D$1048576),"",INDEX(Main!K$4:K$1048576,MATCH(ROW(G72),Main!$D$4:$D$1048576,0)))</f>
        <v/>
      </c>
      <c r="T74" s="1" t="str">
        <f>IF(S74&lt;&gt;"",IF(ROW(G72)&gt;MAX(Main!$D$4:$D$1048576),"",INDEX(Main!N$4:N$1048576,MATCH(ROW(G72),Main!$D$4:$D$1048576,0))),"")</f>
        <v/>
      </c>
      <c r="U74" s="1" t="str">
        <f>IF(IF(ROW(H72)&gt;MAX(Main!$D$4:$D$1048576),"",INDEX(Main!O$4:O$1048576,MATCH(ROW(H72),Main!$D$4:$D$1048576,0)))="",IF(T74="","",U73),IF(ROW(H72)&gt;MAX(Main!$D$4:$D$1048576),"",INDEX(Main!O$4:O$1048576,MATCH(ROW(H72),Main!$D$4:$D$1048576,0))))</f>
        <v/>
      </c>
    </row>
    <row r="75" spans="1:21" x14ac:dyDescent="0.4">
      <c r="A75" t="s">
        <v>21</v>
      </c>
      <c r="B75" s="4" t="str">
        <f>TEXT(IF(ROW(A73)&gt;MAX(Main!$C$4:$C$1048576),"",INDEX(Main!Q$4:Q$1048576,MATCH(ROW(A73),Main!$C$4:$C$1048576,0))), "yyyy/m/d")</f>
        <v/>
      </c>
      <c r="C75" s="1" t="str">
        <f>IF(IF(ROW(A73)&gt;MAX(Main!$C$4:$C$1048576),"",INDEX(Main!G$4:G$1048576,MATCH(ROW(A73),Main!$C$4:$C$1048576,0)))="",IF(B75="","",C74),IF(ROW(A73)&gt;MAX(Main!$C$4:$C$1048576),"",INDEX(Main!G$4:G$1048576,MATCH(ROW(A73),Main!$C$4:$C$1048576,0))))</f>
        <v/>
      </c>
      <c r="D75" s="1" t="str">
        <f>IF(IF(ROW(B73)&gt;MAX(Main!$C$4:$C$1048576),"",INDEX(Main!H$4:H$1048576,MATCH(ROW(B73),Main!$C$4:$C$1048576,0)))="",IF(C75="","",D74),IF(ROW(B73)&gt;MAX(Main!$C$4:$C$1048576),"",INDEX(Main!H$4:H$1048576,MATCH(ROW(B73),Main!$C$4:$C$1048576,0))))</f>
        <v/>
      </c>
      <c r="E75" s="1" t="str">
        <f>IF(IF(ROW(C73)&gt;MAX(Main!$C$4:$C$1048576),"",INDEX(Main!I$4:I$1048576,MATCH(ROW(C73),Main!$C$4:$C$1048576,0)))="",IF(D75="","",E74),IF(ROW(C73)&gt;MAX(Main!$C$4:$C$1048576),"",INDEX(Main!I$4:I$1048576,MATCH(ROW(C73),Main!$C$4:$C$1048576,0))))</f>
        <v/>
      </c>
      <c r="F75" s="1" t="str">
        <f t="shared" si="3"/>
        <v/>
      </c>
      <c r="G75" s="1" t="str">
        <f>IF(IF(ROW(D73)&gt;MAX(Main!$C$4:$C$1048576),"",INDEX(Main!J$4:J$1048576,MATCH(ROW(D73),Main!$C$4:$C$1048576,0)))="",IF(E75="","",G74),IF(ROW(D73)&gt;MAX(Main!$C$4:$C$1048576),"",INDEX(Main!J$4:J$1048576,MATCH(ROW(D73),Main!$C$4:$C$1048576,0))))</f>
        <v/>
      </c>
      <c r="H75" s="10" t="str">
        <f>IF(ROW(G73)&gt;MAX(Main!$C$4:$C$1048576),"",INDEX(Main!K$4:K$1048576,MATCH(ROW(G73),Main!$C$4:$C$1048576,0)))</f>
        <v/>
      </c>
      <c r="I75" s="1" t="str">
        <f>IF(H75&lt;&gt;"",IF(ROW(G73)&gt;MAX(Main!$C$4:$C$1048576),"",INDEX(Main!N$4:N$1048576,MATCH(ROW(G73),Main!$C$4:$C$1048576,0))),"")</f>
        <v/>
      </c>
      <c r="J75" s="1" t="str">
        <f>IF(IF(ROW(H73)&gt;MAX(Main!$C$4:$C$1048576),"",INDEX(Main!O$4:O$1048576,MATCH(ROW(H73),Main!$C$4:$C$1048576,0)))="",IF(I75="","",J74),IF(ROW(H73)&gt;MAX(Main!$C$4:$C$1048576),"",INDEX(Main!O$4:O$1048576,MATCH(ROW(H73),Main!$C$4:$C$1048576,0))))</f>
        <v/>
      </c>
      <c r="K75" s="27" t="str">
        <f t="shared" si="4"/>
        <v>例目</v>
      </c>
      <c r="M75" s="4" t="str">
        <f>TEXT(IF(ROW(A73)&gt;MAX(Main!$D$4:$D$1048576),"",INDEX(Main!Q$4:Q$1048576,MATCH(ROW(A73),Main!$D$4:$D$1048576,0))), "yyyy/m/d")</f>
        <v/>
      </c>
      <c r="N75" s="1" t="str">
        <f>IF(IF(ROW(A73)&gt;MAX(Main!$D$4:$D$1048576),"",INDEX(Main!G$4:G$1048576,MATCH(ROW(A73),Main!$D$4:$D$1048576,0)))="",IF(M75="","",N74),IF(ROW(A73)&gt;MAX(Main!$D$4:$D$1048576),"",INDEX(Main!G$4:G$1048576,MATCH(ROW(A73),Main!$D$4:$D$1048576,0))))</f>
        <v/>
      </c>
      <c r="O75" s="1" t="str">
        <f>IF(IF(ROW(B73)&gt;MAX(Main!$D$4:$D$1048576),"",INDEX(Main!H$4:H$1048576,MATCH(ROW(B73),Main!$D$4:$D$1048576,0)))="",IF(N75="","",O74),IF(ROW(B73)&gt;MAX(Main!$D$4:$D$1048576),"",INDEX(Main!H$4:H$1048576,MATCH(ROW(B73),Main!$D$4:$D$1048576,0))))</f>
        <v/>
      </c>
      <c r="P75" s="1" t="str">
        <f>IF(IF(ROW(C73)&gt;MAX(Main!$D$4:$D$1048576),"",INDEX(Main!I$4:I$1048576,MATCH(ROW(C73),Main!$D$4:$D$1048576,0)))="",IF(O75="","",P74),IF(ROW(C73)&gt;MAX(Main!$D$4:$D$1048576),"",INDEX(Main!I$4:I$1048576,MATCH(ROW(C73),Main!$D$4:$D$1048576,0))))</f>
        <v/>
      </c>
      <c r="Q75" s="1" t="str">
        <f t="shared" si="5"/>
        <v/>
      </c>
      <c r="R75" s="1" t="str">
        <f>IF(IF(ROW(D73)&gt;MAX(Main!$D$4:$D$1048576),"",INDEX(Main!J$4:J$1048576,MATCH(ROW(D73),Main!$D$4:$D$1048576,0)))="",IF(P75="","",R74),IF(ROW(D73)&gt;MAX(Main!$D$4:$D$1048576),"",INDEX(Main!J$4:J$1048576,MATCH(ROW(D73),Main!$D$4:$D$1048576,0))))</f>
        <v/>
      </c>
      <c r="S75" s="9" t="str">
        <f>IF(ROW(G73)&gt;MAX(Main!$D$4:$D$1048576),"",INDEX(Main!K$4:K$1048576,MATCH(ROW(G73),Main!$D$4:$D$1048576,0)))</f>
        <v/>
      </c>
      <c r="T75" s="1" t="str">
        <f>IF(S75&lt;&gt;"",IF(ROW(G73)&gt;MAX(Main!$D$4:$D$1048576),"",INDEX(Main!N$4:N$1048576,MATCH(ROW(G73),Main!$D$4:$D$1048576,0))),"")</f>
        <v/>
      </c>
      <c r="U75" s="1" t="str">
        <f>IF(IF(ROW(H73)&gt;MAX(Main!$D$4:$D$1048576),"",INDEX(Main!O$4:O$1048576,MATCH(ROW(H73),Main!$D$4:$D$1048576,0)))="",IF(T75="","",U74),IF(ROW(H73)&gt;MAX(Main!$D$4:$D$1048576),"",INDEX(Main!O$4:O$1048576,MATCH(ROW(H73),Main!$D$4:$D$1048576,0))))</f>
        <v/>
      </c>
    </row>
    <row r="76" spans="1:21" x14ac:dyDescent="0.4">
      <c r="A76" t="s">
        <v>21</v>
      </c>
      <c r="B76" s="4" t="str">
        <f>TEXT(IF(ROW(A74)&gt;MAX(Main!$C$4:$C$1048576),"",INDEX(Main!Q$4:Q$1048576,MATCH(ROW(A74),Main!$C$4:$C$1048576,0))), "yyyy/m/d")</f>
        <v/>
      </c>
      <c r="C76" s="1" t="str">
        <f>IF(IF(ROW(A74)&gt;MAX(Main!$C$4:$C$1048576),"",INDEX(Main!G$4:G$1048576,MATCH(ROW(A74),Main!$C$4:$C$1048576,0)))="",IF(B76="","",C75),IF(ROW(A74)&gt;MAX(Main!$C$4:$C$1048576),"",INDEX(Main!G$4:G$1048576,MATCH(ROW(A74),Main!$C$4:$C$1048576,0))))</f>
        <v/>
      </c>
      <c r="D76" s="1" t="str">
        <f>IF(IF(ROW(B74)&gt;MAX(Main!$C$4:$C$1048576),"",INDEX(Main!H$4:H$1048576,MATCH(ROW(B74),Main!$C$4:$C$1048576,0)))="",IF(C76="","",D75),IF(ROW(B74)&gt;MAX(Main!$C$4:$C$1048576),"",INDEX(Main!H$4:H$1048576,MATCH(ROW(B74),Main!$C$4:$C$1048576,0))))</f>
        <v/>
      </c>
      <c r="E76" s="1" t="str">
        <f>IF(IF(ROW(C74)&gt;MAX(Main!$C$4:$C$1048576),"",INDEX(Main!I$4:I$1048576,MATCH(ROW(C74),Main!$C$4:$C$1048576,0)))="",IF(D76="","",E75),IF(ROW(C74)&gt;MAX(Main!$C$4:$C$1048576),"",INDEX(Main!I$4:I$1048576,MATCH(ROW(C74),Main!$C$4:$C$1048576,0))))</f>
        <v/>
      </c>
      <c r="F76" s="1" t="str">
        <f t="shared" si="3"/>
        <v/>
      </c>
      <c r="G76" s="1" t="str">
        <f>IF(IF(ROW(D74)&gt;MAX(Main!$C$4:$C$1048576),"",INDEX(Main!J$4:J$1048576,MATCH(ROW(D74),Main!$C$4:$C$1048576,0)))="",IF(E76="","",G75),IF(ROW(D74)&gt;MAX(Main!$C$4:$C$1048576),"",INDEX(Main!J$4:J$1048576,MATCH(ROW(D74),Main!$C$4:$C$1048576,0))))</f>
        <v/>
      </c>
      <c r="H76" s="10" t="str">
        <f>IF(ROW(G74)&gt;MAX(Main!$C$4:$C$1048576),"",INDEX(Main!K$4:K$1048576,MATCH(ROW(G74),Main!$C$4:$C$1048576,0)))</f>
        <v/>
      </c>
      <c r="I76" s="1" t="str">
        <f>IF(H76&lt;&gt;"",IF(ROW(G74)&gt;MAX(Main!$C$4:$C$1048576),"",INDEX(Main!N$4:N$1048576,MATCH(ROW(G74),Main!$C$4:$C$1048576,0))),"")</f>
        <v/>
      </c>
      <c r="J76" s="1" t="str">
        <f>IF(IF(ROW(H74)&gt;MAX(Main!$C$4:$C$1048576),"",INDEX(Main!O$4:O$1048576,MATCH(ROW(H74),Main!$C$4:$C$1048576,0)))="",IF(I76="","",J75),IF(ROW(H74)&gt;MAX(Main!$C$4:$C$1048576),"",INDEX(Main!O$4:O$1048576,MATCH(ROW(H74),Main!$C$4:$C$1048576,0))))</f>
        <v/>
      </c>
      <c r="K76" s="27" t="str">
        <f t="shared" si="4"/>
        <v>例目</v>
      </c>
      <c r="M76" s="4" t="str">
        <f>TEXT(IF(ROW(A74)&gt;MAX(Main!$D$4:$D$1048576),"",INDEX(Main!Q$4:Q$1048576,MATCH(ROW(A74),Main!$D$4:$D$1048576,0))), "yyyy/m/d")</f>
        <v/>
      </c>
      <c r="N76" s="1" t="str">
        <f>IF(IF(ROW(A74)&gt;MAX(Main!$D$4:$D$1048576),"",INDEX(Main!G$4:G$1048576,MATCH(ROW(A74),Main!$D$4:$D$1048576,0)))="",IF(M76="","",N75),IF(ROW(A74)&gt;MAX(Main!$D$4:$D$1048576),"",INDEX(Main!G$4:G$1048576,MATCH(ROW(A74),Main!$D$4:$D$1048576,0))))</f>
        <v/>
      </c>
      <c r="O76" s="1" t="str">
        <f>IF(IF(ROW(B74)&gt;MAX(Main!$D$4:$D$1048576),"",INDEX(Main!H$4:H$1048576,MATCH(ROW(B74),Main!$D$4:$D$1048576,0)))="",IF(N76="","",O75),IF(ROW(B74)&gt;MAX(Main!$D$4:$D$1048576),"",INDEX(Main!H$4:H$1048576,MATCH(ROW(B74),Main!$D$4:$D$1048576,0))))</f>
        <v/>
      </c>
      <c r="P76" s="1" t="str">
        <f>IF(IF(ROW(C74)&gt;MAX(Main!$D$4:$D$1048576),"",INDEX(Main!I$4:I$1048576,MATCH(ROW(C74),Main!$D$4:$D$1048576,0)))="",IF(O76="","",P75),IF(ROW(C74)&gt;MAX(Main!$D$4:$D$1048576),"",INDEX(Main!I$4:I$1048576,MATCH(ROW(C74),Main!$D$4:$D$1048576,0))))</f>
        <v/>
      </c>
      <c r="Q76" s="1" t="str">
        <f t="shared" si="5"/>
        <v/>
      </c>
      <c r="R76" s="1" t="str">
        <f>IF(IF(ROW(D74)&gt;MAX(Main!$D$4:$D$1048576),"",INDEX(Main!J$4:J$1048576,MATCH(ROW(D74),Main!$D$4:$D$1048576,0)))="",IF(P76="","",R75),IF(ROW(D74)&gt;MAX(Main!$D$4:$D$1048576),"",INDEX(Main!J$4:J$1048576,MATCH(ROW(D74),Main!$D$4:$D$1048576,0))))</f>
        <v/>
      </c>
      <c r="S76" s="9" t="str">
        <f>IF(ROW(G74)&gt;MAX(Main!$D$4:$D$1048576),"",INDEX(Main!K$4:K$1048576,MATCH(ROW(G74),Main!$D$4:$D$1048576,0)))</f>
        <v/>
      </c>
      <c r="T76" s="1" t="str">
        <f>IF(S76&lt;&gt;"",IF(ROW(G74)&gt;MAX(Main!$D$4:$D$1048576),"",INDEX(Main!N$4:N$1048576,MATCH(ROW(G74),Main!$D$4:$D$1048576,0))),"")</f>
        <v/>
      </c>
      <c r="U76" s="1" t="str">
        <f>IF(IF(ROW(H74)&gt;MAX(Main!$D$4:$D$1048576),"",INDEX(Main!O$4:O$1048576,MATCH(ROW(H74),Main!$D$4:$D$1048576,0)))="",IF(T76="","",U75),IF(ROW(H74)&gt;MAX(Main!$D$4:$D$1048576),"",INDEX(Main!O$4:O$1048576,MATCH(ROW(H74),Main!$D$4:$D$1048576,0))))</f>
        <v/>
      </c>
    </row>
    <row r="77" spans="1:21" x14ac:dyDescent="0.4">
      <c r="A77" t="s">
        <v>21</v>
      </c>
      <c r="B77" s="4" t="str">
        <f>TEXT(IF(ROW(A75)&gt;MAX(Main!$C$4:$C$1048576),"",INDEX(Main!Q$4:Q$1048576,MATCH(ROW(A75),Main!$C$4:$C$1048576,0))), "yyyy/m/d")</f>
        <v/>
      </c>
      <c r="C77" s="1" t="str">
        <f>IF(IF(ROW(A75)&gt;MAX(Main!$C$4:$C$1048576),"",INDEX(Main!G$4:G$1048576,MATCH(ROW(A75),Main!$C$4:$C$1048576,0)))="",IF(B77="","",C76),IF(ROW(A75)&gt;MAX(Main!$C$4:$C$1048576),"",INDEX(Main!G$4:G$1048576,MATCH(ROW(A75),Main!$C$4:$C$1048576,0))))</f>
        <v/>
      </c>
      <c r="D77" s="1" t="str">
        <f>IF(IF(ROW(B75)&gt;MAX(Main!$C$4:$C$1048576),"",INDEX(Main!H$4:H$1048576,MATCH(ROW(B75),Main!$C$4:$C$1048576,0)))="",IF(C77="","",D76),IF(ROW(B75)&gt;MAX(Main!$C$4:$C$1048576),"",INDEX(Main!H$4:H$1048576,MATCH(ROW(B75),Main!$C$4:$C$1048576,0))))</f>
        <v/>
      </c>
      <c r="E77" s="1" t="str">
        <f>IF(IF(ROW(C75)&gt;MAX(Main!$C$4:$C$1048576),"",INDEX(Main!I$4:I$1048576,MATCH(ROW(C75),Main!$C$4:$C$1048576,0)))="",IF(D77="","",E76),IF(ROW(C75)&gt;MAX(Main!$C$4:$C$1048576),"",INDEX(Main!I$4:I$1048576,MATCH(ROW(C75),Main!$C$4:$C$1048576,0))))</f>
        <v/>
      </c>
      <c r="F77" s="1" t="str">
        <f t="shared" si="3"/>
        <v/>
      </c>
      <c r="G77" s="1" t="str">
        <f>IF(IF(ROW(D75)&gt;MAX(Main!$C$4:$C$1048576),"",INDEX(Main!J$4:J$1048576,MATCH(ROW(D75),Main!$C$4:$C$1048576,0)))="",IF(E77="","",G76),IF(ROW(D75)&gt;MAX(Main!$C$4:$C$1048576),"",INDEX(Main!J$4:J$1048576,MATCH(ROW(D75),Main!$C$4:$C$1048576,0))))</f>
        <v/>
      </c>
      <c r="H77" s="10" t="str">
        <f>IF(ROW(G75)&gt;MAX(Main!$C$4:$C$1048576),"",INDEX(Main!K$4:K$1048576,MATCH(ROW(G75),Main!$C$4:$C$1048576,0)))</f>
        <v/>
      </c>
      <c r="I77" s="1" t="str">
        <f>IF(H77&lt;&gt;"",IF(ROW(G75)&gt;MAX(Main!$C$4:$C$1048576),"",INDEX(Main!N$4:N$1048576,MATCH(ROW(G75),Main!$C$4:$C$1048576,0))),"")</f>
        <v/>
      </c>
      <c r="J77" s="1" t="str">
        <f>IF(IF(ROW(H75)&gt;MAX(Main!$C$4:$C$1048576),"",INDEX(Main!O$4:O$1048576,MATCH(ROW(H75),Main!$C$4:$C$1048576,0)))="",IF(I77="","",J76),IF(ROW(H75)&gt;MAX(Main!$C$4:$C$1048576),"",INDEX(Main!O$4:O$1048576,MATCH(ROW(H75),Main!$C$4:$C$1048576,0))))</f>
        <v/>
      </c>
      <c r="K77" s="27" t="str">
        <f t="shared" si="4"/>
        <v>例目</v>
      </c>
      <c r="M77" s="4" t="str">
        <f>TEXT(IF(ROW(A75)&gt;MAX(Main!$D$4:$D$1048576),"",INDEX(Main!Q$4:Q$1048576,MATCH(ROW(A75),Main!$D$4:$D$1048576,0))), "yyyy/m/d")</f>
        <v/>
      </c>
      <c r="N77" s="1" t="str">
        <f>IF(IF(ROW(A75)&gt;MAX(Main!$D$4:$D$1048576),"",INDEX(Main!G$4:G$1048576,MATCH(ROW(A75),Main!$D$4:$D$1048576,0)))="",IF(M77="","",N76),IF(ROW(A75)&gt;MAX(Main!$D$4:$D$1048576),"",INDEX(Main!G$4:G$1048576,MATCH(ROW(A75),Main!$D$4:$D$1048576,0))))</f>
        <v/>
      </c>
      <c r="O77" s="1" t="str">
        <f>IF(IF(ROW(B75)&gt;MAX(Main!$D$4:$D$1048576),"",INDEX(Main!H$4:H$1048576,MATCH(ROW(B75),Main!$D$4:$D$1048576,0)))="",IF(N77="","",O76),IF(ROW(B75)&gt;MAX(Main!$D$4:$D$1048576),"",INDEX(Main!H$4:H$1048576,MATCH(ROW(B75),Main!$D$4:$D$1048576,0))))</f>
        <v/>
      </c>
      <c r="P77" s="1" t="str">
        <f>IF(IF(ROW(C75)&gt;MAX(Main!$D$4:$D$1048576),"",INDEX(Main!I$4:I$1048576,MATCH(ROW(C75),Main!$D$4:$D$1048576,0)))="",IF(O77="","",P76),IF(ROW(C75)&gt;MAX(Main!$D$4:$D$1048576),"",INDEX(Main!I$4:I$1048576,MATCH(ROW(C75),Main!$D$4:$D$1048576,0))))</f>
        <v/>
      </c>
      <c r="Q77" s="1" t="str">
        <f t="shared" si="5"/>
        <v/>
      </c>
      <c r="R77" s="1" t="str">
        <f>IF(IF(ROW(D75)&gt;MAX(Main!$D$4:$D$1048576),"",INDEX(Main!J$4:J$1048576,MATCH(ROW(D75),Main!$D$4:$D$1048576,0)))="",IF(P77="","",R76),IF(ROW(D75)&gt;MAX(Main!$D$4:$D$1048576),"",INDEX(Main!J$4:J$1048576,MATCH(ROW(D75),Main!$D$4:$D$1048576,0))))</f>
        <v/>
      </c>
      <c r="S77" s="9" t="str">
        <f>IF(ROW(G75)&gt;MAX(Main!$D$4:$D$1048576),"",INDEX(Main!K$4:K$1048576,MATCH(ROW(G75),Main!$D$4:$D$1048576,0)))</f>
        <v/>
      </c>
      <c r="T77" s="1" t="str">
        <f>IF(S77&lt;&gt;"",IF(ROW(G75)&gt;MAX(Main!$D$4:$D$1048576),"",INDEX(Main!N$4:N$1048576,MATCH(ROW(G75),Main!$D$4:$D$1048576,0))),"")</f>
        <v/>
      </c>
      <c r="U77" s="1" t="str">
        <f>IF(IF(ROW(H75)&gt;MAX(Main!$D$4:$D$1048576),"",INDEX(Main!O$4:O$1048576,MATCH(ROW(H75),Main!$D$4:$D$1048576,0)))="",IF(T77="","",U76),IF(ROW(H75)&gt;MAX(Main!$D$4:$D$1048576),"",INDEX(Main!O$4:O$1048576,MATCH(ROW(H75),Main!$D$4:$D$1048576,0))))</f>
        <v/>
      </c>
    </row>
    <row r="78" spans="1:21" x14ac:dyDescent="0.4">
      <c r="A78" t="s">
        <v>21</v>
      </c>
      <c r="B78" s="4" t="str">
        <f>TEXT(IF(ROW(A76)&gt;MAX(Main!$C$4:$C$1048576),"",INDEX(Main!Q$4:Q$1048576,MATCH(ROW(A76),Main!$C$4:$C$1048576,0))), "yyyy/m/d")</f>
        <v/>
      </c>
      <c r="C78" s="1" t="str">
        <f>IF(IF(ROW(A76)&gt;MAX(Main!$C$4:$C$1048576),"",INDEX(Main!G$4:G$1048576,MATCH(ROW(A76),Main!$C$4:$C$1048576,0)))="",IF(B78="","",C77),IF(ROW(A76)&gt;MAX(Main!$C$4:$C$1048576),"",INDEX(Main!G$4:G$1048576,MATCH(ROW(A76),Main!$C$4:$C$1048576,0))))</f>
        <v/>
      </c>
      <c r="D78" s="1" t="str">
        <f>IF(IF(ROW(B76)&gt;MAX(Main!$C$4:$C$1048576),"",INDEX(Main!H$4:H$1048576,MATCH(ROW(B76),Main!$C$4:$C$1048576,0)))="",IF(C78="","",D77),IF(ROW(B76)&gt;MAX(Main!$C$4:$C$1048576),"",INDEX(Main!H$4:H$1048576,MATCH(ROW(B76),Main!$C$4:$C$1048576,0))))</f>
        <v/>
      </c>
      <c r="E78" s="1" t="str">
        <f>IF(IF(ROW(C76)&gt;MAX(Main!$C$4:$C$1048576),"",INDEX(Main!I$4:I$1048576,MATCH(ROW(C76),Main!$C$4:$C$1048576,0)))="",IF(D78="","",E77),IF(ROW(C76)&gt;MAX(Main!$C$4:$C$1048576),"",INDEX(Main!I$4:I$1048576,MATCH(ROW(C76),Main!$C$4:$C$1048576,0))))</f>
        <v/>
      </c>
      <c r="F78" s="1" t="str">
        <f t="shared" si="3"/>
        <v/>
      </c>
      <c r="G78" s="1" t="str">
        <f>IF(IF(ROW(D76)&gt;MAX(Main!$C$4:$C$1048576),"",INDEX(Main!J$4:J$1048576,MATCH(ROW(D76),Main!$C$4:$C$1048576,0)))="",IF(E78="","",G77),IF(ROW(D76)&gt;MAX(Main!$C$4:$C$1048576),"",INDEX(Main!J$4:J$1048576,MATCH(ROW(D76),Main!$C$4:$C$1048576,0))))</f>
        <v/>
      </c>
      <c r="H78" s="10" t="str">
        <f>IF(ROW(G76)&gt;MAX(Main!$C$4:$C$1048576),"",INDEX(Main!K$4:K$1048576,MATCH(ROW(G76),Main!$C$4:$C$1048576,0)))</f>
        <v/>
      </c>
      <c r="I78" s="1" t="str">
        <f>IF(H78&lt;&gt;"",IF(ROW(G76)&gt;MAX(Main!$C$4:$C$1048576),"",INDEX(Main!N$4:N$1048576,MATCH(ROW(G76),Main!$C$4:$C$1048576,0))),"")</f>
        <v/>
      </c>
      <c r="J78" s="1" t="str">
        <f>IF(IF(ROW(H76)&gt;MAX(Main!$C$4:$C$1048576),"",INDEX(Main!O$4:O$1048576,MATCH(ROW(H76),Main!$C$4:$C$1048576,0)))="",IF(I78="","",J77),IF(ROW(H76)&gt;MAX(Main!$C$4:$C$1048576),"",INDEX(Main!O$4:O$1048576,MATCH(ROW(H76),Main!$C$4:$C$1048576,0))))</f>
        <v/>
      </c>
      <c r="K78" s="27" t="str">
        <f t="shared" si="4"/>
        <v>例目</v>
      </c>
      <c r="M78" s="4" t="str">
        <f>TEXT(IF(ROW(A76)&gt;MAX(Main!$D$4:$D$1048576),"",INDEX(Main!Q$4:Q$1048576,MATCH(ROW(A76),Main!$D$4:$D$1048576,0))), "yyyy/m/d")</f>
        <v/>
      </c>
      <c r="N78" s="1" t="str">
        <f>IF(IF(ROW(A76)&gt;MAX(Main!$D$4:$D$1048576),"",INDEX(Main!G$4:G$1048576,MATCH(ROW(A76),Main!$D$4:$D$1048576,0)))="",IF(M78="","",N77),IF(ROW(A76)&gt;MAX(Main!$D$4:$D$1048576),"",INDEX(Main!G$4:G$1048576,MATCH(ROW(A76),Main!$D$4:$D$1048576,0))))</f>
        <v/>
      </c>
      <c r="O78" s="1" t="str">
        <f>IF(IF(ROW(B76)&gt;MAX(Main!$D$4:$D$1048576),"",INDEX(Main!H$4:H$1048576,MATCH(ROW(B76),Main!$D$4:$D$1048576,0)))="",IF(N78="","",O77),IF(ROW(B76)&gt;MAX(Main!$D$4:$D$1048576),"",INDEX(Main!H$4:H$1048576,MATCH(ROW(B76),Main!$D$4:$D$1048576,0))))</f>
        <v/>
      </c>
      <c r="P78" s="1" t="str">
        <f>IF(IF(ROW(C76)&gt;MAX(Main!$D$4:$D$1048576),"",INDEX(Main!I$4:I$1048576,MATCH(ROW(C76),Main!$D$4:$D$1048576,0)))="",IF(O78="","",P77),IF(ROW(C76)&gt;MAX(Main!$D$4:$D$1048576),"",INDEX(Main!I$4:I$1048576,MATCH(ROW(C76),Main!$D$4:$D$1048576,0))))</f>
        <v/>
      </c>
      <c r="Q78" s="1" t="str">
        <f t="shared" si="5"/>
        <v/>
      </c>
      <c r="R78" s="1" t="str">
        <f>IF(IF(ROW(D76)&gt;MAX(Main!$D$4:$D$1048576),"",INDEX(Main!J$4:J$1048576,MATCH(ROW(D76),Main!$D$4:$D$1048576,0)))="",IF(P78="","",R77),IF(ROW(D76)&gt;MAX(Main!$D$4:$D$1048576),"",INDEX(Main!J$4:J$1048576,MATCH(ROW(D76),Main!$D$4:$D$1048576,0))))</f>
        <v/>
      </c>
      <c r="S78" s="9" t="str">
        <f>IF(ROW(G76)&gt;MAX(Main!$D$4:$D$1048576),"",INDEX(Main!K$4:K$1048576,MATCH(ROW(G76),Main!$D$4:$D$1048576,0)))</f>
        <v/>
      </c>
      <c r="T78" s="1" t="str">
        <f>IF(S78&lt;&gt;"",IF(ROW(G76)&gt;MAX(Main!$D$4:$D$1048576),"",INDEX(Main!N$4:N$1048576,MATCH(ROW(G76),Main!$D$4:$D$1048576,0))),"")</f>
        <v/>
      </c>
      <c r="U78" s="1" t="str">
        <f>IF(IF(ROW(H76)&gt;MAX(Main!$D$4:$D$1048576),"",INDEX(Main!O$4:O$1048576,MATCH(ROW(H76),Main!$D$4:$D$1048576,0)))="",IF(T78="","",U77),IF(ROW(H76)&gt;MAX(Main!$D$4:$D$1048576),"",INDEX(Main!O$4:O$1048576,MATCH(ROW(H76),Main!$D$4:$D$1048576,0))))</f>
        <v/>
      </c>
    </row>
    <row r="79" spans="1:21" x14ac:dyDescent="0.4">
      <c r="A79" t="s">
        <v>21</v>
      </c>
      <c r="B79" s="4" t="str">
        <f>TEXT(IF(ROW(A77)&gt;MAX(Main!$C$4:$C$1048576),"",INDEX(Main!Q$4:Q$1048576,MATCH(ROW(A77),Main!$C$4:$C$1048576,0))), "yyyy/m/d")</f>
        <v/>
      </c>
      <c r="C79" s="1" t="str">
        <f>IF(IF(ROW(A77)&gt;MAX(Main!$C$4:$C$1048576),"",INDEX(Main!G$4:G$1048576,MATCH(ROW(A77),Main!$C$4:$C$1048576,0)))="",IF(B79="","",C78),IF(ROW(A77)&gt;MAX(Main!$C$4:$C$1048576),"",INDEX(Main!G$4:G$1048576,MATCH(ROW(A77),Main!$C$4:$C$1048576,0))))</f>
        <v/>
      </c>
      <c r="D79" s="1" t="str">
        <f>IF(IF(ROW(B77)&gt;MAX(Main!$C$4:$C$1048576),"",INDEX(Main!H$4:H$1048576,MATCH(ROW(B77),Main!$C$4:$C$1048576,0)))="",IF(C79="","",D78),IF(ROW(B77)&gt;MAX(Main!$C$4:$C$1048576),"",INDEX(Main!H$4:H$1048576,MATCH(ROW(B77),Main!$C$4:$C$1048576,0))))</f>
        <v/>
      </c>
      <c r="E79" s="1" t="str">
        <f>IF(IF(ROW(C77)&gt;MAX(Main!$C$4:$C$1048576),"",INDEX(Main!I$4:I$1048576,MATCH(ROW(C77),Main!$C$4:$C$1048576,0)))="",IF(D79="","",E78),IF(ROW(C77)&gt;MAX(Main!$C$4:$C$1048576),"",INDEX(Main!I$4:I$1048576,MATCH(ROW(C77),Main!$C$4:$C$1048576,0))))</f>
        <v/>
      </c>
      <c r="F79" s="1" t="str">
        <f t="shared" si="3"/>
        <v/>
      </c>
      <c r="G79" s="1" t="str">
        <f>IF(IF(ROW(D77)&gt;MAX(Main!$C$4:$C$1048576),"",INDEX(Main!J$4:J$1048576,MATCH(ROW(D77),Main!$C$4:$C$1048576,0)))="",IF(E79="","",G78),IF(ROW(D77)&gt;MAX(Main!$C$4:$C$1048576),"",INDEX(Main!J$4:J$1048576,MATCH(ROW(D77),Main!$C$4:$C$1048576,0))))</f>
        <v/>
      </c>
      <c r="H79" s="10" t="str">
        <f>IF(ROW(G77)&gt;MAX(Main!$C$4:$C$1048576),"",INDEX(Main!K$4:K$1048576,MATCH(ROW(G77),Main!$C$4:$C$1048576,0)))</f>
        <v/>
      </c>
      <c r="I79" s="1" t="str">
        <f>IF(H79&lt;&gt;"",IF(ROW(G77)&gt;MAX(Main!$C$4:$C$1048576),"",INDEX(Main!N$4:N$1048576,MATCH(ROW(G77),Main!$C$4:$C$1048576,0))),"")</f>
        <v/>
      </c>
      <c r="J79" s="1" t="str">
        <f>IF(IF(ROW(H77)&gt;MAX(Main!$C$4:$C$1048576),"",INDEX(Main!O$4:O$1048576,MATCH(ROW(H77),Main!$C$4:$C$1048576,0)))="",IF(I79="","",J78),IF(ROW(H77)&gt;MAX(Main!$C$4:$C$1048576),"",INDEX(Main!O$4:O$1048576,MATCH(ROW(H77),Main!$C$4:$C$1048576,0))))</f>
        <v/>
      </c>
      <c r="K79" s="27" t="str">
        <f t="shared" si="4"/>
        <v>例目</v>
      </c>
      <c r="M79" s="4" t="str">
        <f>TEXT(IF(ROW(A77)&gt;MAX(Main!$D$4:$D$1048576),"",INDEX(Main!Q$4:Q$1048576,MATCH(ROW(A77),Main!$D$4:$D$1048576,0))), "yyyy/m/d")</f>
        <v/>
      </c>
      <c r="N79" s="1" t="str">
        <f>IF(IF(ROW(A77)&gt;MAX(Main!$D$4:$D$1048576),"",INDEX(Main!G$4:G$1048576,MATCH(ROW(A77),Main!$D$4:$D$1048576,0)))="",IF(M79="","",N78),IF(ROW(A77)&gt;MAX(Main!$D$4:$D$1048576),"",INDEX(Main!G$4:G$1048576,MATCH(ROW(A77),Main!$D$4:$D$1048576,0))))</f>
        <v/>
      </c>
      <c r="O79" s="1" t="str">
        <f>IF(IF(ROW(B77)&gt;MAX(Main!$D$4:$D$1048576),"",INDEX(Main!H$4:H$1048576,MATCH(ROW(B77),Main!$D$4:$D$1048576,0)))="",IF(N79="","",O78),IF(ROW(B77)&gt;MAX(Main!$D$4:$D$1048576),"",INDEX(Main!H$4:H$1048576,MATCH(ROW(B77),Main!$D$4:$D$1048576,0))))</f>
        <v/>
      </c>
      <c r="P79" s="1" t="str">
        <f>IF(IF(ROW(C77)&gt;MAX(Main!$D$4:$D$1048576),"",INDEX(Main!I$4:I$1048576,MATCH(ROW(C77),Main!$D$4:$D$1048576,0)))="",IF(O79="","",P78),IF(ROW(C77)&gt;MAX(Main!$D$4:$D$1048576),"",INDEX(Main!I$4:I$1048576,MATCH(ROW(C77),Main!$D$4:$D$1048576,0))))</f>
        <v/>
      </c>
      <c r="Q79" s="1" t="str">
        <f t="shared" si="5"/>
        <v/>
      </c>
      <c r="R79" s="1" t="str">
        <f>IF(IF(ROW(D77)&gt;MAX(Main!$D$4:$D$1048576),"",INDEX(Main!J$4:J$1048576,MATCH(ROW(D77),Main!$D$4:$D$1048576,0)))="",IF(P79="","",R78),IF(ROW(D77)&gt;MAX(Main!$D$4:$D$1048576),"",INDEX(Main!J$4:J$1048576,MATCH(ROW(D77),Main!$D$4:$D$1048576,0))))</f>
        <v/>
      </c>
      <c r="S79" s="9" t="str">
        <f>IF(ROW(G77)&gt;MAX(Main!$D$4:$D$1048576),"",INDEX(Main!K$4:K$1048576,MATCH(ROW(G77),Main!$D$4:$D$1048576,0)))</f>
        <v/>
      </c>
      <c r="T79" s="1" t="str">
        <f>IF(S79&lt;&gt;"",IF(ROW(G77)&gt;MAX(Main!$D$4:$D$1048576),"",INDEX(Main!N$4:N$1048576,MATCH(ROW(G77),Main!$D$4:$D$1048576,0))),"")</f>
        <v/>
      </c>
      <c r="U79" s="1" t="str">
        <f>IF(IF(ROW(H77)&gt;MAX(Main!$D$4:$D$1048576),"",INDEX(Main!O$4:O$1048576,MATCH(ROW(H77),Main!$D$4:$D$1048576,0)))="",IF(T79="","",U78),IF(ROW(H77)&gt;MAX(Main!$D$4:$D$1048576),"",INDEX(Main!O$4:O$1048576,MATCH(ROW(H77),Main!$D$4:$D$1048576,0))))</f>
        <v/>
      </c>
    </row>
    <row r="80" spans="1:21" x14ac:dyDescent="0.4">
      <c r="A80" t="s">
        <v>21</v>
      </c>
      <c r="B80" s="4" t="str">
        <f>TEXT(IF(ROW(A78)&gt;MAX(Main!$C$4:$C$1048576),"",INDEX(Main!Q$4:Q$1048576,MATCH(ROW(A78),Main!$C$4:$C$1048576,0))), "yyyy/m/d")</f>
        <v/>
      </c>
      <c r="C80" s="1" t="str">
        <f>IF(IF(ROW(A78)&gt;MAX(Main!$C$4:$C$1048576),"",INDEX(Main!G$4:G$1048576,MATCH(ROW(A78),Main!$C$4:$C$1048576,0)))="",IF(B80="","",C79),IF(ROW(A78)&gt;MAX(Main!$C$4:$C$1048576),"",INDEX(Main!G$4:G$1048576,MATCH(ROW(A78),Main!$C$4:$C$1048576,0))))</f>
        <v/>
      </c>
      <c r="D80" s="1" t="str">
        <f>IF(IF(ROW(B78)&gt;MAX(Main!$C$4:$C$1048576),"",INDEX(Main!H$4:H$1048576,MATCH(ROW(B78),Main!$C$4:$C$1048576,0)))="",IF(C80="","",D79),IF(ROW(B78)&gt;MAX(Main!$C$4:$C$1048576),"",INDEX(Main!H$4:H$1048576,MATCH(ROW(B78),Main!$C$4:$C$1048576,0))))</f>
        <v/>
      </c>
      <c r="E80" s="1" t="str">
        <f>IF(IF(ROW(C78)&gt;MAX(Main!$C$4:$C$1048576),"",INDEX(Main!I$4:I$1048576,MATCH(ROW(C78),Main!$C$4:$C$1048576,0)))="",IF(D80="","",E79),IF(ROW(C78)&gt;MAX(Main!$C$4:$C$1048576),"",INDEX(Main!I$4:I$1048576,MATCH(ROW(C78),Main!$C$4:$C$1048576,0))))</f>
        <v/>
      </c>
      <c r="F80" s="1" t="str">
        <f t="shared" si="3"/>
        <v/>
      </c>
      <c r="G80" s="1" t="str">
        <f>IF(IF(ROW(D78)&gt;MAX(Main!$C$4:$C$1048576),"",INDEX(Main!J$4:J$1048576,MATCH(ROW(D78),Main!$C$4:$C$1048576,0)))="",IF(E80="","",G79),IF(ROW(D78)&gt;MAX(Main!$C$4:$C$1048576),"",INDEX(Main!J$4:J$1048576,MATCH(ROW(D78),Main!$C$4:$C$1048576,0))))</f>
        <v/>
      </c>
      <c r="H80" s="10" t="str">
        <f>IF(ROW(G78)&gt;MAX(Main!$C$4:$C$1048576),"",INDEX(Main!K$4:K$1048576,MATCH(ROW(G78),Main!$C$4:$C$1048576,0)))</f>
        <v/>
      </c>
      <c r="I80" s="1" t="str">
        <f>IF(H80&lt;&gt;"",IF(ROW(G78)&gt;MAX(Main!$C$4:$C$1048576),"",INDEX(Main!N$4:N$1048576,MATCH(ROW(G78),Main!$C$4:$C$1048576,0))),"")</f>
        <v/>
      </c>
      <c r="J80" s="1" t="str">
        <f>IF(IF(ROW(H78)&gt;MAX(Main!$C$4:$C$1048576),"",INDEX(Main!O$4:O$1048576,MATCH(ROW(H78),Main!$C$4:$C$1048576,0)))="",IF(I80="","",J79),IF(ROW(H78)&gt;MAX(Main!$C$4:$C$1048576),"",INDEX(Main!O$4:O$1048576,MATCH(ROW(H78),Main!$C$4:$C$1048576,0))))</f>
        <v/>
      </c>
      <c r="K80" s="27" t="str">
        <f t="shared" si="4"/>
        <v>例目</v>
      </c>
      <c r="M80" s="4" t="str">
        <f>TEXT(IF(ROW(A78)&gt;MAX(Main!$D$4:$D$1048576),"",INDEX(Main!Q$4:Q$1048576,MATCH(ROW(A78),Main!$D$4:$D$1048576,0))), "yyyy/m/d")</f>
        <v/>
      </c>
      <c r="N80" s="1" t="str">
        <f>IF(IF(ROW(A78)&gt;MAX(Main!$D$4:$D$1048576),"",INDEX(Main!G$4:G$1048576,MATCH(ROW(A78),Main!$D$4:$D$1048576,0)))="",IF(M80="","",N79),IF(ROW(A78)&gt;MAX(Main!$D$4:$D$1048576),"",INDEX(Main!G$4:G$1048576,MATCH(ROW(A78),Main!$D$4:$D$1048576,0))))</f>
        <v/>
      </c>
      <c r="O80" s="1" t="str">
        <f>IF(IF(ROW(B78)&gt;MAX(Main!$D$4:$D$1048576),"",INDEX(Main!H$4:H$1048576,MATCH(ROW(B78),Main!$D$4:$D$1048576,0)))="",IF(N80="","",O79),IF(ROW(B78)&gt;MAX(Main!$D$4:$D$1048576),"",INDEX(Main!H$4:H$1048576,MATCH(ROW(B78),Main!$D$4:$D$1048576,0))))</f>
        <v/>
      </c>
      <c r="P80" s="1" t="str">
        <f>IF(IF(ROW(C78)&gt;MAX(Main!$D$4:$D$1048576),"",INDEX(Main!I$4:I$1048576,MATCH(ROW(C78),Main!$D$4:$D$1048576,0)))="",IF(O80="","",P79),IF(ROW(C78)&gt;MAX(Main!$D$4:$D$1048576),"",INDEX(Main!I$4:I$1048576,MATCH(ROW(C78),Main!$D$4:$D$1048576,0))))</f>
        <v/>
      </c>
      <c r="Q80" s="1" t="str">
        <f t="shared" si="5"/>
        <v/>
      </c>
      <c r="R80" s="1" t="str">
        <f>IF(IF(ROW(D78)&gt;MAX(Main!$D$4:$D$1048576),"",INDEX(Main!J$4:J$1048576,MATCH(ROW(D78),Main!$D$4:$D$1048576,0)))="",IF(P80="","",R79),IF(ROW(D78)&gt;MAX(Main!$D$4:$D$1048576),"",INDEX(Main!J$4:J$1048576,MATCH(ROW(D78),Main!$D$4:$D$1048576,0))))</f>
        <v/>
      </c>
      <c r="S80" s="9" t="str">
        <f>IF(ROW(G78)&gt;MAX(Main!$D$4:$D$1048576),"",INDEX(Main!K$4:K$1048576,MATCH(ROW(G78),Main!$D$4:$D$1048576,0)))</f>
        <v/>
      </c>
      <c r="T80" s="1" t="str">
        <f>IF(S80&lt;&gt;"",IF(ROW(G78)&gt;MAX(Main!$D$4:$D$1048576),"",INDEX(Main!N$4:N$1048576,MATCH(ROW(G78),Main!$D$4:$D$1048576,0))),"")</f>
        <v/>
      </c>
      <c r="U80" s="1" t="str">
        <f>IF(IF(ROW(H78)&gt;MAX(Main!$D$4:$D$1048576),"",INDEX(Main!O$4:O$1048576,MATCH(ROW(H78),Main!$D$4:$D$1048576,0)))="",IF(T80="","",U79),IF(ROW(H78)&gt;MAX(Main!$D$4:$D$1048576),"",INDEX(Main!O$4:O$1048576,MATCH(ROW(H78),Main!$D$4:$D$1048576,0))))</f>
        <v/>
      </c>
    </row>
    <row r="81" spans="1:21" x14ac:dyDescent="0.4">
      <c r="A81" t="s">
        <v>21</v>
      </c>
      <c r="B81" s="4" t="str">
        <f>TEXT(IF(ROW(A79)&gt;MAX(Main!$C$4:$C$1048576),"",INDEX(Main!Q$4:Q$1048576,MATCH(ROW(A79),Main!$C$4:$C$1048576,0))), "yyyy/m/d")</f>
        <v/>
      </c>
      <c r="C81" s="1" t="str">
        <f>IF(IF(ROW(A79)&gt;MAX(Main!$C$4:$C$1048576),"",INDEX(Main!G$4:G$1048576,MATCH(ROW(A79),Main!$C$4:$C$1048576,0)))="",IF(B81="","",C80),IF(ROW(A79)&gt;MAX(Main!$C$4:$C$1048576),"",INDEX(Main!G$4:G$1048576,MATCH(ROW(A79),Main!$C$4:$C$1048576,0))))</f>
        <v/>
      </c>
      <c r="D81" s="1" t="str">
        <f>IF(IF(ROW(B79)&gt;MAX(Main!$C$4:$C$1048576),"",INDEX(Main!H$4:H$1048576,MATCH(ROW(B79),Main!$C$4:$C$1048576,0)))="",IF(C81="","",D80),IF(ROW(B79)&gt;MAX(Main!$C$4:$C$1048576),"",INDEX(Main!H$4:H$1048576,MATCH(ROW(B79),Main!$C$4:$C$1048576,0))))</f>
        <v/>
      </c>
      <c r="E81" s="1" t="str">
        <f>IF(IF(ROW(C79)&gt;MAX(Main!$C$4:$C$1048576),"",INDEX(Main!I$4:I$1048576,MATCH(ROW(C79),Main!$C$4:$C$1048576,0)))="",IF(D81="","",E80),IF(ROW(C79)&gt;MAX(Main!$C$4:$C$1048576),"",INDEX(Main!I$4:I$1048576,MATCH(ROW(C79),Main!$C$4:$C$1048576,0))))</f>
        <v/>
      </c>
      <c r="F81" s="1" t="str">
        <f t="shared" si="3"/>
        <v/>
      </c>
      <c r="G81" s="1" t="str">
        <f>IF(IF(ROW(D79)&gt;MAX(Main!$C$4:$C$1048576),"",INDEX(Main!J$4:J$1048576,MATCH(ROW(D79),Main!$C$4:$C$1048576,0)))="",IF(E81="","",G80),IF(ROW(D79)&gt;MAX(Main!$C$4:$C$1048576),"",INDEX(Main!J$4:J$1048576,MATCH(ROW(D79),Main!$C$4:$C$1048576,0))))</f>
        <v/>
      </c>
      <c r="H81" s="10" t="str">
        <f>IF(ROW(G79)&gt;MAX(Main!$C$4:$C$1048576),"",INDEX(Main!K$4:K$1048576,MATCH(ROW(G79),Main!$C$4:$C$1048576,0)))</f>
        <v/>
      </c>
      <c r="I81" s="1" t="str">
        <f>IF(H81&lt;&gt;"",IF(ROW(G79)&gt;MAX(Main!$C$4:$C$1048576),"",INDEX(Main!N$4:N$1048576,MATCH(ROW(G79),Main!$C$4:$C$1048576,0))),"")</f>
        <v/>
      </c>
      <c r="J81" s="1" t="str">
        <f>IF(IF(ROW(H79)&gt;MAX(Main!$C$4:$C$1048576),"",INDEX(Main!O$4:O$1048576,MATCH(ROW(H79),Main!$C$4:$C$1048576,0)))="",IF(I81="","",J80),IF(ROW(H79)&gt;MAX(Main!$C$4:$C$1048576),"",INDEX(Main!O$4:O$1048576,MATCH(ROW(H79),Main!$C$4:$C$1048576,0))))</f>
        <v/>
      </c>
      <c r="K81" s="27" t="str">
        <f t="shared" si="4"/>
        <v>例目</v>
      </c>
      <c r="M81" s="4" t="str">
        <f>TEXT(IF(ROW(A79)&gt;MAX(Main!$D$4:$D$1048576),"",INDEX(Main!Q$4:Q$1048576,MATCH(ROW(A79),Main!$D$4:$D$1048576,0))), "yyyy/m/d")</f>
        <v/>
      </c>
      <c r="N81" s="1" t="str">
        <f>IF(IF(ROW(A79)&gt;MAX(Main!$D$4:$D$1048576),"",INDEX(Main!G$4:G$1048576,MATCH(ROW(A79),Main!$D$4:$D$1048576,0)))="",IF(M81="","",N80),IF(ROW(A79)&gt;MAX(Main!$D$4:$D$1048576),"",INDEX(Main!G$4:G$1048576,MATCH(ROW(A79),Main!$D$4:$D$1048576,0))))</f>
        <v/>
      </c>
      <c r="O81" s="1" t="str">
        <f>IF(IF(ROW(B79)&gt;MAX(Main!$D$4:$D$1048576),"",INDEX(Main!H$4:H$1048576,MATCH(ROW(B79),Main!$D$4:$D$1048576,0)))="",IF(N81="","",O80),IF(ROW(B79)&gt;MAX(Main!$D$4:$D$1048576),"",INDEX(Main!H$4:H$1048576,MATCH(ROW(B79),Main!$D$4:$D$1048576,0))))</f>
        <v/>
      </c>
      <c r="P81" s="1" t="str">
        <f>IF(IF(ROW(C79)&gt;MAX(Main!$D$4:$D$1048576),"",INDEX(Main!I$4:I$1048576,MATCH(ROW(C79),Main!$D$4:$D$1048576,0)))="",IF(O81="","",P80),IF(ROW(C79)&gt;MAX(Main!$D$4:$D$1048576),"",INDEX(Main!I$4:I$1048576,MATCH(ROW(C79),Main!$D$4:$D$1048576,0))))</f>
        <v/>
      </c>
      <c r="Q81" s="1" t="str">
        <f t="shared" si="5"/>
        <v/>
      </c>
      <c r="R81" s="1" t="str">
        <f>IF(IF(ROW(D79)&gt;MAX(Main!$D$4:$D$1048576),"",INDEX(Main!J$4:J$1048576,MATCH(ROW(D79),Main!$D$4:$D$1048576,0)))="",IF(P81="","",R80),IF(ROW(D79)&gt;MAX(Main!$D$4:$D$1048576),"",INDEX(Main!J$4:J$1048576,MATCH(ROW(D79),Main!$D$4:$D$1048576,0))))</f>
        <v/>
      </c>
      <c r="S81" s="9" t="str">
        <f>IF(ROW(G79)&gt;MAX(Main!$D$4:$D$1048576),"",INDEX(Main!K$4:K$1048576,MATCH(ROW(G79),Main!$D$4:$D$1048576,0)))</f>
        <v/>
      </c>
      <c r="T81" s="1" t="str">
        <f>IF(S81&lt;&gt;"",IF(ROW(G79)&gt;MAX(Main!$D$4:$D$1048576),"",INDEX(Main!N$4:N$1048576,MATCH(ROW(G79),Main!$D$4:$D$1048576,0))),"")</f>
        <v/>
      </c>
      <c r="U81" s="1" t="str">
        <f>IF(IF(ROW(H79)&gt;MAX(Main!$D$4:$D$1048576),"",INDEX(Main!O$4:O$1048576,MATCH(ROW(H79),Main!$D$4:$D$1048576,0)))="",IF(T81="","",U80),IF(ROW(H79)&gt;MAX(Main!$D$4:$D$1048576),"",INDEX(Main!O$4:O$1048576,MATCH(ROW(H79),Main!$D$4:$D$1048576,0))))</f>
        <v/>
      </c>
    </row>
    <row r="82" spans="1:21" x14ac:dyDescent="0.4">
      <c r="A82" t="s">
        <v>21</v>
      </c>
      <c r="B82" s="4" t="str">
        <f>TEXT(IF(ROW(A80)&gt;MAX(Main!$C$4:$C$1048576),"",INDEX(Main!Q$4:Q$1048576,MATCH(ROW(A80),Main!$C$4:$C$1048576,0))), "yyyy/m/d")</f>
        <v/>
      </c>
      <c r="C82" s="1" t="str">
        <f>IF(IF(ROW(A80)&gt;MAX(Main!$C$4:$C$1048576),"",INDEX(Main!G$4:G$1048576,MATCH(ROW(A80),Main!$C$4:$C$1048576,0)))="",IF(B82="","",C81),IF(ROW(A80)&gt;MAX(Main!$C$4:$C$1048576),"",INDEX(Main!G$4:G$1048576,MATCH(ROW(A80),Main!$C$4:$C$1048576,0))))</f>
        <v/>
      </c>
      <c r="D82" s="1" t="str">
        <f>IF(IF(ROW(B80)&gt;MAX(Main!$C$4:$C$1048576),"",INDEX(Main!H$4:H$1048576,MATCH(ROW(B80),Main!$C$4:$C$1048576,0)))="",IF(C82="","",D81),IF(ROW(B80)&gt;MAX(Main!$C$4:$C$1048576),"",INDEX(Main!H$4:H$1048576,MATCH(ROW(B80),Main!$C$4:$C$1048576,0))))</f>
        <v/>
      </c>
      <c r="E82" s="1" t="str">
        <f>IF(IF(ROW(C80)&gt;MAX(Main!$C$4:$C$1048576),"",INDEX(Main!I$4:I$1048576,MATCH(ROW(C80),Main!$C$4:$C$1048576,0)))="",IF(D82="","",E81),IF(ROW(C80)&gt;MAX(Main!$C$4:$C$1048576),"",INDEX(Main!I$4:I$1048576,MATCH(ROW(C80),Main!$C$4:$C$1048576,0))))</f>
        <v/>
      </c>
      <c r="F82" s="1" t="str">
        <f t="shared" si="3"/>
        <v/>
      </c>
      <c r="G82" s="1" t="str">
        <f>IF(IF(ROW(D80)&gt;MAX(Main!$C$4:$C$1048576),"",INDEX(Main!J$4:J$1048576,MATCH(ROW(D80),Main!$C$4:$C$1048576,0)))="",IF(E82="","",G81),IF(ROW(D80)&gt;MAX(Main!$C$4:$C$1048576),"",INDEX(Main!J$4:J$1048576,MATCH(ROW(D80),Main!$C$4:$C$1048576,0))))</f>
        <v/>
      </c>
      <c r="H82" s="10" t="str">
        <f>IF(ROW(G80)&gt;MAX(Main!$C$4:$C$1048576),"",INDEX(Main!K$4:K$1048576,MATCH(ROW(G80),Main!$C$4:$C$1048576,0)))</f>
        <v/>
      </c>
      <c r="I82" s="1" t="str">
        <f>IF(H82&lt;&gt;"",IF(ROW(G80)&gt;MAX(Main!$C$4:$C$1048576),"",INDEX(Main!N$4:N$1048576,MATCH(ROW(G80),Main!$C$4:$C$1048576,0))),"")</f>
        <v/>
      </c>
      <c r="J82" s="1" t="str">
        <f>IF(IF(ROW(H80)&gt;MAX(Main!$C$4:$C$1048576),"",INDEX(Main!O$4:O$1048576,MATCH(ROW(H80),Main!$C$4:$C$1048576,0)))="",IF(I82="","",J81),IF(ROW(H80)&gt;MAX(Main!$C$4:$C$1048576),"",INDEX(Main!O$4:O$1048576,MATCH(ROW(H80),Main!$C$4:$C$1048576,0))))</f>
        <v/>
      </c>
      <c r="K82" s="27" t="str">
        <f t="shared" si="4"/>
        <v>例目</v>
      </c>
      <c r="M82" s="4" t="str">
        <f>TEXT(IF(ROW(A80)&gt;MAX(Main!$D$4:$D$1048576),"",INDEX(Main!Q$4:Q$1048576,MATCH(ROW(A80),Main!$D$4:$D$1048576,0))), "yyyy/m/d")</f>
        <v/>
      </c>
      <c r="N82" s="1" t="str">
        <f>IF(IF(ROW(A80)&gt;MAX(Main!$D$4:$D$1048576),"",INDEX(Main!G$4:G$1048576,MATCH(ROW(A80),Main!$D$4:$D$1048576,0)))="",IF(M82="","",N81),IF(ROW(A80)&gt;MAX(Main!$D$4:$D$1048576),"",INDEX(Main!G$4:G$1048576,MATCH(ROW(A80),Main!$D$4:$D$1048576,0))))</f>
        <v/>
      </c>
      <c r="O82" s="1" t="str">
        <f>IF(IF(ROW(B80)&gt;MAX(Main!$D$4:$D$1048576),"",INDEX(Main!H$4:H$1048576,MATCH(ROW(B80),Main!$D$4:$D$1048576,0)))="",IF(N82="","",O81),IF(ROW(B80)&gt;MAX(Main!$D$4:$D$1048576),"",INDEX(Main!H$4:H$1048576,MATCH(ROW(B80),Main!$D$4:$D$1048576,0))))</f>
        <v/>
      </c>
      <c r="P82" s="1" t="str">
        <f>IF(IF(ROW(C80)&gt;MAX(Main!$D$4:$D$1048576),"",INDEX(Main!I$4:I$1048576,MATCH(ROW(C80),Main!$D$4:$D$1048576,0)))="",IF(O82="","",P81),IF(ROW(C80)&gt;MAX(Main!$D$4:$D$1048576),"",INDEX(Main!I$4:I$1048576,MATCH(ROW(C80),Main!$D$4:$D$1048576,0))))</f>
        <v/>
      </c>
      <c r="Q82" s="1" t="str">
        <f t="shared" si="5"/>
        <v/>
      </c>
      <c r="R82" s="1" t="str">
        <f>IF(IF(ROW(D80)&gt;MAX(Main!$D$4:$D$1048576),"",INDEX(Main!J$4:J$1048576,MATCH(ROW(D80),Main!$D$4:$D$1048576,0)))="",IF(P82="","",R81),IF(ROW(D80)&gt;MAX(Main!$D$4:$D$1048576),"",INDEX(Main!J$4:J$1048576,MATCH(ROW(D80),Main!$D$4:$D$1048576,0))))</f>
        <v/>
      </c>
      <c r="S82" s="9" t="str">
        <f>IF(ROW(G80)&gt;MAX(Main!$D$4:$D$1048576),"",INDEX(Main!K$4:K$1048576,MATCH(ROW(G80),Main!$D$4:$D$1048576,0)))</f>
        <v/>
      </c>
      <c r="T82" s="1" t="str">
        <f>IF(S82&lt;&gt;"",IF(ROW(G80)&gt;MAX(Main!$D$4:$D$1048576),"",INDEX(Main!N$4:N$1048576,MATCH(ROW(G80),Main!$D$4:$D$1048576,0))),"")</f>
        <v/>
      </c>
      <c r="U82" s="1" t="str">
        <f>IF(IF(ROW(H80)&gt;MAX(Main!$D$4:$D$1048576),"",INDEX(Main!O$4:O$1048576,MATCH(ROW(H80),Main!$D$4:$D$1048576,0)))="",IF(T82="","",U81),IF(ROW(H80)&gt;MAX(Main!$D$4:$D$1048576),"",INDEX(Main!O$4:O$1048576,MATCH(ROW(H80),Main!$D$4:$D$1048576,0))))</f>
        <v/>
      </c>
    </row>
    <row r="83" spans="1:21" x14ac:dyDescent="0.4">
      <c r="A83" t="s">
        <v>21</v>
      </c>
      <c r="B83" s="4" t="str">
        <f>TEXT(IF(ROW(A81)&gt;MAX(Main!$C$4:$C$1048576),"",INDEX(Main!Q$4:Q$1048576,MATCH(ROW(A81),Main!$C$4:$C$1048576,0))), "yyyy/m/d")</f>
        <v/>
      </c>
      <c r="C83" s="1" t="str">
        <f>IF(IF(ROW(A81)&gt;MAX(Main!$C$4:$C$1048576),"",INDEX(Main!G$4:G$1048576,MATCH(ROW(A81),Main!$C$4:$C$1048576,0)))="",IF(B83="","",C82),IF(ROW(A81)&gt;MAX(Main!$C$4:$C$1048576),"",INDEX(Main!G$4:G$1048576,MATCH(ROW(A81),Main!$C$4:$C$1048576,0))))</f>
        <v/>
      </c>
      <c r="D83" s="1" t="str">
        <f>IF(IF(ROW(B81)&gt;MAX(Main!$C$4:$C$1048576),"",INDEX(Main!H$4:H$1048576,MATCH(ROW(B81),Main!$C$4:$C$1048576,0)))="",IF(C83="","",D82),IF(ROW(B81)&gt;MAX(Main!$C$4:$C$1048576),"",INDEX(Main!H$4:H$1048576,MATCH(ROW(B81),Main!$C$4:$C$1048576,0))))</f>
        <v/>
      </c>
      <c r="E83" s="1" t="str">
        <f>IF(IF(ROW(C81)&gt;MAX(Main!$C$4:$C$1048576),"",INDEX(Main!I$4:I$1048576,MATCH(ROW(C81),Main!$C$4:$C$1048576,0)))="",IF(D83="","",E82),IF(ROW(C81)&gt;MAX(Main!$C$4:$C$1048576),"",INDEX(Main!I$4:I$1048576,MATCH(ROW(C81),Main!$C$4:$C$1048576,0))))</f>
        <v/>
      </c>
      <c r="F83" s="1" t="str">
        <f t="shared" si="3"/>
        <v/>
      </c>
      <c r="G83" s="1" t="str">
        <f>IF(IF(ROW(D81)&gt;MAX(Main!$C$4:$C$1048576),"",INDEX(Main!J$4:J$1048576,MATCH(ROW(D81),Main!$C$4:$C$1048576,0)))="",IF(E83="","",G82),IF(ROW(D81)&gt;MAX(Main!$C$4:$C$1048576),"",INDEX(Main!J$4:J$1048576,MATCH(ROW(D81),Main!$C$4:$C$1048576,0))))</f>
        <v/>
      </c>
      <c r="H83" s="10" t="str">
        <f>IF(ROW(G81)&gt;MAX(Main!$C$4:$C$1048576),"",INDEX(Main!K$4:K$1048576,MATCH(ROW(G81),Main!$C$4:$C$1048576,0)))</f>
        <v/>
      </c>
      <c r="I83" s="1" t="str">
        <f>IF(H83&lt;&gt;"",IF(ROW(G81)&gt;MAX(Main!$C$4:$C$1048576),"",INDEX(Main!N$4:N$1048576,MATCH(ROW(G81),Main!$C$4:$C$1048576,0))),"")</f>
        <v/>
      </c>
      <c r="J83" s="1" t="str">
        <f>IF(IF(ROW(H81)&gt;MAX(Main!$C$4:$C$1048576),"",INDEX(Main!O$4:O$1048576,MATCH(ROW(H81),Main!$C$4:$C$1048576,0)))="",IF(I83="","",J82),IF(ROW(H81)&gt;MAX(Main!$C$4:$C$1048576),"",INDEX(Main!O$4:O$1048576,MATCH(ROW(H81),Main!$C$4:$C$1048576,0))))</f>
        <v/>
      </c>
      <c r="K83" s="27" t="str">
        <f t="shared" si="4"/>
        <v>例目</v>
      </c>
      <c r="M83" s="4" t="str">
        <f>TEXT(IF(ROW(A81)&gt;MAX(Main!$D$4:$D$1048576),"",INDEX(Main!Q$4:Q$1048576,MATCH(ROW(A81),Main!$D$4:$D$1048576,0))), "yyyy/m/d")</f>
        <v/>
      </c>
      <c r="N83" s="1" t="str">
        <f>IF(IF(ROW(A81)&gt;MAX(Main!$D$4:$D$1048576),"",INDEX(Main!G$4:G$1048576,MATCH(ROW(A81),Main!$D$4:$D$1048576,0)))="",IF(M83="","",N82),IF(ROW(A81)&gt;MAX(Main!$D$4:$D$1048576),"",INDEX(Main!G$4:G$1048576,MATCH(ROW(A81),Main!$D$4:$D$1048576,0))))</f>
        <v/>
      </c>
      <c r="O83" s="1" t="str">
        <f>IF(IF(ROW(B81)&gt;MAX(Main!$D$4:$D$1048576),"",INDEX(Main!H$4:H$1048576,MATCH(ROW(B81),Main!$D$4:$D$1048576,0)))="",IF(N83="","",O82),IF(ROW(B81)&gt;MAX(Main!$D$4:$D$1048576),"",INDEX(Main!H$4:H$1048576,MATCH(ROW(B81),Main!$D$4:$D$1048576,0))))</f>
        <v/>
      </c>
      <c r="P83" s="1" t="str">
        <f>IF(IF(ROW(C81)&gt;MAX(Main!$D$4:$D$1048576),"",INDEX(Main!I$4:I$1048576,MATCH(ROW(C81),Main!$D$4:$D$1048576,0)))="",IF(O83="","",P82),IF(ROW(C81)&gt;MAX(Main!$D$4:$D$1048576),"",INDEX(Main!I$4:I$1048576,MATCH(ROW(C81),Main!$D$4:$D$1048576,0))))</f>
        <v/>
      </c>
      <c r="Q83" s="1" t="str">
        <f t="shared" si="5"/>
        <v/>
      </c>
      <c r="R83" s="1" t="str">
        <f>IF(IF(ROW(D81)&gt;MAX(Main!$D$4:$D$1048576),"",INDEX(Main!J$4:J$1048576,MATCH(ROW(D81),Main!$D$4:$D$1048576,0)))="",IF(P83="","",R82),IF(ROW(D81)&gt;MAX(Main!$D$4:$D$1048576),"",INDEX(Main!J$4:J$1048576,MATCH(ROW(D81),Main!$D$4:$D$1048576,0))))</f>
        <v/>
      </c>
      <c r="S83" s="9" t="str">
        <f>IF(ROW(G81)&gt;MAX(Main!$D$4:$D$1048576),"",INDEX(Main!K$4:K$1048576,MATCH(ROW(G81),Main!$D$4:$D$1048576,0)))</f>
        <v/>
      </c>
      <c r="T83" s="1" t="str">
        <f>IF(S83&lt;&gt;"",IF(ROW(G81)&gt;MAX(Main!$D$4:$D$1048576),"",INDEX(Main!N$4:N$1048576,MATCH(ROW(G81),Main!$D$4:$D$1048576,0))),"")</f>
        <v/>
      </c>
      <c r="U83" s="1" t="str">
        <f>IF(IF(ROW(H81)&gt;MAX(Main!$D$4:$D$1048576),"",INDEX(Main!O$4:O$1048576,MATCH(ROW(H81),Main!$D$4:$D$1048576,0)))="",IF(T83="","",U82),IF(ROW(H81)&gt;MAX(Main!$D$4:$D$1048576),"",INDEX(Main!O$4:O$1048576,MATCH(ROW(H81),Main!$D$4:$D$1048576,0))))</f>
        <v/>
      </c>
    </row>
    <row r="84" spans="1:21" x14ac:dyDescent="0.4">
      <c r="A84" t="s">
        <v>21</v>
      </c>
      <c r="B84" s="4" t="str">
        <f>TEXT(IF(ROW(A82)&gt;MAX(Main!$C$4:$C$1048576),"",INDEX(Main!Q$4:Q$1048576,MATCH(ROW(A82),Main!$C$4:$C$1048576,0))), "yyyy/m/d")</f>
        <v/>
      </c>
      <c r="C84" s="1" t="str">
        <f>IF(IF(ROW(A82)&gt;MAX(Main!$C$4:$C$1048576),"",INDEX(Main!G$4:G$1048576,MATCH(ROW(A82),Main!$C$4:$C$1048576,0)))="",IF(B84="","",C83),IF(ROW(A82)&gt;MAX(Main!$C$4:$C$1048576),"",INDEX(Main!G$4:G$1048576,MATCH(ROW(A82),Main!$C$4:$C$1048576,0))))</f>
        <v/>
      </c>
      <c r="D84" s="1" t="str">
        <f>IF(IF(ROW(B82)&gt;MAX(Main!$C$4:$C$1048576),"",INDEX(Main!H$4:H$1048576,MATCH(ROW(B82),Main!$C$4:$C$1048576,0)))="",IF(C84="","",D83),IF(ROW(B82)&gt;MAX(Main!$C$4:$C$1048576),"",INDEX(Main!H$4:H$1048576,MATCH(ROW(B82),Main!$C$4:$C$1048576,0))))</f>
        <v/>
      </c>
      <c r="E84" s="1" t="str">
        <f>IF(IF(ROW(C82)&gt;MAX(Main!$C$4:$C$1048576),"",INDEX(Main!I$4:I$1048576,MATCH(ROW(C82),Main!$C$4:$C$1048576,0)))="",IF(D84="","",E83),IF(ROW(C82)&gt;MAX(Main!$C$4:$C$1048576),"",INDEX(Main!I$4:I$1048576,MATCH(ROW(C82),Main!$C$4:$C$1048576,0))))</f>
        <v/>
      </c>
      <c r="F84" s="1" t="str">
        <f t="shared" si="3"/>
        <v/>
      </c>
      <c r="G84" s="1" t="str">
        <f>IF(IF(ROW(D82)&gt;MAX(Main!$C$4:$C$1048576),"",INDEX(Main!J$4:J$1048576,MATCH(ROW(D82),Main!$C$4:$C$1048576,0)))="",IF(E84="","",G83),IF(ROW(D82)&gt;MAX(Main!$C$4:$C$1048576),"",INDEX(Main!J$4:J$1048576,MATCH(ROW(D82),Main!$C$4:$C$1048576,0))))</f>
        <v/>
      </c>
      <c r="H84" s="10" t="str">
        <f>IF(ROW(G82)&gt;MAX(Main!$C$4:$C$1048576),"",INDEX(Main!K$4:K$1048576,MATCH(ROW(G82),Main!$C$4:$C$1048576,0)))</f>
        <v/>
      </c>
      <c r="I84" s="1" t="str">
        <f>IF(H84&lt;&gt;"",IF(ROW(G82)&gt;MAX(Main!$C$4:$C$1048576),"",INDEX(Main!N$4:N$1048576,MATCH(ROW(G82),Main!$C$4:$C$1048576,0))),"")</f>
        <v/>
      </c>
      <c r="J84" s="1" t="str">
        <f>IF(IF(ROW(H82)&gt;MAX(Main!$C$4:$C$1048576),"",INDEX(Main!O$4:O$1048576,MATCH(ROW(H82),Main!$C$4:$C$1048576,0)))="",IF(I84="","",J83),IF(ROW(H82)&gt;MAX(Main!$C$4:$C$1048576),"",INDEX(Main!O$4:O$1048576,MATCH(ROW(H82),Main!$C$4:$C$1048576,0))))</f>
        <v/>
      </c>
      <c r="K84" s="27" t="str">
        <f t="shared" si="4"/>
        <v>例目</v>
      </c>
      <c r="M84" s="4" t="str">
        <f>TEXT(IF(ROW(A82)&gt;MAX(Main!$D$4:$D$1048576),"",INDEX(Main!Q$4:Q$1048576,MATCH(ROW(A82),Main!$D$4:$D$1048576,0))), "yyyy/m/d")</f>
        <v/>
      </c>
      <c r="N84" s="1" t="str">
        <f>IF(IF(ROW(A82)&gt;MAX(Main!$D$4:$D$1048576),"",INDEX(Main!G$4:G$1048576,MATCH(ROW(A82),Main!$D$4:$D$1048576,0)))="",IF(M84="","",N83),IF(ROW(A82)&gt;MAX(Main!$D$4:$D$1048576),"",INDEX(Main!G$4:G$1048576,MATCH(ROW(A82),Main!$D$4:$D$1048576,0))))</f>
        <v/>
      </c>
      <c r="O84" s="1" t="str">
        <f>IF(IF(ROW(B82)&gt;MAX(Main!$D$4:$D$1048576),"",INDEX(Main!H$4:H$1048576,MATCH(ROW(B82),Main!$D$4:$D$1048576,0)))="",IF(N84="","",O83),IF(ROW(B82)&gt;MAX(Main!$D$4:$D$1048576),"",INDEX(Main!H$4:H$1048576,MATCH(ROW(B82),Main!$D$4:$D$1048576,0))))</f>
        <v/>
      </c>
      <c r="P84" s="1" t="str">
        <f>IF(IF(ROW(C82)&gt;MAX(Main!$D$4:$D$1048576),"",INDEX(Main!I$4:I$1048576,MATCH(ROW(C82),Main!$D$4:$D$1048576,0)))="",IF(O84="","",P83),IF(ROW(C82)&gt;MAX(Main!$D$4:$D$1048576),"",INDEX(Main!I$4:I$1048576,MATCH(ROW(C82),Main!$D$4:$D$1048576,0))))</f>
        <v/>
      </c>
      <c r="Q84" s="1" t="str">
        <f t="shared" si="5"/>
        <v/>
      </c>
      <c r="R84" s="1" t="str">
        <f>IF(IF(ROW(D82)&gt;MAX(Main!$D$4:$D$1048576),"",INDEX(Main!J$4:J$1048576,MATCH(ROW(D82),Main!$D$4:$D$1048576,0)))="",IF(P84="","",R83),IF(ROW(D82)&gt;MAX(Main!$D$4:$D$1048576),"",INDEX(Main!J$4:J$1048576,MATCH(ROW(D82),Main!$D$4:$D$1048576,0))))</f>
        <v/>
      </c>
      <c r="S84" s="9" t="str">
        <f>IF(ROW(G82)&gt;MAX(Main!$D$4:$D$1048576),"",INDEX(Main!K$4:K$1048576,MATCH(ROW(G82),Main!$D$4:$D$1048576,0)))</f>
        <v/>
      </c>
      <c r="T84" s="1" t="str">
        <f>IF(S84&lt;&gt;"",IF(ROW(G82)&gt;MAX(Main!$D$4:$D$1048576),"",INDEX(Main!N$4:N$1048576,MATCH(ROW(G82),Main!$D$4:$D$1048576,0))),"")</f>
        <v/>
      </c>
      <c r="U84" s="1" t="str">
        <f>IF(IF(ROW(H82)&gt;MAX(Main!$D$4:$D$1048576),"",INDEX(Main!O$4:O$1048576,MATCH(ROW(H82),Main!$D$4:$D$1048576,0)))="",IF(T84="","",U83),IF(ROW(H82)&gt;MAX(Main!$D$4:$D$1048576),"",INDEX(Main!O$4:O$1048576,MATCH(ROW(H82),Main!$D$4:$D$1048576,0))))</f>
        <v/>
      </c>
    </row>
    <row r="85" spans="1:21" x14ac:dyDescent="0.4">
      <c r="A85" t="s">
        <v>21</v>
      </c>
      <c r="B85" s="4" t="str">
        <f>TEXT(IF(ROW(A83)&gt;MAX(Main!$C$4:$C$1048576),"",INDEX(Main!Q$4:Q$1048576,MATCH(ROW(A83),Main!$C$4:$C$1048576,0))), "yyyy/m/d")</f>
        <v/>
      </c>
      <c r="C85" s="1" t="str">
        <f>IF(IF(ROW(A83)&gt;MAX(Main!$C$4:$C$1048576),"",INDEX(Main!G$4:G$1048576,MATCH(ROW(A83),Main!$C$4:$C$1048576,0)))="",IF(B85="","",C84),IF(ROW(A83)&gt;MAX(Main!$C$4:$C$1048576),"",INDEX(Main!G$4:G$1048576,MATCH(ROW(A83),Main!$C$4:$C$1048576,0))))</f>
        <v/>
      </c>
      <c r="D85" s="1" t="str">
        <f>IF(IF(ROW(B83)&gt;MAX(Main!$C$4:$C$1048576),"",INDEX(Main!H$4:H$1048576,MATCH(ROW(B83),Main!$C$4:$C$1048576,0)))="",IF(C85="","",D84),IF(ROW(B83)&gt;MAX(Main!$C$4:$C$1048576),"",INDEX(Main!H$4:H$1048576,MATCH(ROW(B83),Main!$C$4:$C$1048576,0))))</f>
        <v/>
      </c>
      <c r="E85" s="1" t="str">
        <f>IF(IF(ROW(C83)&gt;MAX(Main!$C$4:$C$1048576),"",INDEX(Main!I$4:I$1048576,MATCH(ROW(C83),Main!$C$4:$C$1048576,0)))="",IF(D85="","",E84),IF(ROW(C83)&gt;MAX(Main!$C$4:$C$1048576),"",INDEX(Main!I$4:I$1048576,MATCH(ROW(C83),Main!$C$4:$C$1048576,0))))</f>
        <v/>
      </c>
      <c r="F85" s="1" t="str">
        <f t="shared" si="3"/>
        <v/>
      </c>
      <c r="G85" s="1" t="str">
        <f>IF(IF(ROW(D83)&gt;MAX(Main!$C$4:$C$1048576),"",INDEX(Main!J$4:J$1048576,MATCH(ROW(D83),Main!$C$4:$C$1048576,0)))="",IF(E85="","",G84),IF(ROW(D83)&gt;MAX(Main!$C$4:$C$1048576),"",INDEX(Main!J$4:J$1048576,MATCH(ROW(D83),Main!$C$4:$C$1048576,0))))</f>
        <v/>
      </c>
      <c r="H85" s="10" t="str">
        <f>IF(ROW(G83)&gt;MAX(Main!$C$4:$C$1048576),"",INDEX(Main!K$4:K$1048576,MATCH(ROW(G83),Main!$C$4:$C$1048576,0)))</f>
        <v/>
      </c>
      <c r="I85" s="1" t="str">
        <f>IF(H85&lt;&gt;"",IF(ROW(G83)&gt;MAX(Main!$C$4:$C$1048576),"",INDEX(Main!N$4:N$1048576,MATCH(ROW(G83),Main!$C$4:$C$1048576,0))),"")</f>
        <v/>
      </c>
      <c r="J85" s="1" t="str">
        <f>IF(IF(ROW(H83)&gt;MAX(Main!$C$4:$C$1048576),"",INDEX(Main!O$4:O$1048576,MATCH(ROW(H83),Main!$C$4:$C$1048576,0)))="",IF(I85="","",J84),IF(ROW(H83)&gt;MAX(Main!$C$4:$C$1048576),"",INDEX(Main!O$4:O$1048576,MATCH(ROW(H83),Main!$C$4:$C$1048576,0))))</f>
        <v/>
      </c>
      <c r="K85" s="27" t="str">
        <f t="shared" si="4"/>
        <v>例目</v>
      </c>
      <c r="M85" s="4" t="str">
        <f>TEXT(IF(ROW(A83)&gt;MAX(Main!$D$4:$D$1048576),"",INDEX(Main!Q$4:Q$1048576,MATCH(ROW(A83),Main!$D$4:$D$1048576,0))), "yyyy/m/d")</f>
        <v/>
      </c>
      <c r="N85" s="1" t="str">
        <f>IF(IF(ROW(A83)&gt;MAX(Main!$D$4:$D$1048576),"",INDEX(Main!G$4:G$1048576,MATCH(ROW(A83),Main!$D$4:$D$1048576,0)))="",IF(M85="","",N84),IF(ROW(A83)&gt;MAX(Main!$D$4:$D$1048576),"",INDEX(Main!G$4:G$1048576,MATCH(ROW(A83),Main!$D$4:$D$1048576,0))))</f>
        <v/>
      </c>
      <c r="O85" s="1" t="str">
        <f>IF(IF(ROW(B83)&gt;MAX(Main!$D$4:$D$1048576),"",INDEX(Main!H$4:H$1048576,MATCH(ROW(B83),Main!$D$4:$D$1048576,0)))="",IF(N85="","",O84),IF(ROW(B83)&gt;MAX(Main!$D$4:$D$1048576),"",INDEX(Main!H$4:H$1048576,MATCH(ROW(B83),Main!$D$4:$D$1048576,0))))</f>
        <v/>
      </c>
      <c r="P85" s="1" t="str">
        <f>IF(IF(ROW(C83)&gt;MAX(Main!$D$4:$D$1048576),"",INDEX(Main!I$4:I$1048576,MATCH(ROW(C83),Main!$D$4:$D$1048576,0)))="",IF(O85="","",P84),IF(ROW(C83)&gt;MAX(Main!$D$4:$D$1048576),"",INDEX(Main!I$4:I$1048576,MATCH(ROW(C83),Main!$D$4:$D$1048576,0))))</f>
        <v/>
      </c>
      <c r="Q85" s="1" t="str">
        <f t="shared" si="5"/>
        <v/>
      </c>
      <c r="R85" s="1" t="str">
        <f>IF(IF(ROW(D83)&gt;MAX(Main!$D$4:$D$1048576),"",INDEX(Main!J$4:J$1048576,MATCH(ROW(D83),Main!$D$4:$D$1048576,0)))="",IF(P85="","",R84),IF(ROW(D83)&gt;MAX(Main!$D$4:$D$1048576),"",INDEX(Main!J$4:J$1048576,MATCH(ROW(D83),Main!$D$4:$D$1048576,0))))</f>
        <v/>
      </c>
      <c r="S85" s="9" t="str">
        <f>IF(ROW(G83)&gt;MAX(Main!$D$4:$D$1048576),"",INDEX(Main!K$4:K$1048576,MATCH(ROW(G83),Main!$D$4:$D$1048576,0)))</f>
        <v/>
      </c>
      <c r="T85" s="1" t="str">
        <f>IF(S85&lt;&gt;"",IF(ROW(G83)&gt;MAX(Main!$D$4:$D$1048576),"",INDEX(Main!N$4:N$1048576,MATCH(ROW(G83),Main!$D$4:$D$1048576,0))),"")</f>
        <v/>
      </c>
      <c r="U85" s="1" t="str">
        <f>IF(IF(ROW(H83)&gt;MAX(Main!$D$4:$D$1048576),"",INDEX(Main!O$4:O$1048576,MATCH(ROW(H83),Main!$D$4:$D$1048576,0)))="",IF(T85="","",U84),IF(ROW(H83)&gt;MAX(Main!$D$4:$D$1048576),"",INDEX(Main!O$4:O$1048576,MATCH(ROW(H83),Main!$D$4:$D$1048576,0))))</f>
        <v/>
      </c>
    </row>
    <row r="86" spans="1:21" x14ac:dyDescent="0.4">
      <c r="A86" t="s">
        <v>21</v>
      </c>
      <c r="B86" s="4" t="str">
        <f>TEXT(IF(ROW(A84)&gt;MAX(Main!$C$4:$C$1048576),"",INDEX(Main!Q$4:Q$1048576,MATCH(ROW(A84),Main!$C$4:$C$1048576,0))), "yyyy/m/d")</f>
        <v/>
      </c>
      <c r="C86" s="1" t="str">
        <f>IF(IF(ROW(A84)&gt;MAX(Main!$C$4:$C$1048576),"",INDEX(Main!G$4:G$1048576,MATCH(ROW(A84),Main!$C$4:$C$1048576,0)))="",IF(B86="","",C85),IF(ROW(A84)&gt;MAX(Main!$C$4:$C$1048576),"",INDEX(Main!G$4:G$1048576,MATCH(ROW(A84),Main!$C$4:$C$1048576,0))))</f>
        <v/>
      </c>
      <c r="D86" s="1" t="str">
        <f>IF(IF(ROW(B84)&gt;MAX(Main!$C$4:$C$1048576),"",INDEX(Main!H$4:H$1048576,MATCH(ROW(B84),Main!$C$4:$C$1048576,0)))="",IF(C86="","",D85),IF(ROW(B84)&gt;MAX(Main!$C$4:$C$1048576),"",INDEX(Main!H$4:H$1048576,MATCH(ROW(B84),Main!$C$4:$C$1048576,0))))</f>
        <v/>
      </c>
      <c r="E86" s="1" t="str">
        <f>IF(IF(ROW(C84)&gt;MAX(Main!$C$4:$C$1048576),"",INDEX(Main!I$4:I$1048576,MATCH(ROW(C84),Main!$C$4:$C$1048576,0)))="",IF(D86="","",E85),IF(ROW(C84)&gt;MAX(Main!$C$4:$C$1048576),"",INDEX(Main!I$4:I$1048576,MATCH(ROW(C84),Main!$C$4:$C$1048576,0))))</f>
        <v/>
      </c>
      <c r="F86" s="1" t="str">
        <f t="shared" si="3"/>
        <v/>
      </c>
      <c r="G86" s="1" t="str">
        <f>IF(IF(ROW(D84)&gt;MAX(Main!$C$4:$C$1048576),"",INDEX(Main!J$4:J$1048576,MATCH(ROW(D84),Main!$C$4:$C$1048576,0)))="",IF(E86="","",G85),IF(ROW(D84)&gt;MAX(Main!$C$4:$C$1048576),"",INDEX(Main!J$4:J$1048576,MATCH(ROW(D84),Main!$C$4:$C$1048576,0))))</f>
        <v/>
      </c>
      <c r="H86" s="10" t="str">
        <f>IF(ROW(G84)&gt;MAX(Main!$C$4:$C$1048576),"",INDEX(Main!K$4:K$1048576,MATCH(ROW(G84),Main!$C$4:$C$1048576,0)))</f>
        <v/>
      </c>
      <c r="I86" s="1" t="str">
        <f>IF(H86&lt;&gt;"",IF(ROW(G84)&gt;MAX(Main!$C$4:$C$1048576),"",INDEX(Main!N$4:N$1048576,MATCH(ROW(G84),Main!$C$4:$C$1048576,0))),"")</f>
        <v/>
      </c>
      <c r="J86" s="1" t="str">
        <f>IF(IF(ROW(H84)&gt;MAX(Main!$C$4:$C$1048576),"",INDEX(Main!O$4:O$1048576,MATCH(ROW(H84),Main!$C$4:$C$1048576,0)))="",IF(I86="","",J85),IF(ROW(H84)&gt;MAX(Main!$C$4:$C$1048576),"",INDEX(Main!O$4:O$1048576,MATCH(ROW(H84),Main!$C$4:$C$1048576,0))))</f>
        <v/>
      </c>
      <c r="K86" s="27" t="str">
        <f t="shared" si="4"/>
        <v>例目</v>
      </c>
      <c r="M86" s="4" t="str">
        <f>TEXT(IF(ROW(A84)&gt;MAX(Main!$D$4:$D$1048576),"",INDEX(Main!Q$4:Q$1048576,MATCH(ROW(A84),Main!$D$4:$D$1048576,0))), "yyyy/m/d")</f>
        <v/>
      </c>
      <c r="N86" s="1" t="str">
        <f>IF(IF(ROW(A84)&gt;MAX(Main!$D$4:$D$1048576),"",INDEX(Main!G$4:G$1048576,MATCH(ROW(A84),Main!$D$4:$D$1048576,0)))="",IF(M86="","",N85),IF(ROW(A84)&gt;MAX(Main!$D$4:$D$1048576),"",INDEX(Main!G$4:G$1048576,MATCH(ROW(A84),Main!$D$4:$D$1048576,0))))</f>
        <v/>
      </c>
      <c r="O86" s="1" t="str">
        <f>IF(IF(ROW(B84)&gt;MAX(Main!$D$4:$D$1048576),"",INDEX(Main!H$4:H$1048576,MATCH(ROW(B84),Main!$D$4:$D$1048576,0)))="",IF(N86="","",O85),IF(ROW(B84)&gt;MAX(Main!$D$4:$D$1048576),"",INDEX(Main!H$4:H$1048576,MATCH(ROW(B84),Main!$D$4:$D$1048576,0))))</f>
        <v/>
      </c>
      <c r="P86" s="1" t="str">
        <f>IF(IF(ROW(C84)&gt;MAX(Main!$D$4:$D$1048576),"",INDEX(Main!I$4:I$1048576,MATCH(ROW(C84),Main!$D$4:$D$1048576,0)))="",IF(O86="","",P85),IF(ROW(C84)&gt;MAX(Main!$D$4:$D$1048576),"",INDEX(Main!I$4:I$1048576,MATCH(ROW(C84),Main!$D$4:$D$1048576,0))))</f>
        <v/>
      </c>
      <c r="Q86" s="1" t="str">
        <f t="shared" si="5"/>
        <v/>
      </c>
      <c r="R86" s="1" t="str">
        <f>IF(IF(ROW(D84)&gt;MAX(Main!$D$4:$D$1048576),"",INDEX(Main!J$4:J$1048576,MATCH(ROW(D84),Main!$D$4:$D$1048576,0)))="",IF(P86="","",R85),IF(ROW(D84)&gt;MAX(Main!$D$4:$D$1048576),"",INDEX(Main!J$4:J$1048576,MATCH(ROW(D84),Main!$D$4:$D$1048576,0))))</f>
        <v/>
      </c>
      <c r="S86" s="9" t="str">
        <f>IF(ROW(G84)&gt;MAX(Main!$D$4:$D$1048576),"",INDEX(Main!K$4:K$1048576,MATCH(ROW(G84),Main!$D$4:$D$1048576,0)))</f>
        <v/>
      </c>
      <c r="T86" s="1" t="str">
        <f>IF(S86&lt;&gt;"",IF(ROW(G84)&gt;MAX(Main!$D$4:$D$1048576),"",INDEX(Main!N$4:N$1048576,MATCH(ROW(G84),Main!$D$4:$D$1048576,0))),"")</f>
        <v/>
      </c>
      <c r="U86" s="1" t="str">
        <f>IF(IF(ROW(H84)&gt;MAX(Main!$D$4:$D$1048576),"",INDEX(Main!O$4:O$1048576,MATCH(ROW(H84),Main!$D$4:$D$1048576,0)))="",IF(T86="","",U85),IF(ROW(H84)&gt;MAX(Main!$D$4:$D$1048576),"",INDEX(Main!O$4:O$1048576,MATCH(ROW(H84),Main!$D$4:$D$1048576,0))))</f>
        <v/>
      </c>
    </row>
    <row r="87" spans="1:21" x14ac:dyDescent="0.4">
      <c r="A87" t="s">
        <v>21</v>
      </c>
      <c r="B87" s="4" t="str">
        <f>TEXT(IF(ROW(A85)&gt;MAX(Main!$C$4:$C$1048576),"",INDEX(Main!Q$4:Q$1048576,MATCH(ROW(A85),Main!$C$4:$C$1048576,0))), "yyyy/m/d")</f>
        <v/>
      </c>
      <c r="C87" s="1" t="str">
        <f>IF(IF(ROW(A85)&gt;MAX(Main!$C$4:$C$1048576),"",INDEX(Main!G$4:G$1048576,MATCH(ROW(A85),Main!$C$4:$C$1048576,0)))="",IF(B87="","",C86),IF(ROW(A85)&gt;MAX(Main!$C$4:$C$1048576),"",INDEX(Main!G$4:G$1048576,MATCH(ROW(A85),Main!$C$4:$C$1048576,0))))</f>
        <v/>
      </c>
      <c r="D87" s="1" t="str">
        <f>IF(IF(ROW(B85)&gt;MAX(Main!$C$4:$C$1048576),"",INDEX(Main!H$4:H$1048576,MATCH(ROW(B85),Main!$C$4:$C$1048576,0)))="",IF(C87="","",D86),IF(ROW(B85)&gt;MAX(Main!$C$4:$C$1048576),"",INDEX(Main!H$4:H$1048576,MATCH(ROW(B85),Main!$C$4:$C$1048576,0))))</f>
        <v/>
      </c>
      <c r="E87" s="1" t="str">
        <f>IF(IF(ROW(C85)&gt;MAX(Main!$C$4:$C$1048576),"",INDEX(Main!I$4:I$1048576,MATCH(ROW(C85),Main!$C$4:$C$1048576,0)))="",IF(D87="","",E86),IF(ROW(C85)&gt;MAX(Main!$C$4:$C$1048576),"",INDEX(Main!I$4:I$1048576,MATCH(ROW(C85),Main!$C$4:$C$1048576,0))))</f>
        <v/>
      </c>
      <c r="F87" s="1" t="str">
        <f t="shared" si="3"/>
        <v/>
      </c>
      <c r="G87" s="1" t="str">
        <f>IF(IF(ROW(D85)&gt;MAX(Main!$C$4:$C$1048576),"",INDEX(Main!J$4:J$1048576,MATCH(ROW(D85),Main!$C$4:$C$1048576,0)))="",IF(E87="","",G86),IF(ROW(D85)&gt;MAX(Main!$C$4:$C$1048576),"",INDEX(Main!J$4:J$1048576,MATCH(ROW(D85),Main!$C$4:$C$1048576,0))))</f>
        <v/>
      </c>
      <c r="H87" s="10" t="str">
        <f>IF(ROW(G85)&gt;MAX(Main!$C$4:$C$1048576),"",INDEX(Main!K$4:K$1048576,MATCH(ROW(G85),Main!$C$4:$C$1048576,0)))</f>
        <v/>
      </c>
      <c r="I87" s="1" t="str">
        <f>IF(H87&lt;&gt;"",IF(ROW(G85)&gt;MAX(Main!$C$4:$C$1048576),"",INDEX(Main!N$4:N$1048576,MATCH(ROW(G85),Main!$C$4:$C$1048576,0))),"")</f>
        <v/>
      </c>
      <c r="J87" s="1" t="str">
        <f>IF(IF(ROW(H85)&gt;MAX(Main!$C$4:$C$1048576),"",INDEX(Main!O$4:O$1048576,MATCH(ROW(H85),Main!$C$4:$C$1048576,0)))="",IF(I87="","",J86),IF(ROW(H85)&gt;MAX(Main!$C$4:$C$1048576),"",INDEX(Main!O$4:O$1048576,MATCH(ROW(H85),Main!$C$4:$C$1048576,0))))</f>
        <v/>
      </c>
      <c r="K87" s="27" t="str">
        <f t="shared" si="4"/>
        <v>例目</v>
      </c>
      <c r="M87" s="4" t="str">
        <f>TEXT(IF(ROW(A85)&gt;MAX(Main!$D$4:$D$1048576),"",INDEX(Main!Q$4:Q$1048576,MATCH(ROW(A85),Main!$D$4:$D$1048576,0))), "yyyy/m/d")</f>
        <v/>
      </c>
      <c r="N87" s="1" t="str">
        <f>IF(IF(ROW(A85)&gt;MAX(Main!$D$4:$D$1048576),"",INDEX(Main!G$4:G$1048576,MATCH(ROW(A85),Main!$D$4:$D$1048576,0)))="",IF(M87="","",N86),IF(ROW(A85)&gt;MAX(Main!$D$4:$D$1048576),"",INDEX(Main!G$4:G$1048576,MATCH(ROW(A85),Main!$D$4:$D$1048576,0))))</f>
        <v/>
      </c>
      <c r="O87" s="1" t="str">
        <f>IF(IF(ROW(B85)&gt;MAX(Main!$D$4:$D$1048576),"",INDEX(Main!H$4:H$1048576,MATCH(ROW(B85),Main!$D$4:$D$1048576,0)))="",IF(N87="","",O86),IF(ROW(B85)&gt;MAX(Main!$D$4:$D$1048576),"",INDEX(Main!H$4:H$1048576,MATCH(ROW(B85),Main!$D$4:$D$1048576,0))))</f>
        <v/>
      </c>
      <c r="P87" s="1" t="str">
        <f>IF(IF(ROW(C85)&gt;MAX(Main!$D$4:$D$1048576),"",INDEX(Main!I$4:I$1048576,MATCH(ROW(C85),Main!$D$4:$D$1048576,0)))="",IF(O87="","",P86),IF(ROW(C85)&gt;MAX(Main!$D$4:$D$1048576),"",INDEX(Main!I$4:I$1048576,MATCH(ROW(C85),Main!$D$4:$D$1048576,0))))</f>
        <v/>
      </c>
      <c r="Q87" s="1" t="str">
        <f t="shared" si="5"/>
        <v/>
      </c>
      <c r="R87" s="1" t="str">
        <f>IF(IF(ROW(D85)&gt;MAX(Main!$D$4:$D$1048576),"",INDEX(Main!J$4:J$1048576,MATCH(ROW(D85),Main!$D$4:$D$1048576,0)))="",IF(P87="","",R86),IF(ROW(D85)&gt;MAX(Main!$D$4:$D$1048576),"",INDEX(Main!J$4:J$1048576,MATCH(ROW(D85),Main!$D$4:$D$1048576,0))))</f>
        <v/>
      </c>
      <c r="S87" s="9" t="str">
        <f>IF(ROW(G85)&gt;MAX(Main!$D$4:$D$1048576),"",INDEX(Main!K$4:K$1048576,MATCH(ROW(G85),Main!$D$4:$D$1048576,0)))</f>
        <v/>
      </c>
      <c r="T87" s="1" t="str">
        <f>IF(S87&lt;&gt;"",IF(ROW(G85)&gt;MAX(Main!$D$4:$D$1048576),"",INDEX(Main!N$4:N$1048576,MATCH(ROW(G85),Main!$D$4:$D$1048576,0))),"")</f>
        <v/>
      </c>
      <c r="U87" s="1" t="str">
        <f>IF(IF(ROW(H85)&gt;MAX(Main!$D$4:$D$1048576),"",INDEX(Main!O$4:O$1048576,MATCH(ROW(H85),Main!$D$4:$D$1048576,0)))="",IF(T87="","",U86),IF(ROW(H85)&gt;MAX(Main!$D$4:$D$1048576),"",INDEX(Main!O$4:O$1048576,MATCH(ROW(H85),Main!$D$4:$D$1048576,0))))</f>
        <v/>
      </c>
    </row>
    <row r="88" spans="1:21" x14ac:dyDescent="0.4">
      <c r="A88" t="s">
        <v>21</v>
      </c>
      <c r="B88" s="4" t="str">
        <f>TEXT(IF(ROW(A86)&gt;MAX(Main!$C$4:$C$1048576),"",INDEX(Main!Q$4:Q$1048576,MATCH(ROW(A86),Main!$C$4:$C$1048576,0))), "yyyy/m/d")</f>
        <v/>
      </c>
      <c r="C88" s="1" t="str">
        <f>IF(IF(ROW(A86)&gt;MAX(Main!$C$4:$C$1048576),"",INDEX(Main!G$4:G$1048576,MATCH(ROW(A86),Main!$C$4:$C$1048576,0)))="",IF(B88="","",C87),IF(ROW(A86)&gt;MAX(Main!$C$4:$C$1048576),"",INDEX(Main!G$4:G$1048576,MATCH(ROW(A86),Main!$C$4:$C$1048576,0))))</f>
        <v/>
      </c>
      <c r="D88" s="1" t="str">
        <f>IF(IF(ROW(B86)&gt;MAX(Main!$C$4:$C$1048576),"",INDEX(Main!H$4:H$1048576,MATCH(ROW(B86),Main!$C$4:$C$1048576,0)))="",IF(C88="","",D87),IF(ROW(B86)&gt;MAX(Main!$C$4:$C$1048576),"",INDEX(Main!H$4:H$1048576,MATCH(ROW(B86),Main!$C$4:$C$1048576,0))))</f>
        <v/>
      </c>
      <c r="E88" s="1" t="str">
        <f>IF(IF(ROW(C86)&gt;MAX(Main!$C$4:$C$1048576),"",INDEX(Main!I$4:I$1048576,MATCH(ROW(C86),Main!$C$4:$C$1048576,0)))="",IF(D88="","",E87),IF(ROW(C86)&gt;MAX(Main!$C$4:$C$1048576),"",INDEX(Main!I$4:I$1048576,MATCH(ROW(C86),Main!$C$4:$C$1048576,0))))</f>
        <v/>
      </c>
      <c r="F88" s="1" t="str">
        <f t="shared" si="3"/>
        <v/>
      </c>
      <c r="G88" s="1" t="str">
        <f>IF(IF(ROW(D86)&gt;MAX(Main!$C$4:$C$1048576),"",INDEX(Main!J$4:J$1048576,MATCH(ROW(D86),Main!$C$4:$C$1048576,0)))="",IF(E88="","",G87),IF(ROW(D86)&gt;MAX(Main!$C$4:$C$1048576),"",INDEX(Main!J$4:J$1048576,MATCH(ROW(D86),Main!$C$4:$C$1048576,0))))</f>
        <v/>
      </c>
      <c r="H88" s="10" t="str">
        <f>IF(ROW(G86)&gt;MAX(Main!$C$4:$C$1048576),"",INDEX(Main!K$4:K$1048576,MATCH(ROW(G86),Main!$C$4:$C$1048576,0)))</f>
        <v/>
      </c>
      <c r="I88" s="1" t="str">
        <f>IF(H88&lt;&gt;"",IF(ROW(G86)&gt;MAX(Main!$C$4:$C$1048576),"",INDEX(Main!N$4:N$1048576,MATCH(ROW(G86),Main!$C$4:$C$1048576,0))),"")</f>
        <v/>
      </c>
      <c r="J88" s="1" t="str">
        <f>IF(IF(ROW(H86)&gt;MAX(Main!$C$4:$C$1048576),"",INDEX(Main!O$4:O$1048576,MATCH(ROW(H86),Main!$C$4:$C$1048576,0)))="",IF(I88="","",J87),IF(ROW(H86)&gt;MAX(Main!$C$4:$C$1048576),"",INDEX(Main!O$4:O$1048576,MATCH(ROW(H86),Main!$C$4:$C$1048576,0))))</f>
        <v/>
      </c>
      <c r="K88" s="27" t="str">
        <f t="shared" si="4"/>
        <v>例目</v>
      </c>
      <c r="M88" s="4" t="str">
        <f>TEXT(IF(ROW(A86)&gt;MAX(Main!$D$4:$D$1048576),"",INDEX(Main!Q$4:Q$1048576,MATCH(ROW(A86),Main!$D$4:$D$1048576,0))), "yyyy/m/d")</f>
        <v/>
      </c>
      <c r="N88" s="1" t="str">
        <f>IF(IF(ROW(A86)&gt;MAX(Main!$D$4:$D$1048576),"",INDEX(Main!G$4:G$1048576,MATCH(ROW(A86),Main!$D$4:$D$1048576,0)))="",IF(M88="","",N87),IF(ROW(A86)&gt;MAX(Main!$D$4:$D$1048576),"",INDEX(Main!G$4:G$1048576,MATCH(ROW(A86),Main!$D$4:$D$1048576,0))))</f>
        <v/>
      </c>
      <c r="O88" s="1" t="str">
        <f>IF(IF(ROW(B86)&gt;MAX(Main!$D$4:$D$1048576),"",INDEX(Main!H$4:H$1048576,MATCH(ROW(B86),Main!$D$4:$D$1048576,0)))="",IF(N88="","",O87),IF(ROW(B86)&gt;MAX(Main!$D$4:$D$1048576),"",INDEX(Main!H$4:H$1048576,MATCH(ROW(B86),Main!$D$4:$D$1048576,0))))</f>
        <v/>
      </c>
      <c r="P88" s="1" t="str">
        <f>IF(IF(ROW(C86)&gt;MAX(Main!$D$4:$D$1048576),"",INDEX(Main!I$4:I$1048576,MATCH(ROW(C86),Main!$D$4:$D$1048576,0)))="",IF(O88="","",P87),IF(ROW(C86)&gt;MAX(Main!$D$4:$D$1048576),"",INDEX(Main!I$4:I$1048576,MATCH(ROW(C86),Main!$D$4:$D$1048576,0))))</f>
        <v/>
      </c>
      <c r="Q88" s="1" t="str">
        <f t="shared" si="5"/>
        <v/>
      </c>
      <c r="R88" s="1" t="str">
        <f>IF(IF(ROW(D86)&gt;MAX(Main!$D$4:$D$1048576),"",INDEX(Main!J$4:J$1048576,MATCH(ROW(D86),Main!$D$4:$D$1048576,0)))="",IF(P88="","",R87),IF(ROW(D86)&gt;MAX(Main!$D$4:$D$1048576),"",INDEX(Main!J$4:J$1048576,MATCH(ROW(D86),Main!$D$4:$D$1048576,0))))</f>
        <v/>
      </c>
      <c r="S88" s="9" t="str">
        <f>IF(ROW(G86)&gt;MAX(Main!$D$4:$D$1048576),"",INDEX(Main!K$4:K$1048576,MATCH(ROW(G86),Main!$D$4:$D$1048576,0)))</f>
        <v/>
      </c>
      <c r="T88" s="1" t="str">
        <f>IF(S88&lt;&gt;"",IF(ROW(G86)&gt;MAX(Main!$D$4:$D$1048576),"",INDEX(Main!N$4:N$1048576,MATCH(ROW(G86),Main!$D$4:$D$1048576,0))),"")</f>
        <v/>
      </c>
      <c r="U88" s="1" t="str">
        <f>IF(IF(ROW(H86)&gt;MAX(Main!$D$4:$D$1048576),"",INDEX(Main!O$4:O$1048576,MATCH(ROW(H86),Main!$D$4:$D$1048576,0)))="",IF(T88="","",U87),IF(ROW(H86)&gt;MAX(Main!$D$4:$D$1048576),"",INDEX(Main!O$4:O$1048576,MATCH(ROW(H86),Main!$D$4:$D$1048576,0))))</f>
        <v/>
      </c>
    </row>
    <row r="89" spans="1:21" x14ac:dyDescent="0.4">
      <c r="A89" t="s">
        <v>21</v>
      </c>
      <c r="B89" s="4" t="str">
        <f>TEXT(IF(ROW(A87)&gt;MAX(Main!$C$4:$C$1048576),"",INDEX(Main!Q$4:Q$1048576,MATCH(ROW(A87),Main!$C$4:$C$1048576,0))), "yyyy/m/d")</f>
        <v/>
      </c>
      <c r="C89" s="1" t="str">
        <f>IF(IF(ROW(A87)&gt;MAX(Main!$C$4:$C$1048576),"",INDEX(Main!G$4:G$1048576,MATCH(ROW(A87),Main!$C$4:$C$1048576,0)))="",IF(B89="","",C88),IF(ROW(A87)&gt;MAX(Main!$C$4:$C$1048576),"",INDEX(Main!G$4:G$1048576,MATCH(ROW(A87),Main!$C$4:$C$1048576,0))))</f>
        <v/>
      </c>
      <c r="D89" s="1" t="str">
        <f>IF(IF(ROW(B87)&gt;MAX(Main!$C$4:$C$1048576),"",INDEX(Main!H$4:H$1048576,MATCH(ROW(B87),Main!$C$4:$C$1048576,0)))="",IF(C89="","",D88),IF(ROW(B87)&gt;MAX(Main!$C$4:$C$1048576),"",INDEX(Main!H$4:H$1048576,MATCH(ROW(B87),Main!$C$4:$C$1048576,0))))</f>
        <v/>
      </c>
      <c r="E89" s="1" t="str">
        <f>IF(IF(ROW(C87)&gt;MAX(Main!$C$4:$C$1048576),"",INDEX(Main!I$4:I$1048576,MATCH(ROW(C87),Main!$C$4:$C$1048576,0)))="",IF(D89="","",E88),IF(ROW(C87)&gt;MAX(Main!$C$4:$C$1048576),"",INDEX(Main!I$4:I$1048576,MATCH(ROW(C87),Main!$C$4:$C$1048576,0))))</f>
        <v/>
      </c>
      <c r="F89" s="1" t="str">
        <f t="shared" si="3"/>
        <v/>
      </c>
      <c r="G89" s="1" t="str">
        <f>IF(IF(ROW(D87)&gt;MAX(Main!$C$4:$C$1048576),"",INDEX(Main!J$4:J$1048576,MATCH(ROW(D87),Main!$C$4:$C$1048576,0)))="",IF(E89="","",G88),IF(ROW(D87)&gt;MAX(Main!$C$4:$C$1048576),"",INDEX(Main!J$4:J$1048576,MATCH(ROW(D87),Main!$C$4:$C$1048576,0))))</f>
        <v/>
      </c>
      <c r="H89" s="10" t="str">
        <f>IF(ROW(G87)&gt;MAX(Main!$C$4:$C$1048576),"",INDEX(Main!K$4:K$1048576,MATCH(ROW(G87),Main!$C$4:$C$1048576,0)))</f>
        <v/>
      </c>
      <c r="I89" s="1" t="str">
        <f>IF(H89&lt;&gt;"",IF(ROW(G87)&gt;MAX(Main!$C$4:$C$1048576),"",INDEX(Main!N$4:N$1048576,MATCH(ROW(G87),Main!$C$4:$C$1048576,0))),"")</f>
        <v/>
      </c>
      <c r="J89" s="1" t="str">
        <f>IF(IF(ROW(H87)&gt;MAX(Main!$C$4:$C$1048576),"",INDEX(Main!O$4:O$1048576,MATCH(ROW(H87),Main!$C$4:$C$1048576,0)))="",IF(I89="","",J88),IF(ROW(H87)&gt;MAX(Main!$C$4:$C$1048576),"",INDEX(Main!O$4:O$1048576,MATCH(ROW(H87),Main!$C$4:$C$1048576,0))))</f>
        <v/>
      </c>
      <c r="K89" s="27" t="str">
        <f t="shared" si="4"/>
        <v>例目</v>
      </c>
      <c r="M89" s="4" t="str">
        <f>TEXT(IF(ROW(A87)&gt;MAX(Main!$D$4:$D$1048576),"",INDEX(Main!Q$4:Q$1048576,MATCH(ROW(A87),Main!$D$4:$D$1048576,0))), "yyyy/m/d")</f>
        <v/>
      </c>
      <c r="N89" s="1" t="str">
        <f>IF(IF(ROW(A87)&gt;MAX(Main!$D$4:$D$1048576),"",INDEX(Main!G$4:G$1048576,MATCH(ROW(A87),Main!$D$4:$D$1048576,0)))="",IF(M89="","",N88),IF(ROW(A87)&gt;MAX(Main!$D$4:$D$1048576),"",INDEX(Main!G$4:G$1048576,MATCH(ROW(A87),Main!$D$4:$D$1048576,0))))</f>
        <v/>
      </c>
      <c r="O89" s="1" t="str">
        <f>IF(IF(ROW(B87)&gt;MAX(Main!$D$4:$D$1048576),"",INDEX(Main!H$4:H$1048576,MATCH(ROW(B87),Main!$D$4:$D$1048576,0)))="",IF(N89="","",O88),IF(ROW(B87)&gt;MAX(Main!$D$4:$D$1048576),"",INDEX(Main!H$4:H$1048576,MATCH(ROW(B87),Main!$D$4:$D$1048576,0))))</f>
        <v/>
      </c>
      <c r="P89" s="1" t="str">
        <f>IF(IF(ROW(C87)&gt;MAX(Main!$D$4:$D$1048576),"",INDEX(Main!I$4:I$1048576,MATCH(ROW(C87),Main!$D$4:$D$1048576,0)))="",IF(O89="","",P88),IF(ROW(C87)&gt;MAX(Main!$D$4:$D$1048576),"",INDEX(Main!I$4:I$1048576,MATCH(ROW(C87),Main!$D$4:$D$1048576,0))))</f>
        <v/>
      </c>
      <c r="Q89" s="1" t="str">
        <f t="shared" si="5"/>
        <v/>
      </c>
      <c r="R89" s="1" t="str">
        <f>IF(IF(ROW(D87)&gt;MAX(Main!$D$4:$D$1048576),"",INDEX(Main!J$4:J$1048576,MATCH(ROW(D87),Main!$D$4:$D$1048576,0)))="",IF(P89="","",R88),IF(ROW(D87)&gt;MAX(Main!$D$4:$D$1048576),"",INDEX(Main!J$4:J$1048576,MATCH(ROW(D87),Main!$D$4:$D$1048576,0))))</f>
        <v/>
      </c>
      <c r="S89" s="9" t="str">
        <f>IF(ROW(G87)&gt;MAX(Main!$D$4:$D$1048576),"",INDEX(Main!K$4:K$1048576,MATCH(ROW(G87),Main!$D$4:$D$1048576,0)))</f>
        <v/>
      </c>
      <c r="T89" s="1" t="str">
        <f>IF(S89&lt;&gt;"",IF(ROW(G87)&gt;MAX(Main!$D$4:$D$1048576),"",INDEX(Main!N$4:N$1048576,MATCH(ROW(G87),Main!$D$4:$D$1048576,0))),"")</f>
        <v/>
      </c>
      <c r="U89" s="1" t="str">
        <f>IF(IF(ROW(H87)&gt;MAX(Main!$D$4:$D$1048576),"",INDEX(Main!O$4:O$1048576,MATCH(ROW(H87),Main!$D$4:$D$1048576,0)))="",IF(T89="","",U88),IF(ROW(H87)&gt;MAX(Main!$D$4:$D$1048576),"",INDEX(Main!O$4:O$1048576,MATCH(ROW(H87),Main!$D$4:$D$1048576,0))))</f>
        <v/>
      </c>
    </row>
    <row r="90" spans="1:21" x14ac:dyDescent="0.4">
      <c r="A90" t="s">
        <v>21</v>
      </c>
      <c r="B90" s="4" t="str">
        <f>TEXT(IF(ROW(A88)&gt;MAX(Main!$C$4:$C$1048576),"",INDEX(Main!Q$4:Q$1048576,MATCH(ROW(A88),Main!$C$4:$C$1048576,0))), "yyyy/m/d")</f>
        <v/>
      </c>
      <c r="C90" s="1" t="str">
        <f>IF(IF(ROW(A88)&gt;MAX(Main!$C$4:$C$1048576),"",INDEX(Main!G$4:G$1048576,MATCH(ROW(A88),Main!$C$4:$C$1048576,0)))="",IF(B90="","",C89),IF(ROW(A88)&gt;MAX(Main!$C$4:$C$1048576),"",INDEX(Main!G$4:G$1048576,MATCH(ROW(A88),Main!$C$4:$C$1048576,0))))</f>
        <v/>
      </c>
      <c r="D90" s="1" t="str">
        <f>IF(IF(ROW(B88)&gt;MAX(Main!$C$4:$C$1048576),"",INDEX(Main!H$4:H$1048576,MATCH(ROW(B88),Main!$C$4:$C$1048576,0)))="",IF(C90="","",D89),IF(ROW(B88)&gt;MAX(Main!$C$4:$C$1048576),"",INDEX(Main!H$4:H$1048576,MATCH(ROW(B88),Main!$C$4:$C$1048576,0))))</f>
        <v/>
      </c>
      <c r="E90" s="1" t="str">
        <f>IF(IF(ROW(C88)&gt;MAX(Main!$C$4:$C$1048576),"",INDEX(Main!I$4:I$1048576,MATCH(ROW(C88),Main!$C$4:$C$1048576,0)))="",IF(D90="","",E89),IF(ROW(C88)&gt;MAX(Main!$C$4:$C$1048576),"",INDEX(Main!I$4:I$1048576,MATCH(ROW(C88),Main!$C$4:$C$1048576,0))))</f>
        <v/>
      </c>
      <c r="F90" s="1" t="str">
        <f t="shared" si="3"/>
        <v/>
      </c>
      <c r="G90" s="1" t="str">
        <f>IF(IF(ROW(D88)&gt;MAX(Main!$C$4:$C$1048576),"",INDEX(Main!J$4:J$1048576,MATCH(ROW(D88),Main!$C$4:$C$1048576,0)))="",IF(E90="","",G89),IF(ROW(D88)&gt;MAX(Main!$C$4:$C$1048576),"",INDEX(Main!J$4:J$1048576,MATCH(ROW(D88),Main!$C$4:$C$1048576,0))))</f>
        <v/>
      </c>
      <c r="H90" s="10" t="str">
        <f>IF(ROW(G88)&gt;MAX(Main!$C$4:$C$1048576),"",INDEX(Main!K$4:K$1048576,MATCH(ROW(G88),Main!$C$4:$C$1048576,0)))</f>
        <v/>
      </c>
      <c r="I90" s="1" t="str">
        <f>IF(H90&lt;&gt;"",IF(ROW(G88)&gt;MAX(Main!$C$4:$C$1048576),"",INDEX(Main!N$4:N$1048576,MATCH(ROW(G88),Main!$C$4:$C$1048576,0))),"")</f>
        <v/>
      </c>
      <c r="J90" s="1" t="str">
        <f>IF(IF(ROW(H88)&gt;MAX(Main!$C$4:$C$1048576),"",INDEX(Main!O$4:O$1048576,MATCH(ROW(H88),Main!$C$4:$C$1048576,0)))="",IF(I90="","",J89),IF(ROW(H88)&gt;MAX(Main!$C$4:$C$1048576),"",INDEX(Main!O$4:O$1048576,MATCH(ROW(H88),Main!$C$4:$C$1048576,0))))</f>
        <v/>
      </c>
      <c r="K90" s="27" t="str">
        <f t="shared" si="4"/>
        <v>例目</v>
      </c>
      <c r="M90" s="4" t="str">
        <f>TEXT(IF(ROW(A88)&gt;MAX(Main!$D$4:$D$1048576),"",INDEX(Main!Q$4:Q$1048576,MATCH(ROW(A88),Main!$D$4:$D$1048576,0))), "yyyy/m/d")</f>
        <v/>
      </c>
      <c r="N90" s="1" t="str">
        <f>IF(IF(ROW(A88)&gt;MAX(Main!$D$4:$D$1048576),"",INDEX(Main!G$4:G$1048576,MATCH(ROW(A88),Main!$D$4:$D$1048576,0)))="",IF(M90="","",N89),IF(ROW(A88)&gt;MAX(Main!$D$4:$D$1048576),"",INDEX(Main!G$4:G$1048576,MATCH(ROW(A88),Main!$D$4:$D$1048576,0))))</f>
        <v/>
      </c>
      <c r="O90" s="1" t="str">
        <f>IF(IF(ROW(B88)&gt;MAX(Main!$D$4:$D$1048576),"",INDEX(Main!H$4:H$1048576,MATCH(ROW(B88),Main!$D$4:$D$1048576,0)))="",IF(N90="","",O89),IF(ROW(B88)&gt;MAX(Main!$D$4:$D$1048576),"",INDEX(Main!H$4:H$1048576,MATCH(ROW(B88),Main!$D$4:$D$1048576,0))))</f>
        <v/>
      </c>
      <c r="P90" s="1" t="str">
        <f>IF(IF(ROW(C88)&gt;MAX(Main!$D$4:$D$1048576),"",INDEX(Main!I$4:I$1048576,MATCH(ROW(C88),Main!$D$4:$D$1048576,0)))="",IF(O90="","",P89),IF(ROW(C88)&gt;MAX(Main!$D$4:$D$1048576),"",INDEX(Main!I$4:I$1048576,MATCH(ROW(C88),Main!$D$4:$D$1048576,0))))</f>
        <v/>
      </c>
      <c r="Q90" s="1" t="str">
        <f t="shared" si="5"/>
        <v/>
      </c>
      <c r="R90" s="1" t="str">
        <f>IF(IF(ROW(D88)&gt;MAX(Main!$D$4:$D$1048576),"",INDEX(Main!J$4:J$1048576,MATCH(ROW(D88),Main!$D$4:$D$1048576,0)))="",IF(P90="","",R89),IF(ROW(D88)&gt;MAX(Main!$D$4:$D$1048576),"",INDEX(Main!J$4:J$1048576,MATCH(ROW(D88),Main!$D$4:$D$1048576,0))))</f>
        <v/>
      </c>
      <c r="S90" s="9" t="str">
        <f>IF(ROW(G88)&gt;MAX(Main!$D$4:$D$1048576),"",INDEX(Main!K$4:K$1048576,MATCH(ROW(G88),Main!$D$4:$D$1048576,0)))</f>
        <v/>
      </c>
      <c r="T90" s="1" t="str">
        <f>IF(S90&lt;&gt;"",IF(ROW(G88)&gt;MAX(Main!$D$4:$D$1048576),"",INDEX(Main!N$4:N$1048576,MATCH(ROW(G88),Main!$D$4:$D$1048576,0))),"")</f>
        <v/>
      </c>
      <c r="U90" s="1" t="str">
        <f>IF(IF(ROW(H88)&gt;MAX(Main!$D$4:$D$1048576),"",INDEX(Main!O$4:O$1048576,MATCH(ROW(H88),Main!$D$4:$D$1048576,0)))="",IF(T90="","",U89),IF(ROW(H88)&gt;MAX(Main!$D$4:$D$1048576),"",INDEX(Main!O$4:O$1048576,MATCH(ROW(H88),Main!$D$4:$D$1048576,0))))</f>
        <v/>
      </c>
    </row>
    <row r="91" spans="1:21" x14ac:dyDescent="0.4">
      <c r="A91" t="s">
        <v>21</v>
      </c>
      <c r="B91" s="4" t="str">
        <f>TEXT(IF(ROW(A89)&gt;MAX(Main!$C$4:$C$1048576),"",INDEX(Main!Q$4:Q$1048576,MATCH(ROW(A89),Main!$C$4:$C$1048576,0))), "yyyy/m/d")</f>
        <v/>
      </c>
      <c r="C91" s="1" t="str">
        <f>IF(IF(ROW(A89)&gt;MAX(Main!$C$4:$C$1048576),"",INDEX(Main!G$4:G$1048576,MATCH(ROW(A89),Main!$C$4:$C$1048576,0)))="",IF(B91="","",C90),IF(ROW(A89)&gt;MAX(Main!$C$4:$C$1048576),"",INDEX(Main!G$4:G$1048576,MATCH(ROW(A89),Main!$C$4:$C$1048576,0))))</f>
        <v/>
      </c>
      <c r="D91" s="1" t="str">
        <f>IF(IF(ROW(B89)&gt;MAX(Main!$C$4:$C$1048576),"",INDEX(Main!H$4:H$1048576,MATCH(ROW(B89),Main!$C$4:$C$1048576,0)))="",IF(C91="","",D90),IF(ROW(B89)&gt;MAX(Main!$C$4:$C$1048576),"",INDEX(Main!H$4:H$1048576,MATCH(ROW(B89),Main!$C$4:$C$1048576,0))))</f>
        <v/>
      </c>
      <c r="E91" s="1" t="str">
        <f>IF(IF(ROW(C89)&gt;MAX(Main!$C$4:$C$1048576),"",INDEX(Main!I$4:I$1048576,MATCH(ROW(C89),Main!$C$4:$C$1048576,0)))="",IF(D91="","",E90),IF(ROW(C89)&gt;MAX(Main!$C$4:$C$1048576),"",INDEX(Main!I$4:I$1048576,MATCH(ROW(C89),Main!$C$4:$C$1048576,0))))</f>
        <v/>
      </c>
      <c r="F91" s="1" t="str">
        <f t="shared" si="3"/>
        <v/>
      </c>
      <c r="G91" s="1" t="str">
        <f>IF(IF(ROW(D89)&gt;MAX(Main!$C$4:$C$1048576),"",INDEX(Main!J$4:J$1048576,MATCH(ROW(D89),Main!$C$4:$C$1048576,0)))="",IF(E91="","",G90),IF(ROW(D89)&gt;MAX(Main!$C$4:$C$1048576),"",INDEX(Main!J$4:J$1048576,MATCH(ROW(D89),Main!$C$4:$C$1048576,0))))</f>
        <v/>
      </c>
      <c r="H91" s="10" t="str">
        <f>IF(ROW(G89)&gt;MAX(Main!$C$4:$C$1048576),"",INDEX(Main!K$4:K$1048576,MATCH(ROW(G89),Main!$C$4:$C$1048576,0)))</f>
        <v/>
      </c>
      <c r="I91" s="1" t="str">
        <f>IF(H91&lt;&gt;"",IF(ROW(G89)&gt;MAX(Main!$C$4:$C$1048576),"",INDEX(Main!N$4:N$1048576,MATCH(ROW(G89),Main!$C$4:$C$1048576,0))),"")</f>
        <v/>
      </c>
      <c r="J91" s="1" t="str">
        <f>IF(IF(ROW(H89)&gt;MAX(Main!$C$4:$C$1048576),"",INDEX(Main!O$4:O$1048576,MATCH(ROW(H89),Main!$C$4:$C$1048576,0)))="",IF(I91="","",J90),IF(ROW(H89)&gt;MAX(Main!$C$4:$C$1048576),"",INDEX(Main!O$4:O$1048576,MATCH(ROW(H89),Main!$C$4:$C$1048576,0))))</f>
        <v/>
      </c>
      <c r="K91" s="27" t="str">
        <f t="shared" si="4"/>
        <v>例目</v>
      </c>
      <c r="M91" s="4" t="str">
        <f>TEXT(IF(ROW(A89)&gt;MAX(Main!$D$4:$D$1048576),"",INDEX(Main!Q$4:Q$1048576,MATCH(ROW(A89),Main!$D$4:$D$1048576,0))), "yyyy/m/d")</f>
        <v/>
      </c>
      <c r="N91" s="1" t="str">
        <f>IF(IF(ROW(A89)&gt;MAX(Main!$D$4:$D$1048576),"",INDEX(Main!G$4:G$1048576,MATCH(ROW(A89),Main!$D$4:$D$1048576,0)))="",IF(M91="","",N90),IF(ROW(A89)&gt;MAX(Main!$D$4:$D$1048576),"",INDEX(Main!G$4:G$1048576,MATCH(ROW(A89),Main!$D$4:$D$1048576,0))))</f>
        <v/>
      </c>
      <c r="O91" s="1" t="str">
        <f>IF(IF(ROW(B89)&gt;MAX(Main!$D$4:$D$1048576),"",INDEX(Main!H$4:H$1048576,MATCH(ROW(B89),Main!$D$4:$D$1048576,0)))="",IF(N91="","",O90),IF(ROW(B89)&gt;MAX(Main!$D$4:$D$1048576),"",INDEX(Main!H$4:H$1048576,MATCH(ROW(B89),Main!$D$4:$D$1048576,0))))</f>
        <v/>
      </c>
      <c r="P91" s="1" t="str">
        <f>IF(IF(ROW(C89)&gt;MAX(Main!$D$4:$D$1048576),"",INDEX(Main!I$4:I$1048576,MATCH(ROW(C89),Main!$D$4:$D$1048576,0)))="",IF(O91="","",P90),IF(ROW(C89)&gt;MAX(Main!$D$4:$D$1048576),"",INDEX(Main!I$4:I$1048576,MATCH(ROW(C89),Main!$D$4:$D$1048576,0))))</f>
        <v/>
      </c>
      <c r="Q91" s="1" t="str">
        <f t="shared" si="5"/>
        <v/>
      </c>
      <c r="R91" s="1" t="str">
        <f>IF(IF(ROW(D89)&gt;MAX(Main!$D$4:$D$1048576),"",INDEX(Main!J$4:J$1048576,MATCH(ROW(D89),Main!$D$4:$D$1048576,0)))="",IF(P91="","",R90),IF(ROW(D89)&gt;MAX(Main!$D$4:$D$1048576),"",INDEX(Main!J$4:J$1048576,MATCH(ROW(D89),Main!$D$4:$D$1048576,0))))</f>
        <v/>
      </c>
      <c r="S91" s="9" t="str">
        <f>IF(ROW(G89)&gt;MAX(Main!$D$4:$D$1048576),"",INDEX(Main!K$4:K$1048576,MATCH(ROW(G89),Main!$D$4:$D$1048576,0)))</f>
        <v/>
      </c>
      <c r="T91" s="1" t="str">
        <f>IF(S91&lt;&gt;"",IF(ROW(G89)&gt;MAX(Main!$D$4:$D$1048576),"",INDEX(Main!N$4:N$1048576,MATCH(ROW(G89),Main!$D$4:$D$1048576,0))),"")</f>
        <v/>
      </c>
      <c r="U91" s="1" t="str">
        <f>IF(IF(ROW(H89)&gt;MAX(Main!$D$4:$D$1048576),"",INDEX(Main!O$4:O$1048576,MATCH(ROW(H89),Main!$D$4:$D$1048576,0)))="",IF(T91="","",U90),IF(ROW(H89)&gt;MAX(Main!$D$4:$D$1048576),"",INDEX(Main!O$4:O$1048576,MATCH(ROW(H89),Main!$D$4:$D$1048576,0))))</f>
        <v/>
      </c>
    </row>
    <row r="92" spans="1:21" x14ac:dyDescent="0.4">
      <c r="A92" t="s">
        <v>21</v>
      </c>
      <c r="B92" s="4" t="str">
        <f>TEXT(IF(ROW(A90)&gt;MAX(Main!$C$4:$C$1048576),"",INDEX(Main!Q$4:Q$1048576,MATCH(ROW(A90),Main!$C$4:$C$1048576,0))), "yyyy/m/d")</f>
        <v/>
      </c>
      <c r="C92" s="1" t="str">
        <f>IF(IF(ROW(A90)&gt;MAX(Main!$C$4:$C$1048576),"",INDEX(Main!G$4:G$1048576,MATCH(ROW(A90),Main!$C$4:$C$1048576,0)))="",IF(B92="","",C91),IF(ROW(A90)&gt;MAX(Main!$C$4:$C$1048576),"",INDEX(Main!G$4:G$1048576,MATCH(ROW(A90),Main!$C$4:$C$1048576,0))))</f>
        <v/>
      </c>
      <c r="D92" s="1" t="str">
        <f>IF(IF(ROW(B90)&gt;MAX(Main!$C$4:$C$1048576),"",INDEX(Main!H$4:H$1048576,MATCH(ROW(B90),Main!$C$4:$C$1048576,0)))="",IF(C92="","",D91),IF(ROW(B90)&gt;MAX(Main!$C$4:$C$1048576),"",INDEX(Main!H$4:H$1048576,MATCH(ROW(B90),Main!$C$4:$C$1048576,0))))</f>
        <v/>
      </c>
      <c r="E92" s="1" t="str">
        <f>IF(IF(ROW(C90)&gt;MAX(Main!$C$4:$C$1048576),"",INDEX(Main!I$4:I$1048576,MATCH(ROW(C90),Main!$C$4:$C$1048576,0)))="",IF(D92="","",E91),IF(ROW(C90)&gt;MAX(Main!$C$4:$C$1048576),"",INDEX(Main!I$4:I$1048576,MATCH(ROW(C90),Main!$C$4:$C$1048576,0))))</f>
        <v/>
      </c>
      <c r="F92" s="1" t="str">
        <f t="shared" si="3"/>
        <v/>
      </c>
      <c r="G92" s="1" t="str">
        <f>IF(IF(ROW(D90)&gt;MAX(Main!$C$4:$C$1048576),"",INDEX(Main!J$4:J$1048576,MATCH(ROW(D90),Main!$C$4:$C$1048576,0)))="",IF(E92="","",G91),IF(ROW(D90)&gt;MAX(Main!$C$4:$C$1048576),"",INDEX(Main!J$4:J$1048576,MATCH(ROW(D90),Main!$C$4:$C$1048576,0))))</f>
        <v/>
      </c>
      <c r="H92" s="10" t="str">
        <f>IF(ROW(G90)&gt;MAX(Main!$C$4:$C$1048576),"",INDEX(Main!K$4:K$1048576,MATCH(ROW(G90),Main!$C$4:$C$1048576,0)))</f>
        <v/>
      </c>
      <c r="I92" s="1" t="str">
        <f>IF(H92&lt;&gt;"",IF(ROW(G90)&gt;MAX(Main!$C$4:$C$1048576),"",INDEX(Main!N$4:N$1048576,MATCH(ROW(G90),Main!$C$4:$C$1048576,0))),"")</f>
        <v/>
      </c>
      <c r="J92" s="1" t="str">
        <f>IF(IF(ROW(H90)&gt;MAX(Main!$C$4:$C$1048576),"",INDEX(Main!O$4:O$1048576,MATCH(ROW(H90),Main!$C$4:$C$1048576,0)))="",IF(I92="","",J91),IF(ROW(H90)&gt;MAX(Main!$C$4:$C$1048576),"",INDEX(Main!O$4:O$1048576,MATCH(ROW(H90),Main!$C$4:$C$1048576,0))))</f>
        <v/>
      </c>
      <c r="K92" s="27" t="str">
        <f t="shared" si="4"/>
        <v>例目</v>
      </c>
      <c r="M92" s="4" t="str">
        <f>TEXT(IF(ROW(A90)&gt;MAX(Main!$D$4:$D$1048576),"",INDEX(Main!Q$4:Q$1048576,MATCH(ROW(A90),Main!$D$4:$D$1048576,0))), "yyyy/m/d")</f>
        <v/>
      </c>
      <c r="N92" s="1" t="str">
        <f>IF(IF(ROW(A90)&gt;MAX(Main!$D$4:$D$1048576),"",INDEX(Main!G$4:G$1048576,MATCH(ROW(A90),Main!$D$4:$D$1048576,0)))="",IF(M92="","",N91),IF(ROW(A90)&gt;MAX(Main!$D$4:$D$1048576),"",INDEX(Main!G$4:G$1048576,MATCH(ROW(A90),Main!$D$4:$D$1048576,0))))</f>
        <v/>
      </c>
      <c r="O92" s="1" t="str">
        <f>IF(IF(ROW(B90)&gt;MAX(Main!$D$4:$D$1048576),"",INDEX(Main!H$4:H$1048576,MATCH(ROW(B90),Main!$D$4:$D$1048576,0)))="",IF(N92="","",O91),IF(ROW(B90)&gt;MAX(Main!$D$4:$D$1048576),"",INDEX(Main!H$4:H$1048576,MATCH(ROW(B90),Main!$D$4:$D$1048576,0))))</f>
        <v/>
      </c>
      <c r="P92" s="1" t="str">
        <f>IF(IF(ROW(C90)&gt;MAX(Main!$D$4:$D$1048576),"",INDEX(Main!I$4:I$1048576,MATCH(ROW(C90),Main!$D$4:$D$1048576,0)))="",IF(O92="","",P91),IF(ROW(C90)&gt;MAX(Main!$D$4:$D$1048576),"",INDEX(Main!I$4:I$1048576,MATCH(ROW(C90),Main!$D$4:$D$1048576,0))))</f>
        <v/>
      </c>
      <c r="Q92" s="1" t="str">
        <f t="shared" si="5"/>
        <v/>
      </c>
      <c r="R92" s="1" t="str">
        <f>IF(IF(ROW(D90)&gt;MAX(Main!$D$4:$D$1048576),"",INDEX(Main!J$4:J$1048576,MATCH(ROW(D90),Main!$D$4:$D$1048576,0)))="",IF(P92="","",R91),IF(ROW(D90)&gt;MAX(Main!$D$4:$D$1048576),"",INDEX(Main!J$4:J$1048576,MATCH(ROW(D90),Main!$D$4:$D$1048576,0))))</f>
        <v/>
      </c>
      <c r="S92" s="9" t="str">
        <f>IF(ROW(G90)&gt;MAX(Main!$D$4:$D$1048576),"",INDEX(Main!K$4:K$1048576,MATCH(ROW(G90),Main!$D$4:$D$1048576,0)))</f>
        <v/>
      </c>
      <c r="T92" s="1" t="str">
        <f>IF(S92&lt;&gt;"",IF(ROW(G90)&gt;MAX(Main!$D$4:$D$1048576),"",INDEX(Main!N$4:N$1048576,MATCH(ROW(G90),Main!$D$4:$D$1048576,0))),"")</f>
        <v/>
      </c>
      <c r="U92" s="1" t="str">
        <f>IF(IF(ROW(H90)&gt;MAX(Main!$D$4:$D$1048576),"",INDEX(Main!O$4:O$1048576,MATCH(ROW(H90),Main!$D$4:$D$1048576,0)))="",IF(T92="","",U91),IF(ROW(H90)&gt;MAX(Main!$D$4:$D$1048576),"",INDEX(Main!O$4:O$1048576,MATCH(ROW(H90),Main!$D$4:$D$1048576,0))))</f>
        <v/>
      </c>
    </row>
    <row r="93" spans="1:21" x14ac:dyDescent="0.4">
      <c r="A93" t="s">
        <v>21</v>
      </c>
      <c r="B93" s="4" t="str">
        <f>TEXT(IF(ROW(A91)&gt;MAX(Main!$C$4:$C$1048576),"",INDEX(Main!Q$4:Q$1048576,MATCH(ROW(A91),Main!$C$4:$C$1048576,0))), "yyyy/m/d")</f>
        <v/>
      </c>
      <c r="C93" s="1" t="str">
        <f>IF(IF(ROW(A91)&gt;MAX(Main!$C$4:$C$1048576),"",INDEX(Main!G$4:G$1048576,MATCH(ROW(A91),Main!$C$4:$C$1048576,0)))="",IF(B93="","",C92),IF(ROW(A91)&gt;MAX(Main!$C$4:$C$1048576),"",INDEX(Main!G$4:G$1048576,MATCH(ROW(A91),Main!$C$4:$C$1048576,0))))</f>
        <v/>
      </c>
      <c r="D93" s="1" t="str">
        <f>IF(IF(ROW(B91)&gt;MAX(Main!$C$4:$C$1048576),"",INDEX(Main!H$4:H$1048576,MATCH(ROW(B91),Main!$C$4:$C$1048576,0)))="",IF(C93="","",D92),IF(ROW(B91)&gt;MAX(Main!$C$4:$C$1048576),"",INDEX(Main!H$4:H$1048576,MATCH(ROW(B91),Main!$C$4:$C$1048576,0))))</f>
        <v/>
      </c>
      <c r="E93" s="1" t="str">
        <f>IF(IF(ROW(C91)&gt;MAX(Main!$C$4:$C$1048576),"",INDEX(Main!I$4:I$1048576,MATCH(ROW(C91),Main!$C$4:$C$1048576,0)))="",IF(D93="","",E92),IF(ROW(C91)&gt;MAX(Main!$C$4:$C$1048576),"",INDEX(Main!I$4:I$1048576,MATCH(ROW(C91),Main!$C$4:$C$1048576,0))))</f>
        <v/>
      </c>
      <c r="F93" s="1" t="str">
        <f t="shared" si="3"/>
        <v/>
      </c>
      <c r="G93" s="1" t="str">
        <f>IF(IF(ROW(D91)&gt;MAX(Main!$C$4:$C$1048576),"",INDEX(Main!J$4:J$1048576,MATCH(ROW(D91),Main!$C$4:$C$1048576,0)))="",IF(E93="","",G92),IF(ROW(D91)&gt;MAX(Main!$C$4:$C$1048576),"",INDEX(Main!J$4:J$1048576,MATCH(ROW(D91),Main!$C$4:$C$1048576,0))))</f>
        <v/>
      </c>
      <c r="H93" s="10" t="str">
        <f>IF(ROW(G91)&gt;MAX(Main!$C$4:$C$1048576),"",INDEX(Main!K$4:K$1048576,MATCH(ROW(G91),Main!$C$4:$C$1048576,0)))</f>
        <v/>
      </c>
      <c r="I93" s="1" t="str">
        <f>IF(H93&lt;&gt;"",IF(ROW(G91)&gt;MAX(Main!$C$4:$C$1048576),"",INDEX(Main!N$4:N$1048576,MATCH(ROW(G91),Main!$C$4:$C$1048576,0))),"")</f>
        <v/>
      </c>
      <c r="J93" s="1" t="str">
        <f>IF(IF(ROW(H91)&gt;MAX(Main!$C$4:$C$1048576),"",INDEX(Main!O$4:O$1048576,MATCH(ROW(H91),Main!$C$4:$C$1048576,0)))="",IF(I93="","",J92),IF(ROW(H91)&gt;MAX(Main!$C$4:$C$1048576),"",INDEX(Main!O$4:O$1048576,MATCH(ROW(H91),Main!$C$4:$C$1048576,0))))</f>
        <v/>
      </c>
      <c r="K93" s="27" t="str">
        <f t="shared" si="4"/>
        <v>例目</v>
      </c>
      <c r="M93" s="4" t="str">
        <f>TEXT(IF(ROW(A91)&gt;MAX(Main!$D$4:$D$1048576),"",INDEX(Main!Q$4:Q$1048576,MATCH(ROW(A91),Main!$D$4:$D$1048576,0))), "yyyy/m/d")</f>
        <v/>
      </c>
      <c r="N93" s="1" t="str">
        <f>IF(IF(ROW(A91)&gt;MAX(Main!$D$4:$D$1048576),"",INDEX(Main!G$4:G$1048576,MATCH(ROW(A91),Main!$D$4:$D$1048576,0)))="",IF(M93="","",N92),IF(ROW(A91)&gt;MAX(Main!$D$4:$D$1048576),"",INDEX(Main!G$4:G$1048576,MATCH(ROW(A91),Main!$D$4:$D$1048576,0))))</f>
        <v/>
      </c>
      <c r="O93" s="1" t="str">
        <f>IF(IF(ROW(B91)&gt;MAX(Main!$D$4:$D$1048576),"",INDEX(Main!H$4:H$1048576,MATCH(ROW(B91),Main!$D$4:$D$1048576,0)))="",IF(N93="","",O92),IF(ROW(B91)&gt;MAX(Main!$D$4:$D$1048576),"",INDEX(Main!H$4:H$1048576,MATCH(ROW(B91),Main!$D$4:$D$1048576,0))))</f>
        <v/>
      </c>
      <c r="P93" s="1" t="str">
        <f>IF(IF(ROW(C91)&gt;MAX(Main!$D$4:$D$1048576),"",INDEX(Main!I$4:I$1048576,MATCH(ROW(C91),Main!$D$4:$D$1048576,0)))="",IF(O93="","",P92),IF(ROW(C91)&gt;MAX(Main!$D$4:$D$1048576),"",INDEX(Main!I$4:I$1048576,MATCH(ROW(C91),Main!$D$4:$D$1048576,0))))</f>
        <v/>
      </c>
      <c r="Q93" s="1" t="str">
        <f t="shared" si="5"/>
        <v/>
      </c>
      <c r="R93" s="1" t="str">
        <f>IF(IF(ROW(D91)&gt;MAX(Main!$D$4:$D$1048576),"",INDEX(Main!J$4:J$1048576,MATCH(ROW(D91),Main!$D$4:$D$1048576,0)))="",IF(P93="","",R92),IF(ROW(D91)&gt;MAX(Main!$D$4:$D$1048576),"",INDEX(Main!J$4:J$1048576,MATCH(ROW(D91),Main!$D$4:$D$1048576,0))))</f>
        <v/>
      </c>
      <c r="S93" s="9" t="str">
        <f>IF(ROW(G91)&gt;MAX(Main!$D$4:$D$1048576),"",INDEX(Main!K$4:K$1048576,MATCH(ROW(G91),Main!$D$4:$D$1048576,0)))</f>
        <v/>
      </c>
      <c r="T93" s="1" t="str">
        <f>IF(S93&lt;&gt;"",IF(ROW(G91)&gt;MAX(Main!$D$4:$D$1048576),"",INDEX(Main!N$4:N$1048576,MATCH(ROW(G91),Main!$D$4:$D$1048576,0))),"")</f>
        <v/>
      </c>
      <c r="U93" s="1" t="str">
        <f>IF(IF(ROW(H91)&gt;MAX(Main!$D$4:$D$1048576),"",INDEX(Main!O$4:O$1048576,MATCH(ROW(H91),Main!$D$4:$D$1048576,0)))="",IF(T93="","",U92),IF(ROW(H91)&gt;MAX(Main!$D$4:$D$1048576),"",INDEX(Main!O$4:O$1048576,MATCH(ROW(H91),Main!$D$4:$D$1048576,0))))</f>
        <v/>
      </c>
    </row>
    <row r="94" spans="1:21" x14ac:dyDescent="0.4">
      <c r="A94" t="s">
        <v>21</v>
      </c>
      <c r="B94" s="4" t="str">
        <f>TEXT(IF(ROW(A92)&gt;MAX(Main!$C$4:$C$1048576),"",INDEX(Main!Q$4:Q$1048576,MATCH(ROW(A92),Main!$C$4:$C$1048576,0))), "yyyy/m/d")</f>
        <v/>
      </c>
      <c r="C94" s="1" t="str">
        <f>IF(IF(ROW(A92)&gt;MAX(Main!$C$4:$C$1048576),"",INDEX(Main!G$4:G$1048576,MATCH(ROW(A92),Main!$C$4:$C$1048576,0)))="",IF(B94="","",C93),IF(ROW(A92)&gt;MAX(Main!$C$4:$C$1048576),"",INDEX(Main!G$4:G$1048576,MATCH(ROW(A92),Main!$C$4:$C$1048576,0))))</f>
        <v/>
      </c>
      <c r="D94" s="1" t="str">
        <f>IF(IF(ROW(B92)&gt;MAX(Main!$C$4:$C$1048576),"",INDEX(Main!H$4:H$1048576,MATCH(ROW(B92),Main!$C$4:$C$1048576,0)))="",IF(C94="","",D93),IF(ROW(B92)&gt;MAX(Main!$C$4:$C$1048576),"",INDEX(Main!H$4:H$1048576,MATCH(ROW(B92),Main!$C$4:$C$1048576,0))))</f>
        <v/>
      </c>
      <c r="E94" s="1" t="str">
        <f>IF(IF(ROW(C92)&gt;MAX(Main!$C$4:$C$1048576),"",INDEX(Main!I$4:I$1048576,MATCH(ROW(C92),Main!$C$4:$C$1048576,0)))="",IF(D94="","",E93),IF(ROW(C92)&gt;MAX(Main!$C$4:$C$1048576),"",INDEX(Main!I$4:I$1048576,MATCH(ROW(C92),Main!$C$4:$C$1048576,0))))</f>
        <v/>
      </c>
      <c r="F94" s="1" t="str">
        <f t="shared" si="3"/>
        <v/>
      </c>
      <c r="G94" s="1" t="str">
        <f>IF(IF(ROW(D92)&gt;MAX(Main!$C$4:$C$1048576),"",INDEX(Main!J$4:J$1048576,MATCH(ROW(D92),Main!$C$4:$C$1048576,0)))="",IF(E94="","",G93),IF(ROW(D92)&gt;MAX(Main!$C$4:$C$1048576),"",INDEX(Main!J$4:J$1048576,MATCH(ROW(D92),Main!$C$4:$C$1048576,0))))</f>
        <v/>
      </c>
      <c r="H94" s="10" t="str">
        <f>IF(ROW(G92)&gt;MAX(Main!$C$4:$C$1048576),"",INDEX(Main!K$4:K$1048576,MATCH(ROW(G92),Main!$C$4:$C$1048576,0)))</f>
        <v/>
      </c>
      <c r="I94" s="1" t="str">
        <f>IF(H94&lt;&gt;"",IF(ROW(G92)&gt;MAX(Main!$C$4:$C$1048576),"",INDEX(Main!N$4:N$1048576,MATCH(ROW(G92),Main!$C$4:$C$1048576,0))),"")</f>
        <v/>
      </c>
      <c r="J94" s="1" t="str">
        <f>IF(IF(ROW(H92)&gt;MAX(Main!$C$4:$C$1048576),"",INDEX(Main!O$4:O$1048576,MATCH(ROW(H92),Main!$C$4:$C$1048576,0)))="",IF(I94="","",J93),IF(ROW(H92)&gt;MAX(Main!$C$4:$C$1048576),"",INDEX(Main!O$4:O$1048576,MATCH(ROW(H92),Main!$C$4:$C$1048576,0))))</f>
        <v/>
      </c>
      <c r="K94" s="27" t="str">
        <f t="shared" si="4"/>
        <v>例目</v>
      </c>
      <c r="M94" s="4" t="str">
        <f>TEXT(IF(ROW(A92)&gt;MAX(Main!$D$4:$D$1048576),"",INDEX(Main!Q$4:Q$1048576,MATCH(ROW(A92),Main!$D$4:$D$1048576,0))), "yyyy/m/d")</f>
        <v/>
      </c>
      <c r="N94" s="1" t="str">
        <f>IF(IF(ROW(A92)&gt;MAX(Main!$D$4:$D$1048576),"",INDEX(Main!G$4:G$1048576,MATCH(ROW(A92),Main!$D$4:$D$1048576,0)))="",IF(M94="","",N93),IF(ROW(A92)&gt;MAX(Main!$D$4:$D$1048576),"",INDEX(Main!G$4:G$1048576,MATCH(ROW(A92),Main!$D$4:$D$1048576,0))))</f>
        <v/>
      </c>
      <c r="O94" s="1" t="str">
        <f>IF(IF(ROW(B92)&gt;MAX(Main!$D$4:$D$1048576),"",INDEX(Main!H$4:H$1048576,MATCH(ROW(B92),Main!$D$4:$D$1048576,0)))="",IF(N94="","",O93),IF(ROW(B92)&gt;MAX(Main!$D$4:$D$1048576),"",INDEX(Main!H$4:H$1048576,MATCH(ROW(B92),Main!$D$4:$D$1048576,0))))</f>
        <v/>
      </c>
      <c r="P94" s="1" t="str">
        <f>IF(IF(ROW(C92)&gt;MAX(Main!$D$4:$D$1048576),"",INDEX(Main!I$4:I$1048576,MATCH(ROW(C92),Main!$D$4:$D$1048576,0)))="",IF(O94="","",P93),IF(ROW(C92)&gt;MAX(Main!$D$4:$D$1048576),"",INDEX(Main!I$4:I$1048576,MATCH(ROW(C92),Main!$D$4:$D$1048576,0))))</f>
        <v/>
      </c>
      <c r="Q94" s="1" t="str">
        <f t="shared" si="5"/>
        <v/>
      </c>
      <c r="R94" s="1" t="str">
        <f>IF(IF(ROW(D92)&gt;MAX(Main!$D$4:$D$1048576),"",INDEX(Main!J$4:J$1048576,MATCH(ROW(D92),Main!$D$4:$D$1048576,0)))="",IF(P94="","",R93),IF(ROW(D92)&gt;MAX(Main!$D$4:$D$1048576),"",INDEX(Main!J$4:J$1048576,MATCH(ROW(D92),Main!$D$4:$D$1048576,0))))</f>
        <v/>
      </c>
      <c r="S94" s="9" t="str">
        <f>IF(ROW(G92)&gt;MAX(Main!$D$4:$D$1048576),"",INDEX(Main!K$4:K$1048576,MATCH(ROW(G92),Main!$D$4:$D$1048576,0)))</f>
        <v/>
      </c>
      <c r="T94" s="1" t="str">
        <f>IF(S94&lt;&gt;"",IF(ROW(G92)&gt;MAX(Main!$D$4:$D$1048576),"",INDEX(Main!N$4:N$1048576,MATCH(ROW(G92),Main!$D$4:$D$1048576,0))),"")</f>
        <v/>
      </c>
      <c r="U94" s="1" t="str">
        <f>IF(IF(ROW(H92)&gt;MAX(Main!$D$4:$D$1048576),"",INDEX(Main!O$4:O$1048576,MATCH(ROW(H92),Main!$D$4:$D$1048576,0)))="",IF(T94="","",U93),IF(ROW(H92)&gt;MAX(Main!$D$4:$D$1048576),"",INDEX(Main!O$4:O$1048576,MATCH(ROW(H92),Main!$D$4:$D$1048576,0))))</f>
        <v/>
      </c>
    </row>
    <row r="95" spans="1:21" x14ac:dyDescent="0.4">
      <c r="A95" t="s">
        <v>21</v>
      </c>
      <c r="B95" s="4" t="str">
        <f>TEXT(IF(ROW(A93)&gt;MAX(Main!$C$4:$C$1048576),"",INDEX(Main!Q$4:Q$1048576,MATCH(ROW(A93),Main!$C$4:$C$1048576,0))), "yyyy/m/d")</f>
        <v/>
      </c>
      <c r="C95" s="1" t="str">
        <f>IF(IF(ROW(A93)&gt;MAX(Main!$C$4:$C$1048576),"",INDEX(Main!G$4:G$1048576,MATCH(ROW(A93),Main!$C$4:$C$1048576,0)))="",IF(B95="","",C94),IF(ROW(A93)&gt;MAX(Main!$C$4:$C$1048576),"",INDEX(Main!G$4:G$1048576,MATCH(ROW(A93),Main!$C$4:$C$1048576,0))))</f>
        <v/>
      </c>
      <c r="D95" s="1" t="str">
        <f>IF(IF(ROW(B93)&gt;MAX(Main!$C$4:$C$1048576),"",INDEX(Main!H$4:H$1048576,MATCH(ROW(B93),Main!$C$4:$C$1048576,0)))="",IF(C95="","",D94),IF(ROW(B93)&gt;MAX(Main!$C$4:$C$1048576),"",INDEX(Main!H$4:H$1048576,MATCH(ROW(B93),Main!$C$4:$C$1048576,0))))</f>
        <v/>
      </c>
      <c r="E95" s="1" t="str">
        <f>IF(IF(ROW(C93)&gt;MAX(Main!$C$4:$C$1048576),"",INDEX(Main!I$4:I$1048576,MATCH(ROW(C93),Main!$C$4:$C$1048576,0)))="",IF(D95="","",E94),IF(ROW(C93)&gt;MAX(Main!$C$4:$C$1048576),"",INDEX(Main!I$4:I$1048576,MATCH(ROW(C93),Main!$C$4:$C$1048576,0))))</f>
        <v/>
      </c>
      <c r="F95" s="1" t="str">
        <f t="shared" si="3"/>
        <v/>
      </c>
      <c r="G95" s="1" t="str">
        <f>IF(IF(ROW(D93)&gt;MAX(Main!$C$4:$C$1048576),"",INDEX(Main!J$4:J$1048576,MATCH(ROW(D93),Main!$C$4:$C$1048576,0)))="",IF(E95="","",G94),IF(ROW(D93)&gt;MAX(Main!$C$4:$C$1048576),"",INDEX(Main!J$4:J$1048576,MATCH(ROW(D93),Main!$C$4:$C$1048576,0))))</f>
        <v/>
      </c>
      <c r="H95" s="10" t="str">
        <f>IF(ROW(G93)&gt;MAX(Main!$C$4:$C$1048576),"",INDEX(Main!K$4:K$1048576,MATCH(ROW(G93),Main!$C$4:$C$1048576,0)))</f>
        <v/>
      </c>
      <c r="I95" s="1" t="str">
        <f>IF(H95&lt;&gt;"",IF(ROW(G93)&gt;MAX(Main!$C$4:$C$1048576),"",INDEX(Main!N$4:N$1048576,MATCH(ROW(G93),Main!$C$4:$C$1048576,0))),"")</f>
        <v/>
      </c>
      <c r="J95" s="1" t="str">
        <f>IF(IF(ROW(H93)&gt;MAX(Main!$C$4:$C$1048576),"",INDEX(Main!O$4:O$1048576,MATCH(ROW(H93),Main!$C$4:$C$1048576,0)))="",IF(I95="","",J94),IF(ROW(H93)&gt;MAX(Main!$C$4:$C$1048576),"",INDEX(Main!O$4:O$1048576,MATCH(ROW(H93),Main!$C$4:$C$1048576,0))))</f>
        <v/>
      </c>
      <c r="K95" s="27" t="str">
        <f t="shared" si="4"/>
        <v>例目</v>
      </c>
      <c r="M95" s="4" t="str">
        <f>TEXT(IF(ROW(A93)&gt;MAX(Main!$D$4:$D$1048576),"",INDEX(Main!Q$4:Q$1048576,MATCH(ROW(A93),Main!$D$4:$D$1048576,0))), "yyyy/m/d")</f>
        <v/>
      </c>
      <c r="N95" s="1" t="str">
        <f>IF(IF(ROW(A93)&gt;MAX(Main!$D$4:$D$1048576),"",INDEX(Main!G$4:G$1048576,MATCH(ROW(A93),Main!$D$4:$D$1048576,0)))="",IF(M95="","",N94),IF(ROW(A93)&gt;MAX(Main!$D$4:$D$1048576),"",INDEX(Main!G$4:G$1048576,MATCH(ROW(A93),Main!$D$4:$D$1048576,0))))</f>
        <v/>
      </c>
      <c r="O95" s="1" t="str">
        <f>IF(IF(ROW(B93)&gt;MAX(Main!$D$4:$D$1048576),"",INDEX(Main!H$4:H$1048576,MATCH(ROW(B93),Main!$D$4:$D$1048576,0)))="",IF(N95="","",O94),IF(ROW(B93)&gt;MAX(Main!$D$4:$D$1048576),"",INDEX(Main!H$4:H$1048576,MATCH(ROW(B93),Main!$D$4:$D$1048576,0))))</f>
        <v/>
      </c>
      <c r="P95" s="1" t="str">
        <f>IF(IF(ROW(C93)&gt;MAX(Main!$D$4:$D$1048576),"",INDEX(Main!I$4:I$1048576,MATCH(ROW(C93),Main!$D$4:$D$1048576,0)))="",IF(O95="","",P94),IF(ROW(C93)&gt;MAX(Main!$D$4:$D$1048576),"",INDEX(Main!I$4:I$1048576,MATCH(ROW(C93),Main!$D$4:$D$1048576,0))))</f>
        <v/>
      </c>
      <c r="Q95" s="1" t="str">
        <f t="shared" si="5"/>
        <v/>
      </c>
      <c r="R95" s="1" t="str">
        <f>IF(IF(ROW(D93)&gt;MAX(Main!$D$4:$D$1048576),"",INDEX(Main!J$4:J$1048576,MATCH(ROW(D93),Main!$D$4:$D$1048576,0)))="",IF(P95="","",R94),IF(ROW(D93)&gt;MAX(Main!$D$4:$D$1048576),"",INDEX(Main!J$4:J$1048576,MATCH(ROW(D93),Main!$D$4:$D$1048576,0))))</f>
        <v/>
      </c>
      <c r="S95" s="9" t="str">
        <f>IF(ROW(G93)&gt;MAX(Main!$D$4:$D$1048576),"",INDEX(Main!K$4:K$1048576,MATCH(ROW(G93),Main!$D$4:$D$1048576,0)))</f>
        <v/>
      </c>
      <c r="T95" s="1" t="str">
        <f>IF(S95&lt;&gt;"",IF(ROW(G93)&gt;MAX(Main!$D$4:$D$1048576),"",INDEX(Main!N$4:N$1048576,MATCH(ROW(G93),Main!$D$4:$D$1048576,0))),"")</f>
        <v/>
      </c>
      <c r="U95" s="1" t="str">
        <f>IF(IF(ROW(H93)&gt;MAX(Main!$D$4:$D$1048576),"",INDEX(Main!O$4:O$1048576,MATCH(ROW(H93),Main!$D$4:$D$1048576,0)))="",IF(T95="","",U94),IF(ROW(H93)&gt;MAX(Main!$D$4:$D$1048576),"",INDEX(Main!O$4:O$1048576,MATCH(ROW(H93),Main!$D$4:$D$1048576,0))))</f>
        <v/>
      </c>
    </row>
    <row r="96" spans="1:21" x14ac:dyDescent="0.4">
      <c r="A96" t="s">
        <v>21</v>
      </c>
      <c r="B96" s="4" t="str">
        <f>TEXT(IF(ROW(A94)&gt;MAX(Main!$C$4:$C$1048576),"",INDEX(Main!Q$4:Q$1048576,MATCH(ROW(A94),Main!$C$4:$C$1048576,0))), "yyyy/m/d")</f>
        <v/>
      </c>
      <c r="C96" s="1" t="str">
        <f>IF(IF(ROW(A94)&gt;MAX(Main!$C$4:$C$1048576),"",INDEX(Main!G$4:G$1048576,MATCH(ROW(A94),Main!$C$4:$C$1048576,0)))="",IF(B96="","",C95),IF(ROW(A94)&gt;MAX(Main!$C$4:$C$1048576),"",INDEX(Main!G$4:G$1048576,MATCH(ROW(A94),Main!$C$4:$C$1048576,0))))</f>
        <v/>
      </c>
      <c r="D96" s="1" t="str">
        <f>IF(IF(ROW(B94)&gt;MAX(Main!$C$4:$C$1048576),"",INDEX(Main!H$4:H$1048576,MATCH(ROW(B94),Main!$C$4:$C$1048576,0)))="",IF(C96="","",D95),IF(ROW(B94)&gt;MAX(Main!$C$4:$C$1048576),"",INDEX(Main!H$4:H$1048576,MATCH(ROW(B94),Main!$C$4:$C$1048576,0))))</f>
        <v/>
      </c>
      <c r="E96" s="1" t="str">
        <f>IF(IF(ROW(C94)&gt;MAX(Main!$C$4:$C$1048576),"",INDEX(Main!I$4:I$1048576,MATCH(ROW(C94),Main!$C$4:$C$1048576,0)))="",IF(D96="","",E95),IF(ROW(C94)&gt;MAX(Main!$C$4:$C$1048576),"",INDEX(Main!I$4:I$1048576,MATCH(ROW(C94),Main!$C$4:$C$1048576,0))))</f>
        <v/>
      </c>
      <c r="F96" s="1" t="str">
        <f t="shared" si="3"/>
        <v/>
      </c>
      <c r="G96" s="1" t="str">
        <f>IF(IF(ROW(D94)&gt;MAX(Main!$C$4:$C$1048576),"",INDEX(Main!J$4:J$1048576,MATCH(ROW(D94),Main!$C$4:$C$1048576,0)))="",IF(E96="","",G95),IF(ROW(D94)&gt;MAX(Main!$C$4:$C$1048576),"",INDEX(Main!J$4:J$1048576,MATCH(ROW(D94),Main!$C$4:$C$1048576,0))))</f>
        <v/>
      </c>
      <c r="H96" s="10" t="str">
        <f>IF(ROW(G94)&gt;MAX(Main!$C$4:$C$1048576),"",INDEX(Main!K$4:K$1048576,MATCH(ROW(G94),Main!$C$4:$C$1048576,0)))</f>
        <v/>
      </c>
      <c r="I96" s="1" t="str">
        <f>IF(H96&lt;&gt;"",IF(ROW(G94)&gt;MAX(Main!$C$4:$C$1048576),"",INDEX(Main!N$4:N$1048576,MATCH(ROW(G94),Main!$C$4:$C$1048576,0))),"")</f>
        <v/>
      </c>
      <c r="J96" s="1" t="str">
        <f>IF(IF(ROW(H94)&gt;MAX(Main!$C$4:$C$1048576),"",INDEX(Main!O$4:O$1048576,MATCH(ROW(H94),Main!$C$4:$C$1048576,0)))="",IF(I96="","",J95),IF(ROW(H94)&gt;MAX(Main!$C$4:$C$1048576),"",INDEX(Main!O$4:O$1048576,MATCH(ROW(H94),Main!$C$4:$C$1048576,0))))</f>
        <v/>
      </c>
      <c r="K96" s="27" t="str">
        <f t="shared" si="4"/>
        <v>例目</v>
      </c>
      <c r="M96" s="4" t="str">
        <f>TEXT(IF(ROW(A94)&gt;MAX(Main!$D$4:$D$1048576),"",INDEX(Main!Q$4:Q$1048576,MATCH(ROW(A94),Main!$D$4:$D$1048576,0))), "yyyy/m/d")</f>
        <v/>
      </c>
      <c r="N96" s="1" t="str">
        <f>IF(IF(ROW(A94)&gt;MAX(Main!$D$4:$D$1048576),"",INDEX(Main!G$4:G$1048576,MATCH(ROW(A94),Main!$D$4:$D$1048576,0)))="",IF(M96="","",N95),IF(ROW(A94)&gt;MAX(Main!$D$4:$D$1048576),"",INDEX(Main!G$4:G$1048576,MATCH(ROW(A94),Main!$D$4:$D$1048576,0))))</f>
        <v/>
      </c>
      <c r="O96" s="1" t="str">
        <f>IF(IF(ROW(B94)&gt;MAX(Main!$D$4:$D$1048576),"",INDEX(Main!H$4:H$1048576,MATCH(ROW(B94),Main!$D$4:$D$1048576,0)))="",IF(N96="","",O95),IF(ROW(B94)&gt;MAX(Main!$D$4:$D$1048576),"",INDEX(Main!H$4:H$1048576,MATCH(ROW(B94),Main!$D$4:$D$1048576,0))))</f>
        <v/>
      </c>
      <c r="P96" s="1" t="str">
        <f>IF(IF(ROW(C94)&gt;MAX(Main!$D$4:$D$1048576),"",INDEX(Main!I$4:I$1048576,MATCH(ROW(C94),Main!$D$4:$D$1048576,0)))="",IF(O96="","",P95),IF(ROW(C94)&gt;MAX(Main!$D$4:$D$1048576),"",INDEX(Main!I$4:I$1048576,MATCH(ROW(C94),Main!$D$4:$D$1048576,0))))</f>
        <v/>
      </c>
      <c r="Q96" s="1" t="str">
        <f t="shared" si="5"/>
        <v/>
      </c>
      <c r="R96" s="1" t="str">
        <f>IF(IF(ROW(D94)&gt;MAX(Main!$D$4:$D$1048576),"",INDEX(Main!J$4:J$1048576,MATCH(ROW(D94),Main!$D$4:$D$1048576,0)))="",IF(P96="","",R95),IF(ROW(D94)&gt;MAX(Main!$D$4:$D$1048576),"",INDEX(Main!J$4:J$1048576,MATCH(ROW(D94),Main!$D$4:$D$1048576,0))))</f>
        <v/>
      </c>
      <c r="S96" s="9" t="str">
        <f>IF(ROW(G94)&gt;MAX(Main!$D$4:$D$1048576),"",INDEX(Main!K$4:K$1048576,MATCH(ROW(G94),Main!$D$4:$D$1048576,0)))</f>
        <v/>
      </c>
      <c r="T96" s="1" t="str">
        <f>IF(S96&lt;&gt;"",IF(ROW(G94)&gt;MAX(Main!$D$4:$D$1048576),"",INDEX(Main!N$4:N$1048576,MATCH(ROW(G94),Main!$D$4:$D$1048576,0))),"")</f>
        <v/>
      </c>
      <c r="U96" s="1" t="str">
        <f>IF(IF(ROW(H94)&gt;MAX(Main!$D$4:$D$1048576),"",INDEX(Main!O$4:O$1048576,MATCH(ROW(H94),Main!$D$4:$D$1048576,0)))="",IF(T96="","",U95),IF(ROW(H94)&gt;MAX(Main!$D$4:$D$1048576),"",INDEX(Main!O$4:O$1048576,MATCH(ROW(H94),Main!$D$4:$D$1048576,0))))</f>
        <v/>
      </c>
    </row>
    <row r="97" spans="1:21" x14ac:dyDescent="0.4">
      <c r="A97" t="s">
        <v>21</v>
      </c>
      <c r="B97" s="4" t="str">
        <f>TEXT(IF(ROW(A95)&gt;MAX(Main!$C$4:$C$1048576),"",INDEX(Main!Q$4:Q$1048576,MATCH(ROW(A95),Main!$C$4:$C$1048576,0))), "yyyy/m/d")</f>
        <v/>
      </c>
      <c r="C97" s="1" t="str">
        <f>IF(IF(ROW(A95)&gt;MAX(Main!$C$4:$C$1048576),"",INDEX(Main!G$4:G$1048576,MATCH(ROW(A95),Main!$C$4:$C$1048576,0)))="",IF(B97="","",C96),IF(ROW(A95)&gt;MAX(Main!$C$4:$C$1048576),"",INDEX(Main!G$4:G$1048576,MATCH(ROW(A95),Main!$C$4:$C$1048576,0))))</f>
        <v/>
      </c>
      <c r="D97" s="1" t="str">
        <f>IF(IF(ROW(B95)&gt;MAX(Main!$C$4:$C$1048576),"",INDEX(Main!H$4:H$1048576,MATCH(ROW(B95),Main!$C$4:$C$1048576,0)))="",IF(C97="","",D96),IF(ROW(B95)&gt;MAX(Main!$C$4:$C$1048576),"",INDEX(Main!H$4:H$1048576,MATCH(ROW(B95),Main!$C$4:$C$1048576,0))))</f>
        <v/>
      </c>
      <c r="E97" s="1" t="str">
        <f>IF(IF(ROW(C95)&gt;MAX(Main!$C$4:$C$1048576),"",INDEX(Main!I$4:I$1048576,MATCH(ROW(C95),Main!$C$4:$C$1048576,0)))="",IF(D97="","",E96),IF(ROW(C95)&gt;MAX(Main!$C$4:$C$1048576),"",INDEX(Main!I$4:I$1048576,MATCH(ROW(C95),Main!$C$4:$C$1048576,0))))</f>
        <v/>
      </c>
      <c r="F97" s="1" t="str">
        <f t="shared" si="3"/>
        <v/>
      </c>
      <c r="G97" s="1" t="str">
        <f>IF(IF(ROW(D95)&gt;MAX(Main!$C$4:$C$1048576),"",INDEX(Main!J$4:J$1048576,MATCH(ROW(D95),Main!$C$4:$C$1048576,0)))="",IF(E97="","",G96),IF(ROW(D95)&gt;MAX(Main!$C$4:$C$1048576),"",INDEX(Main!J$4:J$1048576,MATCH(ROW(D95),Main!$C$4:$C$1048576,0))))</f>
        <v/>
      </c>
      <c r="H97" s="10" t="str">
        <f>IF(ROW(G95)&gt;MAX(Main!$C$4:$C$1048576),"",INDEX(Main!K$4:K$1048576,MATCH(ROW(G95),Main!$C$4:$C$1048576,0)))</f>
        <v/>
      </c>
      <c r="I97" s="1" t="str">
        <f>IF(H97&lt;&gt;"",IF(ROW(G95)&gt;MAX(Main!$C$4:$C$1048576),"",INDEX(Main!N$4:N$1048576,MATCH(ROW(G95),Main!$C$4:$C$1048576,0))),"")</f>
        <v/>
      </c>
      <c r="J97" s="1" t="str">
        <f>IF(IF(ROW(H95)&gt;MAX(Main!$C$4:$C$1048576),"",INDEX(Main!O$4:O$1048576,MATCH(ROW(H95),Main!$C$4:$C$1048576,0)))="",IF(I97="","",J96),IF(ROW(H95)&gt;MAX(Main!$C$4:$C$1048576),"",INDEX(Main!O$4:O$1048576,MATCH(ROW(H95),Main!$C$4:$C$1048576,0))))</f>
        <v/>
      </c>
      <c r="K97" s="27" t="str">
        <f t="shared" si="4"/>
        <v>例目</v>
      </c>
      <c r="M97" s="4" t="str">
        <f>TEXT(IF(ROW(A95)&gt;MAX(Main!$D$4:$D$1048576),"",INDEX(Main!Q$4:Q$1048576,MATCH(ROW(A95),Main!$D$4:$D$1048576,0))), "yyyy/m/d")</f>
        <v/>
      </c>
      <c r="N97" s="1" t="str">
        <f>IF(IF(ROW(A95)&gt;MAX(Main!$D$4:$D$1048576),"",INDEX(Main!G$4:G$1048576,MATCH(ROW(A95),Main!$D$4:$D$1048576,0)))="",IF(M97="","",N96),IF(ROW(A95)&gt;MAX(Main!$D$4:$D$1048576),"",INDEX(Main!G$4:G$1048576,MATCH(ROW(A95),Main!$D$4:$D$1048576,0))))</f>
        <v/>
      </c>
      <c r="O97" s="1" t="str">
        <f>IF(IF(ROW(B95)&gt;MAX(Main!$D$4:$D$1048576),"",INDEX(Main!H$4:H$1048576,MATCH(ROW(B95),Main!$D$4:$D$1048576,0)))="",IF(N97="","",O96),IF(ROW(B95)&gt;MAX(Main!$D$4:$D$1048576),"",INDEX(Main!H$4:H$1048576,MATCH(ROW(B95),Main!$D$4:$D$1048576,0))))</f>
        <v/>
      </c>
      <c r="P97" s="1" t="str">
        <f>IF(IF(ROW(C95)&gt;MAX(Main!$D$4:$D$1048576),"",INDEX(Main!I$4:I$1048576,MATCH(ROW(C95),Main!$D$4:$D$1048576,0)))="",IF(O97="","",P96),IF(ROW(C95)&gt;MAX(Main!$D$4:$D$1048576),"",INDEX(Main!I$4:I$1048576,MATCH(ROW(C95),Main!$D$4:$D$1048576,0))))</f>
        <v/>
      </c>
      <c r="Q97" s="1" t="str">
        <f t="shared" si="5"/>
        <v/>
      </c>
      <c r="R97" s="1" t="str">
        <f>IF(IF(ROW(D95)&gt;MAX(Main!$D$4:$D$1048576),"",INDEX(Main!J$4:J$1048576,MATCH(ROW(D95),Main!$D$4:$D$1048576,0)))="",IF(P97="","",R96),IF(ROW(D95)&gt;MAX(Main!$D$4:$D$1048576),"",INDEX(Main!J$4:J$1048576,MATCH(ROW(D95),Main!$D$4:$D$1048576,0))))</f>
        <v/>
      </c>
      <c r="S97" s="9" t="str">
        <f>IF(ROW(G95)&gt;MAX(Main!$D$4:$D$1048576),"",INDEX(Main!K$4:K$1048576,MATCH(ROW(G95),Main!$D$4:$D$1048576,0)))</f>
        <v/>
      </c>
      <c r="T97" s="1" t="str">
        <f>IF(S97&lt;&gt;"",IF(ROW(G95)&gt;MAX(Main!$D$4:$D$1048576),"",INDEX(Main!N$4:N$1048576,MATCH(ROW(G95),Main!$D$4:$D$1048576,0))),"")</f>
        <v/>
      </c>
      <c r="U97" s="1" t="str">
        <f>IF(IF(ROW(H95)&gt;MAX(Main!$D$4:$D$1048576),"",INDEX(Main!O$4:O$1048576,MATCH(ROW(H95),Main!$D$4:$D$1048576,0)))="",IF(T97="","",U96),IF(ROW(H95)&gt;MAX(Main!$D$4:$D$1048576),"",INDEX(Main!O$4:O$1048576,MATCH(ROW(H95),Main!$D$4:$D$1048576,0))))</f>
        <v/>
      </c>
    </row>
    <row r="98" spans="1:21" x14ac:dyDescent="0.4">
      <c r="A98" t="s">
        <v>21</v>
      </c>
      <c r="B98" s="4" t="str">
        <f>TEXT(IF(ROW(A96)&gt;MAX(Main!$C$4:$C$1048576),"",INDEX(Main!Q$4:Q$1048576,MATCH(ROW(A96),Main!$C$4:$C$1048576,0))), "yyyy/m/d")</f>
        <v/>
      </c>
      <c r="C98" s="1" t="str">
        <f>IF(IF(ROW(A96)&gt;MAX(Main!$C$4:$C$1048576),"",INDEX(Main!G$4:G$1048576,MATCH(ROW(A96),Main!$C$4:$C$1048576,0)))="",IF(B98="","",C97),IF(ROW(A96)&gt;MAX(Main!$C$4:$C$1048576),"",INDEX(Main!G$4:G$1048576,MATCH(ROW(A96),Main!$C$4:$C$1048576,0))))</f>
        <v/>
      </c>
      <c r="D98" s="1" t="str">
        <f>IF(IF(ROW(B96)&gt;MAX(Main!$C$4:$C$1048576),"",INDEX(Main!H$4:H$1048576,MATCH(ROW(B96),Main!$C$4:$C$1048576,0)))="",IF(C98="","",D97),IF(ROW(B96)&gt;MAX(Main!$C$4:$C$1048576),"",INDEX(Main!H$4:H$1048576,MATCH(ROW(B96),Main!$C$4:$C$1048576,0))))</f>
        <v/>
      </c>
      <c r="E98" s="1" t="str">
        <f>IF(IF(ROW(C96)&gt;MAX(Main!$C$4:$C$1048576),"",INDEX(Main!I$4:I$1048576,MATCH(ROW(C96),Main!$C$4:$C$1048576,0)))="",IF(D98="","",E97),IF(ROW(C96)&gt;MAX(Main!$C$4:$C$1048576),"",INDEX(Main!I$4:I$1048576,MATCH(ROW(C96),Main!$C$4:$C$1048576,0))))</f>
        <v/>
      </c>
      <c r="F98" s="1" t="str">
        <f t="shared" si="3"/>
        <v/>
      </c>
      <c r="G98" s="1" t="str">
        <f>IF(IF(ROW(D96)&gt;MAX(Main!$C$4:$C$1048576),"",INDEX(Main!J$4:J$1048576,MATCH(ROW(D96),Main!$C$4:$C$1048576,0)))="",IF(E98="","",G97),IF(ROW(D96)&gt;MAX(Main!$C$4:$C$1048576),"",INDEX(Main!J$4:J$1048576,MATCH(ROW(D96),Main!$C$4:$C$1048576,0))))</f>
        <v/>
      </c>
      <c r="H98" s="10" t="str">
        <f>IF(ROW(G96)&gt;MAX(Main!$C$4:$C$1048576),"",INDEX(Main!K$4:K$1048576,MATCH(ROW(G96),Main!$C$4:$C$1048576,0)))</f>
        <v/>
      </c>
      <c r="I98" s="1" t="str">
        <f>IF(H98&lt;&gt;"",IF(ROW(G96)&gt;MAX(Main!$C$4:$C$1048576),"",INDEX(Main!N$4:N$1048576,MATCH(ROW(G96),Main!$C$4:$C$1048576,0))),"")</f>
        <v/>
      </c>
      <c r="J98" s="1" t="str">
        <f>IF(IF(ROW(H96)&gt;MAX(Main!$C$4:$C$1048576),"",INDEX(Main!O$4:O$1048576,MATCH(ROW(H96),Main!$C$4:$C$1048576,0)))="",IF(I98="","",J97),IF(ROW(H96)&gt;MAX(Main!$C$4:$C$1048576),"",INDEX(Main!O$4:O$1048576,MATCH(ROW(H96),Main!$C$4:$C$1048576,0))))</f>
        <v/>
      </c>
      <c r="K98" s="27" t="str">
        <f t="shared" si="4"/>
        <v>例目</v>
      </c>
      <c r="M98" s="4" t="str">
        <f>TEXT(IF(ROW(A96)&gt;MAX(Main!$D$4:$D$1048576),"",INDEX(Main!Q$4:Q$1048576,MATCH(ROW(A96),Main!$D$4:$D$1048576,0))), "yyyy/m/d")</f>
        <v/>
      </c>
      <c r="N98" s="1" t="str">
        <f>IF(IF(ROW(A96)&gt;MAX(Main!$D$4:$D$1048576),"",INDEX(Main!G$4:G$1048576,MATCH(ROW(A96),Main!$D$4:$D$1048576,0)))="",IF(M98="","",N97),IF(ROW(A96)&gt;MAX(Main!$D$4:$D$1048576),"",INDEX(Main!G$4:G$1048576,MATCH(ROW(A96),Main!$D$4:$D$1048576,0))))</f>
        <v/>
      </c>
      <c r="O98" s="1" t="str">
        <f>IF(IF(ROW(B96)&gt;MAX(Main!$D$4:$D$1048576),"",INDEX(Main!H$4:H$1048576,MATCH(ROW(B96),Main!$D$4:$D$1048576,0)))="",IF(N98="","",O97),IF(ROW(B96)&gt;MAX(Main!$D$4:$D$1048576),"",INDEX(Main!H$4:H$1048576,MATCH(ROW(B96),Main!$D$4:$D$1048576,0))))</f>
        <v/>
      </c>
      <c r="P98" s="1" t="str">
        <f>IF(IF(ROW(C96)&gt;MAX(Main!$D$4:$D$1048576),"",INDEX(Main!I$4:I$1048576,MATCH(ROW(C96),Main!$D$4:$D$1048576,0)))="",IF(O98="","",P97),IF(ROW(C96)&gt;MAX(Main!$D$4:$D$1048576),"",INDEX(Main!I$4:I$1048576,MATCH(ROW(C96),Main!$D$4:$D$1048576,0))))</f>
        <v/>
      </c>
      <c r="Q98" s="1" t="str">
        <f t="shared" si="5"/>
        <v/>
      </c>
      <c r="R98" s="1" t="str">
        <f>IF(IF(ROW(D96)&gt;MAX(Main!$D$4:$D$1048576),"",INDEX(Main!J$4:J$1048576,MATCH(ROW(D96),Main!$D$4:$D$1048576,0)))="",IF(P98="","",R97),IF(ROW(D96)&gt;MAX(Main!$D$4:$D$1048576),"",INDEX(Main!J$4:J$1048576,MATCH(ROW(D96),Main!$D$4:$D$1048576,0))))</f>
        <v/>
      </c>
      <c r="S98" s="9" t="str">
        <f>IF(ROW(G96)&gt;MAX(Main!$D$4:$D$1048576),"",INDEX(Main!K$4:K$1048576,MATCH(ROW(G96),Main!$D$4:$D$1048576,0)))</f>
        <v/>
      </c>
      <c r="T98" s="1" t="str">
        <f>IF(S98&lt;&gt;"",IF(ROW(G96)&gt;MAX(Main!$D$4:$D$1048576),"",INDEX(Main!N$4:N$1048576,MATCH(ROW(G96),Main!$D$4:$D$1048576,0))),"")</f>
        <v/>
      </c>
      <c r="U98" s="1" t="str">
        <f>IF(IF(ROW(H96)&gt;MAX(Main!$D$4:$D$1048576),"",INDEX(Main!O$4:O$1048576,MATCH(ROW(H96),Main!$D$4:$D$1048576,0)))="",IF(T98="","",U97),IF(ROW(H96)&gt;MAX(Main!$D$4:$D$1048576),"",INDEX(Main!O$4:O$1048576,MATCH(ROW(H96),Main!$D$4:$D$1048576,0))))</f>
        <v/>
      </c>
    </row>
    <row r="99" spans="1:21" x14ac:dyDescent="0.4">
      <c r="A99" t="s">
        <v>21</v>
      </c>
      <c r="B99" s="4" t="str">
        <f>TEXT(IF(ROW(A97)&gt;MAX(Main!$C$4:$C$1048576),"",INDEX(Main!Q$4:Q$1048576,MATCH(ROW(A97),Main!$C$4:$C$1048576,0))), "yyyy/m/d")</f>
        <v/>
      </c>
      <c r="C99" s="1" t="str">
        <f>IF(IF(ROW(A97)&gt;MAX(Main!$C$4:$C$1048576),"",INDEX(Main!G$4:G$1048576,MATCH(ROW(A97),Main!$C$4:$C$1048576,0)))="",IF(B99="","",C98),IF(ROW(A97)&gt;MAX(Main!$C$4:$C$1048576),"",INDEX(Main!G$4:G$1048576,MATCH(ROW(A97),Main!$C$4:$C$1048576,0))))</f>
        <v/>
      </c>
      <c r="D99" s="1" t="str">
        <f>IF(IF(ROW(B97)&gt;MAX(Main!$C$4:$C$1048576),"",INDEX(Main!H$4:H$1048576,MATCH(ROW(B97),Main!$C$4:$C$1048576,0)))="",IF(C99="","",D98),IF(ROW(B97)&gt;MAX(Main!$C$4:$C$1048576),"",INDEX(Main!H$4:H$1048576,MATCH(ROW(B97),Main!$C$4:$C$1048576,0))))</f>
        <v/>
      </c>
      <c r="E99" s="1" t="str">
        <f>IF(IF(ROW(C97)&gt;MAX(Main!$C$4:$C$1048576),"",INDEX(Main!I$4:I$1048576,MATCH(ROW(C97),Main!$C$4:$C$1048576,0)))="",IF(D99="","",E98),IF(ROW(C97)&gt;MAX(Main!$C$4:$C$1048576),"",INDEX(Main!I$4:I$1048576,MATCH(ROW(C97),Main!$C$4:$C$1048576,0))))</f>
        <v/>
      </c>
      <c r="F99" s="1" t="str">
        <f t="shared" si="3"/>
        <v/>
      </c>
      <c r="G99" s="1" t="str">
        <f>IF(IF(ROW(D97)&gt;MAX(Main!$C$4:$C$1048576),"",INDEX(Main!J$4:J$1048576,MATCH(ROW(D97),Main!$C$4:$C$1048576,0)))="",IF(E99="","",G98),IF(ROW(D97)&gt;MAX(Main!$C$4:$C$1048576),"",INDEX(Main!J$4:J$1048576,MATCH(ROW(D97),Main!$C$4:$C$1048576,0))))</f>
        <v/>
      </c>
      <c r="H99" s="10" t="str">
        <f>IF(ROW(G97)&gt;MAX(Main!$C$4:$C$1048576),"",INDEX(Main!K$4:K$1048576,MATCH(ROW(G97),Main!$C$4:$C$1048576,0)))</f>
        <v/>
      </c>
      <c r="I99" s="1" t="str">
        <f>IF(H99&lt;&gt;"",IF(ROW(G97)&gt;MAX(Main!$C$4:$C$1048576),"",INDEX(Main!N$4:N$1048576,MATCH(ROW(G97),Main!$C$4:$C$1048576,0))),"")</f>
        <v/>
      </c>
      <c r="J99" s="1" t="str">
        <f>IF(IF(ROW(H97)&gt;MAX(Main!$C$4:$C$1048576),"",INDEX(Main!O$4:O$1048576,MATCH(ROW(H97),Main!$C$4:$C$1048576,0)))="",IF(I99="","",J98),IF(ROW(H97)&gt;MAX(Main!$C$4:$C$1048576),"",INDEX(Main!O$4:O$1048576,MATCH(ROW(H97),Main!$C$4:$C$1048576,0))))</f>
        <v/>
      </c>
      <c r="K99" s="27" t="str">
        <f t="shared" si="4"/>
        <v>例目</v>
      </c>
      <c r="M99" s="4" t="str">
        <f>TEXT(IF(ROW(A97)&gt;MAX(Main!$D$4:$D$1048576),"",INDEX(Main!Q$4:Q$1048576,MATCH(ROW(A97),Main!$D$4:$D$1048576,0))), "yyyy/m/d")</f>
        <v/>
      </c>
      <c r="N99" s="1" t="str">
        <f>IF(IF(ROW(A97)&gt;MAX(Main!$D$4:$D$1048576),"",INDEX(Main!G$4:G$1048576,MATCH(ROW(A97),Main!$D$4:$D$1048576,0)))="",IF(M99="","",N98),IF(ROW(A97)&gt;MAX(Main!$D$4:$D$1048576),"",INDEX(Main!G$4:G$1048576,MATCH(ROW(A97),Main!$D$4:$D$1048576,0))))</f>
        <v/>
      </c>
      <c r="O99" s="1" t="str">
        <f>IF(IF(ROW(B97)&gt;MAX(Main!$D$4:$D$1048576),"",INDEX(Main!H$4:H$1048576,MATCH(ROW(B97),Main!$D$4:$D$1048576,0)))="",IF(N99="","",O98),IF(ROW(B97)&gt;MAX(Main!$D$4:$D$1048576),"",INDEX(Main!H$4:H$1048576,MATCH(ROW(B97),Main!$D$4:$D$1048576,0))))</f>
        <v/>
      </c>
      <c r="P99" s="1" t="str">
        <f>IF(IF(ROW(C97)&gt;MAX(Main!$D$4:$D$1048576),"",INDEX(Main!I$4:I$1048576,MATCH(ROW(C97),Main!$D$4:$D$1048576,0)))="",IF(O99="","",P98),IF(ROW(C97)&gt;MAX(Main!$D$4:$D$1048576),"",INDEX(Main!I$4:I$1048576,MATCH(ROW(C97),Main!$D$4:$D$1048576,0))))</f>
        <v/>
      </c>
      <c r="Q99" s="1" t="str">
        <f t="shared" si="5"/>
        <v/>
      </c>
      <c r="R99" s="1" t="str">
        <f>IF(IF(ROW(D97)&gt;MAX(Main!$D$4:$D$1048576),"",INDEX(Main!J$4:J$1048576,MATCH(ROW(D97),Main!$D$4:$D$1048576,0)))="",IF(P99="","",R98),IF(ROW(D97)&gt;MAX(Main!$D$4:$D$1048576),"",INDEX(Main!J$4:J$1048576,MATCH(ROW(D97),Main!$D$4:$D$1048576,0))))</f>
        <v/>
      </c>
      <c r="S99" s="9" t="str">
        <f>IF(ROW(G97)&gt;MAX(Main!$D$4:$D$1048576),"",INDEX(Main!K$4:K$1048576,MATCH(ROW(G97),Main!$D$4:$D$1048576,0)))</f>
        <v/>
      </c>
      <c r="T99" s="1" t="str">
        <f>IF(S99&lt;&gt;"",IF(ROW(G97)&gt;MAX(Main!$D$4:$D$1048576),"",INDEX(Main!N$4:N$1048576,MATCH(ROW(G97),Main!$D$4:$D$1048576,0))),"")</f>
        <v/>
      </c>
      <c r="U99" s="1" t="str">
        <f>IF(IF(ROW(H97)&gt;MAX(Main!$D$4:$D$1048576),"",INDEX(Main!O$4:O$1048576,MATCH(ROW(H97),Main!$D$4:$D$1048576,0)))="",IF(T99="","",U98),IF(ROW(H97)&gt;MAX(Main!$D$4:$D$1048576),"",INDEX(Main!O$4:O$1048576,MATCH(ROW(H97),Main!$D$4:$D$1048576,0))))</f>
        <v/>
      </c>
    </row>
    <row r="100" spans="1:21" x14ac:dyDescent="0.4">
      <c r="A100" t="s">
        <v>21</v>
      </c>
      <c r="B100" s="4" t="str">
        <f>TEXT(IF(ROW(A98)&gt;MAX(Main!$C$4:$C$1048576),"",INDEX(Main!Q$4:Q$1048576,MATCH(ROW(A98),Main!$C$4:$C$1048576,0))), "yyyy/m/d")</f>
        <v/>
      </c>
      <c r="C100" s="1" t="str">
        <f>IF(IF(ROW(A98)&gt;MAX(Main!$C$4:$C$1048576),"",INDEX(Main!G$4:G$1048576,MATCH(ROW(A98),Main!$C$4:$C$1048576,0)))="",IF(B100="","",C99),IF(ROW(A98)&gt;MAX(Main!$C$4:$C$1048576),"",INDEX(Main!G$4:G$1048576,MATCH(ROW(A98),Main!$C$4:$C$1048576,0))))</f>
        <v/>
      </c>
      <c r="D100" s="1" t="str">
        <f>IF(IF(ROW(B98)&gt;MAX(Main!$C$4:$C$1048576),"",INDEX(Main!H$4:H$1048576,MATCH(ROW(B98),Main!$C$4:$C$1048576,0)))="",IF(C100="","",D99),IF(ROW(B98)&gt;MAX(Main!$C$4:$C$1048576),"",INDEX(Main!H$4:H$1048576,MATCH(ROW(B98),Main!$C$4:$C$1048576,0))))</f>
        <v/>
      </c>
      <c r="E100" s="1" t="str">
        <f>IF(IF(ROW(C98)&gt;MAX(Main!$C$4:$C$1048576),"",INDEX(Main!I$4:I$1048576,MATCH(ROW(C98),Main!$C$4:$C$1048576,0)))="",IF(D100="","",E99),IF(ROW(C98)&gt;MAX(Main!$C$4:$C$1048576),"",INDEX(Main!I$4:I$1048576,MATCH(ROW(C98),Main!$C$4:$C$1048576,0))))</f>
        <v/>
      </c>
      <c r="F100" s="1" t="str">
        <f t="shared" si="3"/>
        <v/>
      </c>
      <c r="G100" s="1" t="str">
        <f>IF(IF(ROW(D98)&gt;MAX(Main!$C$4:$C$1048576),"",INDEX(Main!J$4:J$1048576,MATCH(ROW(D98),Main!$C$4:$C$1048576,0)))="",IF(E100="","",G99),IF(ROW(D98)&gt;MAX(Main!$C$4:$C$1048576),"",INDEX(Main!J$4:J$1048576,MATCH(ROW(D98),Main!$C$4:$C$1048576,0))))</f>
        <v/>
      </c>
      <c r="H100" s="10" t="str">
        <f>IF(ROW(G98)&gt;MAX(Main!$C$4:$C$1048576),"",INDEX(Main!K$4:K$1048576,MATCH(ROW(G98),Main!$C$4:$C$1048576,0)))</f>
        <v/>
      </c>
      <c r="I100" s="1" t="str">
        <f>IF(H100&lt;&gt;"",IF(ROW(G98)&gt;MAX(Main!$C$4:$C$1048576),"",INDEX(Main!N$4:N$1048576,MATCH(ROW(G98),Main!$C$4:$C$1048576,0))),"")</f>
        <v/>
      </c>
      <c r="J100" s="1" t="str">
        <f>IF(IF(ROW(H98)&gt;MAX(Main!$C$4:$C$1048576),"",INDEX(Main!O$4:O$1048576,MATCH(ROW(H98),Main!$C$4:$C$1048576,0)))="",IF(I100="","",J99),IF(ROW(H98)&gt;MAX(Main!$C$4:$C$1048576),"",INDEX(Main!O$4:O$1048576,MATCH(ROW(H98),Main!$C$4:$C$1048576,0))))</f>
        <v/>
      </c>
      <c r="K100" s="27" t="str">
        <f t="shared" si="4"/>
        <v>例目</v>
      </c>
      <c r="M100" s="4" t="str">
        <f>TEXT(IF(ROW(A98)&gt;MAX(Main!$D$4:$D$1048576),"",INDEX(Main!Q$4:Q$1048576,MATCH(ROW(A98),Main!$D$4:$D$1048576,0))), "yyyy/m/d")</f>
        <v/>
      </c>
      <c r="N100" s="1" t="str">
        <f>IF(IF(ROW(A98)&gt;MAX(Main!$D$4:$D$1048576),"",INDEX(Main!G$4:G$1048576,MATCH(ROW(A98),Main!$D$4:$D$1048576,0)))="",IF(M100="","",N99),IF(ROW(A98)&gt;MAX(Main!$D$4:$D$1048576),"",INDEX(Main!G$4:G$1048576,MATCH(ROW(A98),Main!$D$4:$D$1048576,0))))</f>
        <v/>
      </c>
      <c r="O100" s="1" t="str">
        <f>IF(IF(ROW(B98)&gt;MAX(Main!$D$4:$D$1048576),"",INDEX(Main!H$4:H$1048576,MATCH(ROW(B98),Main!$D$4:$D$1048576,0)))="",IF(N100="","",O99),IF(ROW(B98)&gt;MAX(Main!$D$4:$D$1048576),"",INDEX(Main!H$4:H$1048576,MATCH(ROW(B98),Main!$D$4:$D$1048576,0))))</f>
        <v/>
      </c>
      <c r="P100" s="1" t="str">
        <f>IF(IF(ROW(C98)&gt;MAX(Main!$D$4:$D$1048576),"",INDEX(Main!I$4:I$1048576,MATCH(ROW(C98),Main!$D$4:$D$1048576,0)))="",IF(O100="","",P99),IF(ROW(C98)&gt;MAX(Main!$D$4:$D$1048576),"",INDEX(Main!I$4:I$1048576,MATCH(ROW(C98),Main!$D$4:$D$1048576,0))))</f>
        <v/>
      </c>
      <c r="Q100" s="1" t="str">
        <f t="shared" si="5"/>
        <v/>
      </c>
      <c r="R100" s="1" t="str">
        <f>IF(IF(ROW(D98)&gt;MAX(Main!$D$4:$D$1048576),"",INDEX(Main!J$4:J$1048576,MATCH(ROW(D98),Main!$D$4:$D$1048576,0)))="",IF(P100="","",R99),IF(ROW(D98)&gt;MAX(Main!$D$4:$D$1048576),"",INDEX(Main!J$4:J$1048576,MATCH(ROW(D98),Main!$D$4:$D$1048576,0))))</f>
        <v/>
      </c>
      <c r="S100" s="9" t="str">
        <f>IF(ROW(G98)&gt;MAX(Main!$D$4:$D$1048576),"",INDEX(Main!K$4:K$1048576,MATCH(ROW(G98),Main!$D$4:$D$1048576,0)))</f>
        <v/>
      </c>
      <c r="T100" s="1" t="str">
        <f>IF(S100&lt;&gt;"",IF(ROW(G98)&gt;MAX(Main!$D$4:$D$1048576),"",INDEX(Main!N$4:N$1048576,MATCH(ROW(G98),Main!$D$4:$D$1048576,0))),"")</f>
        <v/>
      </c>
      <c r="U100" s="1" t="str">
        <f>IF(IF(ROW(H98)&gt;MAX(Main!$D$4:$D$1048576),"",INDEX(Main!O$4:O$1048576,MATCH(ROW(H98),Main!$D$4:$D$1048576,0)))="",IF(T100="","",U99),IF(ROW(H98)&gt;MAX(Main!$D$4:$D$1048576),"",INDEX(Main!O$4:O$1048576,MATCH(ROW(H98),Main!$D$4:$D$1048576,0))))</f>
        <v/>
      </c>
    </row>
    <row r="101" spans="1:21" x14ac:dyDescent="0.4">
      <c r="A101" t="s">
        <v>21</v>
      </c>
      <c r="B101" s="4" t="str">
        <f>TEXT(IF(ROW(A99)&gt;MAX(Main!$C$4:$C$1048576),"",INDEX(Main!Q$4:Q$1048576,MATCH(ROW(A99),Main!$C$4:$C$1048576,0))), "yyyy/m/d")</f>
        <v/>
      </c>
      <c r="C101" s="1" t="str">
        <f>IF(IF(ROW(A99)&gt;MAX(Main!$C$4:$C$1048576),"",INDEX(Main!G$4:G$1048576,MATCH(ROW(A99),Main!$C$4:$C$1048576,0)))="",IF(B101="","",C100),IF(ROW(A99)&gt;MAX(Main!$C$4:$C$1048576),"",INDEX(Main!G$4:G$1048576,MATCH(ROW(A99),Main!$C$4:$C$1048576,0))))</f>
        <v/>
      </c>
      <c r="D101" s="1" t="str">
        <f>IF(IF(ROW(B99)&gt;MAX(Main!$C$4:$C$1048576),"",INDEX(Main!H$4:H$1048576,MATCH(ROW(B99),Main!$C$4:$C$1048576,0)))="",IF(C101="","",D100),IF(ROW(B99)&gt;MAX(Main!$C$4:$C$1048576),"",INDEX(Main!H$4:H$1048576,MATCH(ROW(B99),Main!$C$4:$C$1048576,0))))</f>
        <v/>
      </c>
      <c r="E101" s="1" t="str">
        <f>IF(IF(ROW(C99)&gt;MAX(Main!$C$4:$C$1048576),"",INDEX(Main!I$4:I$1048576,MATCH(ROW(C99),Main!$C$4:$C$1048576,0)))="",IF(D101="","",E100),IF(ROW(C99)&gt;MAX(Main!$C$4:$C$1048576),"",INDEX(Main!I$4:I$1048576,MATCH(ROW(C99),Main!$C$4:$C$1048576,0))))</f>
        <v/>
      </c>
      <c r="F101" s="1" t="str">
        <f t="shared" si="3"/>
        <v/>
      </c>
      <c r="G101" s="1" t="str">
        <f>IF(IF(ROW(D99)&gt;MAX(Main!$C$4:$C$1048576),"",INDEX(Main!J$4:J$1048576,MATCH(ROW(D99),Main!$C$4:$C$1048576,0)))="",IF(E101="","",G100),IF(ROW(D99)&gt;MAX(Main!$C$4:$C$1048576),"",INDEX(Main!J$4:J$1048576,MATCH(ROW(D99),Main!$C$4:$C$1048576,0))))</f>
        <v/>
      </c>
      <c r="H101" s="10" t="str">
        <f>IF(ROW(G99)&gt;MAX(Main!$C$4:$C$1048576),"",INDEX(Main!K$4:K$1048576,MATCH(ROW(G99),Main!$C$4:$C$1048576,0)))</f>
        <v/>
      </c>
      <c r="I101" s="1" t="str">
        <f>IF(H101&lt;&gt;"",IF(ROW(G99)&gt;MAX(Main!$C$4:$C$1048576),"",INDEX(Main!N$4:N$1048576,MATCH(ROW(G99),Main!$C$4:$C$1048576,0))),"")</f>
        <v/>
      </c>
      <c r="J101" s="1" t="str">
        <f>IF(IF(ROW(H99)&gt;MAX(Main!$C$4:$C$1048576),"",INDEX(Main!O$4:O$1048576,MATCH(ROW(H99),Main!$C$4:$C$1048576,0)))="",IF(I101="","",J100),IF(ROW(H99)&gt;MAX(Main!$C$4:$C$1048576),"",INDEX(Main!O$4:O$1048576,MATCH(ROW(H99),Main!$C$4:$C$1048576,0))))</f>
        <v/>
      </c>
      <c r="K101" s="27" t="str">
        <f t="shared" si="4"/>
        <v>例目</v>
      </c>
      <c r="M101" s="4" t="str">
        <f>TEXT(IF(ROW(A99)&gt;MAX(Main!$D$4:$D$1048576),"",INDEX(Main!Q$4:Q$1048576,MATCH(ROW(A99),Main!$D$4:$D$1048576,0))), "yyyy/m/d")</f>
        <v/>
      </c>
      <c r="N101" s="1" t="str">
        <f>IF(IF(ROW(A99)&gt;MAX(Main!$D$4:$D$1048576),"",INDEX(Main!G$4:G$1048576,MATCH(ROW(A99),Main!$D$4:$D$1048576,0)))="",IF(M101="","",N100),IF(ROW(A99)&gt;MAX(Main!$D$4:$D$1048576),"",INDEX(Main!G$4:G$1048576,MATCH(ROW(A99),Main!$D$4:$D$1048576,0))))</f>
        <v/>
      </c>
      <c r="O101" s="1" t="str">
        <f>IF(IF(ROW(B99)&gt;MAX(Main!$D$4:$D$1048576),"",INDEX(Main!H$4:H$1048576,MATCH(ROW(B99),Main!$D$4:$D$1048576,0)))="",IF(N101="","",O100),IF(ROW(B99)&gt;MAX(Main!$D$4:$D$1048576),"",INDEX(Main!H$4:H$1048576,MATCH(ROW(B99),Main!$D$4:$D$1048576,0))))</f>
        <v/>
      </c>
      <c r="P101" s="1" t="str">
        <f>IF(IF(ROW(C99)&gt;MAX(Main!$D$4:$D$1048576),"",INDEX(Main!I$4:I$1048576,MATCH(ROW(C99),Main!$D$4:$D$1048576,0)))="",IF(O101="","",P100),IF(ROW(C99)&gt;MAX(Main!$D$4:$D$1048576),"",INDEX(Main!I$4:I$1048576,MATCH(ROW(C99),Main!$D$4:$D$1048576,0))))</f>
        <v/>
      </c>
      <c r="Q101" s="1" t="str">
        <f t="shared" si="5"/>
        <v/>
      </c>
      <c r="R101" s="1" t="str">
        <f>IF(IF(ROW(D99)&gt;MAX(Main!$D$4:$D$1048576),"",INDEX(Main!J$4:J$1048576,MATCH(ROW(D99),Main!$D$4:$D$1048576,0)))="",IF(P101="","",R100),IF(ROW(D99)&gt;MAX(Main!$D$4:$D$1048576),"",INDEX(Main!J$4:J$1048576,MATCH(ROW(D99),Main!$D$4:$D$1048576,0))))</f>
        <v/>
      </c>
      <c r="S101" s="9" t="str">
        <f>IF(ROW(G99)&gt;MAX(Main!$D$4:$D$1048576),"",INDEX(Main!K$4:K$1048576,MATCH(ROW(G99),Main!$D$4:$D$1048576,0)))</f>
        <v/>
      </c>
      <c r="T101" s="1" t="str">
        <f>IF(S101&lt;&gt;"",IF(ROW(G99)&gt;MAX(Main!$D$4:$D$1048576),"",INDEX(Main!N$4:N$1048576,MATCH(ROW(G99),Main!$D$4:$D$1048576,0))),"")</f>
        <v/>
      </c>
      <c r="U101" s="1" t="str">
        <f>IF(IF(ROW(H99)&gt;MAX(Main!$D$4:$D$1048576),"",INDEX(Main!O$4:O$1048576,MATCH(ROW(H99),Main!$D$4:$D$1048576,0)))="",IF(T101="","",U100),IF(ROW(H99)&gt;MAX(Main!$D$4:$D$1048576),"",INDEX(Main!O$4:O$1048576,MATCH(ROW(H99),Main!$D$4:$D$1048576,0))))</f>
        <v/>
      </c>
    </row>
    <row r="102" spans="1:21" x14ac:dyDescent="0.4">
      <c r="A102" t="s">
        <v>21</v>
      </c>
      <c r="B102" s="4" t="str">
        <f>TEXT(IF(ROW(A100)&gt;MAX(Main!$C$4:$C$1048576),"",INDEX(Main!Q$4:Q$1048576,MATCH(ROW(A100),Main!$C$4:$C$1048576,0))), "yyyy/m/d")</f>
        <v/>
      </c>
      <c r="C102" s="1" t="str">
        <f>IF(IF(ROW(A100)&gt;MAX(Main!$C$4:$C$1048576),"",INDEX(Main!G$4:G$1048576,MATCH(ROW(A100),Main!$C$4:$C$1048576,0)))="",IF(B102="","",C101),IF(ROW(A100)&gt;MAX(Main!$C$4:$C$1048576),"",INDEX(Main!G$4:G$1048576,MATCH(ROW(A100),Main!$C$4:$C$1048576,0))))</f>
        <v/>
      </c>
      <c r="D102" s="1" t="str">
        <f>IF(IF(ROW(B100)&gt;MAX(Main!$C$4:$C$1048576),"",INDEX(Main!H$4:H$1048576,MATCH(ROW(B100),Main!$C$4:$C$1048576,0)))="",IF(C102="","",D101),IF(ROW(B100)&gt;MAX(Main!$C$4:$C$1048576),"",INDEX(Main!H$4:H$1048576,MATCH(ROW(B100),Main!$C$4:$C$1048576,0))))</f>
        <v/>
      </c>
      <c r="E102" s="1" t="str">
        <f>IF(IF(ROW(C100)&gt;MAX(Main!$C$4:$C$1048576),"",INDEX(Main!I$4:I$1048576,MATCH(ROW(C100),Main!$C$4:$C$1048576,0)))="",IF(D102="","",E101),IF(ROW(C100)&gt;MAX(Main!$C$4:$C$1048576),"",INDEX(Main!I$4:I$1048576,MATCH(ROW(C100),Main!$C$4:$C$1048576,0))))</f>
        <v/>
      </c>
      <c r="F102" s="1" t="str">
        <f t="shared" si="3"/>
        <v/>
      </c>
      <c r="G102" s="1" t="str">
        <f>IF(IF(ROW(D100)&gt;MAX(Main!$C$4:$C$1048576),"",INDEX(Main!J$4:J$1048576,MATCH(ROW(D100),Main!$C$4:$C$1048576,0)))="",IF(E102="","",G101),IF(ROW(D100)&gt;MAX(Main!$C$4:$C$1048576),"",INDEX(Main!J$4:J$1048576,MATCH(ROW(D100),Main!$C$4:$C$1048576,0))))</f>
        <v/>
      </c>
      <c r="H102" s="10" t="str">
        <f>IF(ROW(G100)&gt;MAX(Main!$C$4:$C$1048576),"",INDEX(Main!K$4:K$1048576,MATCH(ROW(G100),Main!$C$4:$C$1048576,0)))</f>
        <v/>
      </c>
      <c r="I102" s="1" t="str">
        <f>IF(H102&lt;&gt;"",IF(ROW(G100)&gt;MAX(Main!$C$4:$C$1048576),"",INDEX(Main!N$4:N$1048576,MATCH(ROW(G100),Main!$C$4:$C$1048576,0))),"")</f>
        <v/>
      </c>
      <c r="J102" s="1" t="str">
        <f>IF(IF(ROW(H100)&gt;MAX(Main!$C$4:$C$1048576),"",INDEX(Main!O$4:O$1048576,MATCH(ROW(H100),Main!$C$4:$C$1048576,0)))="",IF(I102="","",J101),IF(ROW(H100)&gt;MAX(Main!$C$4:$C$1048576),"",INDEX(Main!O$4:O$1048576,MATCH(ROW(H100),Main!$C$4:$C$1048576,0))))</f>
        <v/>
      </c>
      <c r="K102" s="27" t="str">
        <f t="shared" si="4"/>
        <v>例目</v>
      </c>
      <c r="M102" s="4" t="str">
        <f>TEXT(IF(ROW(A100)&gt;MAX(Main!$D$4:$D$1048576),"",INDEX(Main!Q$4:Q$1048576,MATCH(ROW(A100),Main!$D$4:$D$1048576,0))), "yyyy/m/d")</f>
        <v/>
      </c>
      <c r="N102" s="1" t="str">
        <f>IF(IF(ROW(A100)&gt;MAX(Main!$D$4:$D$1048576),"",INDEX(Main!G$4:G$1048576,MATCH(ROW(A100),Main!$D$4:$D$1048576,0)))="",IF(M102="","",N101),IF(ROW(A100)&gt;MAX(Main!$D$4:$D$1048576),"",INDEX(Main!G$4:G$1048576,MATCH(ROW(A100),Main!$D$4:$D$1048576,0))))</f>
        <v/>
      </c>
      <c r="O102" s="1" t="str">
        <f>IF(IF(ROW(B100)&gt;MAX(Main!$D$4:$D$1048576),"",INDEX(Main!H$4:H$1048576,MATCH(ROW(B100),Main!$D$4:$D$1048576,0)))="",IF(N102="","",O101),IF(ROW(B100)&gt;MAX(Main!$D$4:$D$1048576),"",INDEX(Main!H$4:H$1048576,MATCH(ROW(B100),Main!$D$4:$D$1048576,0))))</f>
        <v/>
      </c>
      <c r="P102" s="1" t="str">
        <f>IF(IF(ROW(C100)&gt;MAX(Main!$D$4:$D$1048576),"",INDEX(Main!I$4:I$1048576,MATCH(ROW(C100),Main!$D$4:$D$1048576,0)))="",IF(O102="","",P101),IF(ROW(C100)&gt;MAX(Main!$D$4:$D$1048576),"",INDEX(Main!I$4:I$1048576,MATCH(ROW(C100),Main!$D$4:$D$1048576,0))))</f>
        <v/>
      </c>
      <c r="Q102" s="1" t="str">
        <f t="shared" si="5"/>
        <v/>
      </c>
      <c r="R102" s="1" t="str">
        <f>IF(IF(ROW(D100)&gt;MAX(Main!$D$4:$D$1048576),"",INDEX(Main!J$4:J$1048576,MATCH(ROW(D100),Main!$D$4:$D$1048576,0)))="",IF(P102="","",R101),IF(ROW(D100)&gt;MAX(Main!$D$4:$D$1048576),"",INDEX(Main!J$4:J$1048576,MATCH(ROW(D100),Main!$D$4:$D$1048576,0))))</f>
        <v/>
      </c>
      <c r="S102" s="9" t="str">
        <f>IF(ROW(G100)&gt;MAX(Main!$D$4:$D$1048576),"",INDEX(Main!K$4:K$1048576,MATCH(ROW(G100),Main!$D$4:$D$1048576,0)))</f>
        <v/>
      </c>
      <c r="T102" s="1" t="str">
        <f>IF(S102&lt;&gt;"",IF(ROW(G100)&gt;MAX(Main!$D$4:$D$1048576),"",INDEX(Main!N$4:N$1048576,MATCH(ROW(G100),Main!$D$4:$D$1048576,0))),"")</f>
        <v/>
      </c>
      <c r="U102" s="1" t="str">
        <f>IF(IF(ROW(H100)&gt;MAX(Main!$D$4:$D$1048576),"",INDEX(Main!O$4:O$1048576,MATCH(ROW(H100),Main!$D$4:$D$1048576,0)))="",IF(T102="","",U101),IF(ROW(H100)&gt;MAX(Main!$D$4:$D$1048576),"",INDEX(Main!O$4:O$1048576,MATCH(ROW(H100),Main!$D$4:$D$1048576,0))))</f>
        <v/>
      </c>
    </row>
    <row r="103" spans="1:21" x14ac:dyDescent="0.4">
      <c r="A103" t="s">
        <v>21</v>
      </c>
      <c r="B103" s="4" t="str">
        <f>TEXT(IF(ROW(A101)&gt;MAX(Main!$C$4:$C$1048576),"",INDEX(Main!Q$4:Q$1048576,MATCH(ROW(A101),Main!$C$4:$C$1048576,0))), "yyyy/m/d")</f>
        <v/>
      </c>
      <c r="C103" s="1" t="str">
        <f>IF(IF(ROW(A101)&gt;MAX(Main!$C$4:$C$1048576),"",INDEX(Main!G$4:G$1048576,MATCH(ROW(A101),Main!$C$4:$C$1048576,0)))="",IF(B103="","",C102),IF(ROW(A101)&gt;MAX(Main!$C$4:$C$1048576),"",INDEX(Main!G$4:G$1048576,MATCH(ROW(A101),Main!$C$4:$C$1048576,0))))</f>
        <v/>
      </c>
      <c r="D103" s="1" t="str">
        <f>IF(IF(ROW(B101)&gt;MAX(Main!$C$4:$C$1048576),"",INDEX(Main!H$4:H$1048576,MATCH(ROW(B101),Main!$C$4:$C$1048576,0)))="",IF(C103="","",D102),IF(ROW(B101)&gt;MAX(Main!$C$4:$C$1048576),"",INDEX(Main!H$4:H$1048576,MATCH(ROW(B101),Main!$C$4:$C$1048576,0))))</f>
        <v/>
      </c>
      <c r="E103" s="1" t="str">
        <f>IF(IF(ROW(C101)&gt;MAX(Main!$C$4:$C$1048576),"",INDEX(Main!I$4:I$1048576,MATCH(ROW(C101),Main!$C$4:$C$1048576,0)))="",IF(D103="","",E102),IF(ROW(C101)&gt;MAX(Main!$C$4:$C$1048576),"",INDEX(Main!I$4:I$1048576,MATCH(ROW(C101),Main!$C$4:$C$1048576,0))))</f>
        <v/>
      </c>
      <c r="F103" s="1" t="str">
        <f t="shared" si="3"/>
        <v/>
      </c>
      <c r="G103" s="1" t="str">
        <f>IF(IF(ROW(D101)&gt;MAX(Main!$C$4:$C$1048576),"",INDEX(Main!J$4:J$1048576,MATCH(ROW(D101),Main!$C$4:$C$1048576,0)))="",IF(E103="","",G102),IF(ROW(D101)&gt;MAX(Main!$C$4:$C$1048576),"",INDEX(Main!J$4:J$1048576,MATCH(ROW(D101),Main!$C$4:$C$1048576,0))))</f>
        <v/>
      </c>
      <c r="H103" s="10" t="str">
        <f>IF(ROW(G101)&gt;MAX(Main!$C$4:$C$1048576),"",INDEX(Main!K$4:K$1048576,MATCH(ROW(G101),Main!$C$4:$C$1048576,0)))</f>
        <v/>
      </c>
      <c r="I103" s="1" t="str">
        <f>IF(H103&lt;&gt;"",IF(ROW(G101)&gt;MAX(Main!$C$4:$C$1048576),"",INDEX(Main!N$4:N$1048576,MATCH(ROW(G101),Main!$C$4:$C$1048576,0))),"")</f>
        <v/>
      </c>
      <c r="J103" s="1" t="str">
        <f>IF(IF(ROW(H101)&gt;MAX(Main!$C$4:$C$1048576),"",INDEX(Main!O$4:O$1048576,MATCH(ROW(H101),Main!$C$4:$C$1048576,0)))="",IF(I103="","",J102),IF(ROW(H101)&gt;MAX(Main!$C$4:$C$1048576),"",INDEX(Main!O$4:O$1048576,MATCH(ROW(H101),Main!$C$4:$C$1048576,0))))</f>
        <v/>
      </c>
      <c r="K103" s="27" t="str">
        <f t="shared" si="4"/>
        <v>例目</v>
      </c>
      <c r="M103" s="4" t="str">
        <f>TEXT(IF(ROW(A101)&gt;MAX(Main!$D$4:$D$1048576),"",INDEX(Main!Q$4:Q$1048576,MATCH(ROW(A101),Main!$D$4:$D$1048576,0))), "yyyy/m/d")</f>
        <v/>
      </c>
      <c r="N103" s="1" t="str">
        <f>IF(IF(ROW(A101)&gt;MAX(Main!$D$4:$D$1048576),"",INDEX(Main!G$4:G$1048576,MATCH(ROW(A101),Main!$D$4:$D$1048576,0)))="",IF(M103="","",N102),IF(ROW(A101)&gt;MAX(Main!$D$4:$D$1048576),"",INDEX(Main!G$4:G$1048576,MATCH(ROW(A101),Main!$D$4:$D$1048576,0))))</f>
        <v/>
      </c>
      <c r="O103" s="1" t="str">
        <f>IF(IF(ROW(B101)&gt;MAX(Main!$D$4:$D$1048576),"",INDEX(Main!H$4:H$1048576,MATCH(ROW(B101),Main!$D$4:$D$1048576,0)))="",IF(N103="","",O102),IF(ROW(B101)&gt;MAX(Main!$D$4:$D$1048576),"",INDEX(Main!H$4:H$1048576,MATCH(ROW(B101),Main!$D$4:$D$1048576,0))))</f>
        <v/>
      </c>
      <c r="P103" s="1" t="str">
        <f>IF(IF(ROW(C101)&gt;MAX(Main!$D$4:$D$1048576),"",INDEX(Main!I$4:I$1048576,MATCH(ROW(C101),Main!$D$4:$D$1048576,0)))="",IF(O103="","",P102),IF(ROW(C101)&gt;MAX(Main!$D$4:$D$1048576),"",INDEX(Main!I$4:I$1048576,MATCH(ROW(C101),Main!$D$4:$D$1048576,0))))</f>
        <v/>
      </c>
      <c r="Q103" s="1" t="str">
        <f t="shared" si="5"/>
        <v/>
      </c>
      <c r="R103" s="1" t="str">
        <f>IF(IF(ROW(D101)&gt;MAX(Main!$D$4:$D$1048576),"",INDEX(Main!J$4:J$1048576,MATCH(ROW(D101),Main!$D$4:$D$1048576,0)))="",IF(P103="","",R102),IF(ROW(D101)&gt;MAX(Main!$D$4:$D$1048576),"",INDEX(Main!J$4:J$1048576,MATCH(ROW(D101),Main!$D$4:$D$1048576,0))))</f>
        <v/>
      </c>
      <c r="S103" s="9" t="str">
        <f>IF(ROW(G101)&gt;MAX(Main!$D$4:$D$1048576),"",INDEX(Main!K$4:K$1048576,MATCH(ROW(G101),Main!$D$4:$D$1048576,0)))</f>
        <v/>
      </c>
      <c r="T103" s="1" t="str">
        <f>IF(S103&lt;&gt;"",IF(ROW(G101)&gt;MAX(Main!$D$4:$D$1048576),"",INDEX(Main!N$4:N$1048576,MATCH(ROW(G101),Main!$D$4:$D$1048576,0))),"")</f>
        <v/>
      </c>
      <c r="U103" s="1" t="str">
        <f>IF(IF(ROW(H101)&gt;MAX(Main!$D$4:$D$1048576),"",INDEX(Main!O$4:O$1048576,MATCH(ROW(H101),Main!$D$4:$D$1048576,0)))="",IF(T103="","",U102),IF(ROW(H101)&gt;MAX(Main!$D$4:$D$1048576),"",INDEX(Main!O$4:O$1048576,MATCH(ROW(H101),Main!$D$4:$D$1048576,0))))</f>
        <v/>
      </c>
    </row>
    <row r="104" spans="1:21" x14ac:dyDescent="0.4">
      <c r="A104" t="s">
        <v>21</v>
      </c>
      <c r="B104" s="4" t="str">
        <f>TEXT(IF(ROW(A102)&gt;MAX(Main!$C$4:$C$1048576),"",INDEX(Main!Q$4:Q$1048576,MATCH(ROW(A102),Main!$C$4:$C$1048576,0))), "yyyy/m/d")</f>
        <v/>
      </c>
      <c r="C104" s="1" t="str">
        <f>IF(IF(ROW(A102)&gt;MAX(Main!$C$4:$C$1048576),"",INDEX(Main!G$4:G$1048576,MATCH(ROW(A102),Main!$C$4:$C$1048576,0)))="",IF(B104="","",C103),IF(ROW(A102)&gt;MAX(Main!$C$4:$C$1048576),"",INDEX(Main!G$4:G$1048576,MATCH(ROW(A102),Main!$C$4:$C$1048576,0))))</f>
        <v/>
      </c>
      <c r="D104" s="1" t="str">
        <f>IF(IF(ROW(B102)&gt;MAX(Main!$C$4:$C$1048576),"",INDEX(Main!H$4:H$1048576,MATCH(ROW(B102),Main!$C$4:$C$1048576,0)))="",IF(C104="","",D103),IF(ROW(B102)&gt;MAX(Main!$C$4:$C$1048576),"",INDEX(Main!H$4:H$1048576,MATCH(ROW(B102),Main!$C$4:$C$1048576,0))))</f>
        <v/>
      </c>
      <c r="E104" s="1" t="str">
        <f>IF(IF(ROW(C102)&gt;MAX(Main!$C$4:$C$1048576),"",INDEX(Main!I$4:I$1048576,MATCH(ROW(C102),Main!$C$4:$C$1048576,0)))="",IF(D104="","",E103),IF(ROW(C102)&gt;MAX(Main!$C$4:$C$1048576),"",INDEX(Main!I$4:I$1048576,MATCH(ROW(C102),Main!$C$4:$C$1048576,0))))</f>
        <v/>
      </c>
      <c r="F104" s="1" t="str">
        <f t="shared" si="3"/>
        <v/>
      </c>
      <c r="G104" s="1" t="str">
        <f>IF(IF(ROW(D102)&gt;MAX(Main!$C$4:$C$1048576),"",INDEX(Main!J$4:J$1048576,MATCH(ROW(D102),Main!$C$4:$C$1048576,0)))="",IF(E104="","",G103),IF(ROW(D102)&gt;MAX(Main!$C$4:$C$1048576),"",INDEX(Main!J$4:J$1048576,MATCH(ROW(D102),Main!$C$4:$C$1048576,0))))</f>
        <v/>
      </c>
      <c r="H104" s="10" t="str">
        <f>IF(ROW(G102)&gt;MAX(Main!$C$4:$C$1048576),"",INDEX(Main!K$4:K$1048576,MATCH(ROW(G102),Main!$C$4:$C$1048576,0)))</f>
        <v/>
      </c>
      <c r="I104" s="1" t="str">
        <f>IF(H104&lt;&gt;"",IF(ROW(G102)&gt;MAX(Main!$C$4:$C$1048576),"",INDEX(Main!N$4:N$1048576,MATCH(ROW(G102),Main!$C$4:$C$1048576,0))),"")</f>
        <v/>
      </c>
      <c r="J104" s="1" t="str">
        <f>IF(IF(ROW(H102)&gt;MAX(Main!$C$4:$C$1048576),"",INDEX(Main!O$4:O$1048576,MATCH(ROW(H102),Main!$C$4:$C$1048576,0)))="",IF(I104="","",J103),IF(ROW(H102)&gt;MAX(Main!$C$4:$C$1048576),"",INDEX(Main!O$4:O$1048576,MATCH(ROW(H102),Main!$C$4:$C$1048576,0))))</f>
        <v/>
      </c>
      <c r="K104" s="27" t="str">
        <f t="shared" si="4"/>
        <v>例目</v>
      </c>
      <c r="M104" s="4" t="str">
        <f>TEXT(IF(ROW(A102)&gt;MAX(Main!$D$4:$D$1048576),"",INDEX(Main!Q$4:Q$1048576,MATCH(ROW(A102),Main!$D$4:$D$1048576,0))), "yyyy/m/d")</f>
        <v/>
      </c>
      <c r="N104" s="1" t="str">
        <f>IF(IF(ROW(A102)&gt;MAX(Main!$D$4:$D$1048576),"",INDEX(Main!G$4:G$1048576,MATCH(ROW(A102),Main!$D$4:$D$1048576,0)))="",IF(M104="","",N103),IF(ROW(A102)&gt;MAX(Main!$D$4:$D$1048576),"",INDEX(Main!G$4:G$1048576,MATCH(ROW(A102),Main!$D$4:$D$1048576,0))))</f>
        <v/>
      </c>
      <c r="O104" s="1" t="str">
        <f>IF(IF(ROW(B102)&gt;MAX(Main!$D$4:$D$1048576),"",INDEX(Main!H$4:H$1048576,MATCH(ROW(B102),Main!$D$4:$D$1048576,0)))="",IF(N104="","",O103),IF(ROW(B102)&gt;MAX(Main!$D$4:$D$1048576),"",INDEX(Main!H$4:H$1048576,MATCH(ROW(B102),Main!$D$4:$D$1048576,0))))</f>
        <v/>
      </c>
      <c r="P104" s="1" t="str">
        <f>IF(IF(ROW(C102)&gt;MAX(Main!$D$4:$D$1048576),"",INDEX(Main!I$4:I$1048576,MATCH(ROW(C102),Main!$D$4:$D$1048576,0)))="",IF(O104="","",P103),IF(ROW(C102)&gt;MAX(Main!$D$4:$D$1048576),"",INDEX(Main!I$4:I$1048576,MATCH(ROW(C102),Main!$D$4:$D$1048576,0))))</f>
        <v/>
      </c>
      <c r="Q104" s="1" t="str">
        <f t="shared" si="5"/>
        <v/>
      </c>
      <c r="R104" s="1" t="str">
        <f>IF(IF(ROW(D102)&gt;MAX(Main!$D$4:$D$1048576),"",INDEX(Main!J$4:J$1048576,MATCH(ROW(D102),Main!$D$4:$D$1048576,0)))="",IF(P104="","",R103),IF(ROW(D102)&gt;MAX(Main!$D$4:$D$1048576),"",INDEX(Main!J$4:J$1048576,MATCH(ROW(D102),Main!$D$4:$D$1048576,0))))</f>
        <v/>
      </c>
      <c r="S104" s="9" t="str">
        <f>IF(ROW(G102)&gt;MAX(Main!$D$4:$D$1048576),"",INDEX(Main!K$4:K$1048576,MATCH(ROW(G102),Main!$D$4:$D$1048576,0)))</f>
        <v/>
      </c>
      <c r="T104" s="1" t="str">
        <f>IF(S104&lt;&gt;"",IF(ROW(G102)&gt;MAX(Main!$D$4:$D$1048576),"",INDEX(Main!N$4:N$1048576,MATCH(ROW(G102),Main!$D$4:$D$1048576,0))),"")</f>
        <v/>
      </c>
      <c r="U104" s="1" t="str">
        <f>IF(IF(ROW(H102)&gt;MAX(Main!$D$4:$D$1048576),"",INDEX(Main!O$4:O$1048576,MATCH(ROW(H102),Main!$D$4:$D$1048576,0)))="",IF(T104="","",U103),IF(ROW(H102)&gt;MAX(Main!$D$4:$D$1048576),"",INDEX(Main!O$4:O$1048576,MATCH(ROW(H102),Main!$D$4:$D$1048576,0))))</f>
        <v/>
      </c>
    </row>
    <row r="105" spans="1:21" x14ac:dyDescent="0.4">
      <c r="A105" t="s">
        <v>21</v>
      </c>
      <c r="B105" s="4" t="str">
        <f>TEXT(IF(ROW(A103)&gt;MAX(Main!$C$4:$C$1048576),"",INDEX(Main!Q$4:Q$1048576,MATCH(ROW(A103),Main!$C$4:$C$1048576,0))), "yyyy/m/d")</f>
        <v/>
      </c>
      <c r="C105" s="1" t="str">
        <f>IF(IF(ROW(A103)&gt;MAX(Main!$C$4:$C$1048576),"",INDEX(Main!G$4:G$1048576,MATCH(ROW(A103),Main!$C$4:$C$1048576,0)))="",IF(B105="","",C104),IF(ROW(A103)&gt;MAX(Main!$C$4:$C$1048576),"",INDEX(Main!G$4:G$1048576,MATCH(ROW(A103),Main!$C$4:$C$1048576,0))))</f>
        <v/>
      </c>
      <c r="D105" s="1" t="str">
        <f>IF(IF(ROW(B103)&gt;MAX(Main!$C$4:$C$1048576),"",INDEX(Main!H$4:H$1048576,MATCH(ROW(B103),Main!$C$4:$C$1048576,0)))="",IF(C105="","",D104),IF(ROW(B103)&gt;MAX(Main!$C$4:$C$1048576),"",INDEX(Main!H$4:H$1048576,MATCH(ROW(B103),Main!$C$4:$C$1048576,0))))</f>
        <v/>
      </c>
      <c r="E105" s="1" t="str">
        <f>IF(IF(ROW(C103)&gt;MAX(Main!$C$4:$C$1048576),"",INDEX(Main!I$4:I$1048576,MATCH(ROW(C103),Main!$C$4:$C$1048576,0)))="",IF(D105="","",E104),IF(ROW(C103)&gt;MAX(Main!$C$4:$C$1048576),"",INDEX(Main!I$4:I$1048576,MATCH(ROW(C103),Main!$C$4:$C$1048576,0))))</f>
        <v/>
      </c>
      <c r="F105" s="1" t="str">
        <f t="shared" si="3"/>
        <v/>
      </c>
      <c r="G105" s="1" t="str">
        <f>IF(IF(ROW(D103)&gt;MAX(Main!$C$4:$C$1048576),"",INDEX(Main!J$4:J$1048576,MATCH(ROW(D103),Main!$C$4:$C$1048576,0)))="",IF(E105="","",G104),IF(ROW(D103)&gt;MAX(Main!$C$4:$C$1048576),"",INDEX(Main!J$4:J$1048576,MATCH(ROW(D103),Main!$C$4:$C$1048576,0))))</f>
        <v/>
      </c>
      <c r="H105" s="10" t="str">
        <f>IF(ROW(G103)&gt;MAX(Main!$C$4:$C$1048576),"",INDEX(Main!K$4:K$1048576,MATCH(ROW(G103),Main!$C$4:$C$1048576,0)))</f>
        <v/>
      </c>
      <c r="I105" s="1" t="str">
        <f>IF(H105&lt;&gt;"",IF(ROW(G103)&gt;MAX(Main!$C$4:$C$1048576),"",INDEX(Main!N$4:N$1048576,MATCH(ROW(G103),Main!$C$4:$C$1048576,0))),"")</f>
        <v/>
      </c>
      <c r="J105" s="1" t="str">
        <f>IF(IF(ROW(H103)&gt;MAX(Main!$C$4:$C$1048576),"",INDEX(Main!O$4:O$1048576,MATCH(ROW(H103),Main!$C$4:$C$1048576,0)))="",IF(I105="","",J104),IF(ROW(H103)&gt;MAX(Main!$C$4:$C$1048576),"",INDEX(Main!O$4:O$1048576,MATCH(ROW(H103),Main!$C$4:$C$1048576,0))))</f>
        <v/>
      </c>
      <c r="K105" s="27" t="str">
        <f t="shared" si="4"/>
        <v>例目</v>
      </c>
      <c r="M105" s="4" t="str">
        <f>TEXT(IF(ROW(A103)&gt;MAX(Main!$D$4:$D$1048576),"",INDEX(Main!Q$4:Q$1048576,MATCH(ROW(A103),Main!$D$4:$D$1048576,0))), "yyyy/m/d")</f>
        <v/>
      </c>
      <c r="N105" s="1" t="str">
        <f>IF(IF(ROW(A103)&gt;MAX(Main!$D$4:$D$1048576),"",INDEX(Main!G$4:G$1048576,MATCH(ROW(A103),Main!$D$4:$D$1048576,0)))="",IF(M105="","",N104),IF(ROW(A103)&gt;MAX(Main!$D$4:$D$1048576),"",INDEX(Main!G$4:G$1048576,MATCH(ROW(A103),Main!$D$4:$D$1048576,0))))</f>
        <v/>
      </c>
      <c r="O105" s="1" t="str">
        <f>IF(IF(ROW(B103)&gt;MAX(Main!$D$4:$D$1048576),"",INDEX(Main!H$4:H$1048576,MATCH(ROW(B103),Main!$D$4:$D$1048576,0)))="",IF(N105="","",O104),IF(ROW(B103)&gt;MAX(Main!$D$4:$D$1048576),"",INDEX(Main!H$4:H$1048576,MATCH(ROW(B103),Main!$D$4:$D$1048576,0))))</f>
        <v/>
      </c>
      <c r="P105" s="1" t="str">
        <f>IF(IF(ROW(C103)&gt;MAX(Main!$D$4:$D$1048576),"",INDEX(Main!I$4:I$1048576,MATCH(ROW(C103),Main!$D$4:$D$1048576,0)))="",IF(O105="","",P104),IF(ROW(C103)&gt;MAX(Main!$D$4:$D$1048576),"",INDEX(Main!I$4:I$1048576,MATCH(ROW(C103),Main!$D$4:$D$1048576,0))))</f>
        <v/>
      </c>
      <c r="Q105" s="1" t="str">
        <f t="shared" si="5"/>
        <v/>
      </c>
      <c r="R105" s="1" t="str">
        <f>IF(IF(ROW(D103)&gt;MAX(Main!$D$4:$D$1048576),"",INDEX(Main!J$4:J$1048576,MATCH(ROW(D103),Main!$D$4:$D$1048576,0)))="",IF(P105="","",R104),IF(ROW(D103)&gt;MAX(Main!$D$4:$D$1048576),"",INDEX(Main!J$4:J$1048576,MATCH(ROW(D103),Main!$D$4:$D$1048576,0))))</f>
        <v/>
      </c>
      <c r="S105" s="9" t="str">
        <f>IF(ROW(G103)&gt;MAX(Main!$D$4:$D$1048576),"",INDEX(Main!K$4:K$1048576,MATCH(ROW(G103),Main!$D$4:$D$1048576,0)))</f>
        <v/>
      </c>
      <c r="T105" s="1" t="str">
        <f>IF(S105&lt;&gt;"",IF(ROW(G103)&gt;MAX(Main!$D$4:$D$1048576),"",INDEX(Main!N$4:N$1048576,MATCH(ROW(G103),Main!$D$4:$D$1048576,0))),"")</f>
        <v/>
      </c>
      <c r="U105" s="1" t="str">
        <f>IF(IF(ROW(H103)&gt;MAX(Main!$D$4:$D$1048576),"",INDEX(Main!O$4:O$1048576,MATCH(ROW(H103),Main!$D$4:$D$1048576,0)))="",IF(T105="","",U104),IF(ROW(H103)&gt;MAX(Main!$D$4:$D$1048576),"",INDEX(Main!O$4:O$1048576,MATCH(ROW(H103),Main!$D$4:$D$1048576,0))))</f>
        <v/>
      </c>
    </row>
    <row r="106" spans="1:21" x14ac:dyDescent="0.4">
      <c r="A106" t="s">
        <v>21</v>
      </c>
      <c r="B106" s="4" t="str">
        <f>TEXT(IF(ROW(A104)&gt;MAX(Main!$C$4:$C$1048576),"",INDEX(Main!Q$4:Q$1048576,MATCH(ROW(A104),Main!$C$4:$C$1048576,0))), "yyyy/m/d")</f>
        <v/>
      </c>
      <c r="C106" s="1" t="str">
        <f>IF(IF(ROW(A104)&gt;MAX(Main!$C$4:$C$1048576),"",INDEX(Main!G$4:G$1048576,MATCH(ROW(A104),Main!$C$4:$C$1048576,0)))="",IF(B106="","",C105),IF(ROW(A104)&gt;MAX(Main!$C$4:$C$1048576),"",INDEX(Main!G$4:G$1048576,MATCH(ROW(A104),Main!$C$4:$C$1048576,0))))</f>
        <v/>
      </c>
      <c r="D106" s="1" t="str">
        <f>IF(IF(ROW(B104)&gt;MAX(Main!$C$4:$C$1048576),"",INDEX(Main!H$4:H$1048576,MATCH(ROW(B104),Main!$C$4:$C$1048576,0)))="",IF(C106="","",D105),IF(ROW(B104)&gt;MAX(Main!$C$4:$C$1048576),"",INDEX(Main!H$4:H$1048576,MATCH(ROW(B104),Main!$C$4:$C$1048576,0))))</f>
        <v/>
      </c>
      <c r="E106" s="1" t="str">
        <f>IF(IF(ROW(C104)&gt;MAX(Main!$C$4:$C$1048576),"",INDEX(Main!I$4:I$1048576,MATCH(ROW(C104),Main!$C$4:$C$1048576,0)))="",IF(D106="","",E105),IF(ROW(C104)&gt;MAX(Main!$C$4:$C$1048576),"",INDEX(Main!I$4:I$1048576,MATCH(ROW(C104),Main!$C$4:$C$1048576,0))))</f>
        <v/>
      </c>
      <c r="F106" s="1" t="str">
        <f t="shared" si="3"/>
        <v/>
      </c>
      <c r="G106" s="1" t="str">
        <f>IF(IF(ROW(D104)&gt;MAX(Main!$C$4:$C$1048576),"",INDEX(Main!J$4:J$1048576,MATCH(ROW(D104),Main!$C$4:$C$1048576,0)))="",IF(E106="","",G105),IF(ROW(D104)&gt;MAX(Main!$C$4:$C$1048576),"",INDEX(Main!J$4:J$1048576,MATCH(ROW(D104),Main!$C$4:$C$1048576,0))))</f>
        <v/>
      </c>
      <c r="H106" s="10" t="str">
        <f>IF(ROW(G104)&gt;MAX(Main!$C$4:$C$1048576),"",INDEX(Main!K$4:K$1048576,MATCH(ROW(G104),Main!$C$4:$C$1048576,0)))</f>
        <v/>
      </c>
      <c r="I106" s="1" t="str">
        <f>IF(H106&lt;&gt;"",IF(ROW(G104)&gt;MAX(Main!$C$4:$C$1048576),"",INDEX(Main!N$4:N$1048576,MATCH(ROW(G104),Main!$C$4:$C$1048576,0))),"")</f>
        <v/>
      </c>
      <c r="J106" s="1" t="str">
        <f>IF(IF(ROW(H104)&gt;MAX(Main!$C$4:$C$1048576),"",INDEX(Main!O$4:O$1048576,MATCH(ROW(H104),Main!$C$4:$C$1048576,0)))="",IF(I106="","",J105),IF(ROW(H104)&gt;MAX(Main!$C$4:$C$1048576),"",INDEX(Main!O$4:O$1048576,MATCH(ROW(H104),Main!$C$4:$C$1048576,0))))</f>
        <v/>
      </c>
      <c r="K106" s="27" t="str">
        <f t="shared" si="4"/>
        <v>例目</v>
      </c>
      <c r="M106" s="4" t="str">
        <f>TEXT(IF(ROW(A104)&gt;MAX(Main!$D$4:$D$1048576),"",INDEX(Main!Q$4:Q$1048576,MATCH(ROW(A104),Main!$D$4:$D$1048576,0))), "yyyy/m/d")</f>
        <v/>
      </c>
      <c r="N106" s="1" t="str">
        <f>IF(IF(ROW(A104)&gt;MAX(Main!$D$4:$D$1048576),"",INDEX(Main!G$4:G$1048576,MATCH(ROW(A104),Main!$D$4:$D$1048576,0)))="",IF(M106="","",N105),IF(ROW(A104)&gt;MAX(Main!$D$4:$D$1048576),"",INDEX(Main!G$4:G$1048576,MATCH(ROW(A104),Main!$D$4:$D$1048576,0))))</f>
        <v/>
      </c>
      <c r="O106" s="1" t="str">
        <f>IF(IF(ROW(B104)&gt;MAX(Main!$D$4:$D$1048576),"",INDEX(Main!H$4:H$1048576,MATCH(ROW(B104),Main!$D$4:$D$1048576,0)))="",IF(N106="","",O105),IF(ROW(B104)&gt;MAX(Main!$D$4:$D$1048576),"",INDEX(Main!H$4:H$1048576,MATCH(ROW(B104),Main!$D$4:$D$1048576,0))))</f>
        <v/>
      </c>
      <c r="P106" s="1" t="str">
        <f>IF(IF(ROW(C104)&gt;MAX(Main!$D$4:$D$1048576),"",INDEX(Main!I$4:I$1048576,MATCH(ROW(C104),Main!$D$4:$D$1048576,0)))="",IF(O106="","",P105),IF(ROW(C104)&gt;MAX(Main!$D$4:$D$1048576),"",INDEX(Main!I$4:I$1048576,MATCH(ROW(C104),Main!$D$4:$D$1048576,0))))</f>
        <v/>
      </c>
      <c r="Q106" s="1" t="str">
        <f t="shared" si="5"/>
        <v/>
      </c>
      <c r="R106" s="1" t="str">
        <f>IF(IF(ROW(D104)&gt;MAX(Main!$D$4:$D$1048576),"",INDEX(Main!J$4:J$1048576,MATCH(ROW(D104),Main!$D$4:$D$1048576,0)))="",IF(P106="","",R105),IF(ROW(D104)&gt;MAX(Main!$D$4:$D$1048576),"",INDEX(Main!J$4:J$1048576,MATCH(ROW(D104),Main!$D$4:$D$1048576,0))))</f>
        <v/>
      </c>
      <c r="S106" s="9" t="str">
        <f>IF(ROW(G104)&gt;MAX(Main!$D$4:$D$1048576),"",INDEX(Main!K$4:K$1048576,MATCH(ROW(G104),Main!$D$4:$D$1048576,0)))</f>
        <v/>
      </c>
      <c r="T106" s="1" t="str">
        <f>IF(S106&lt;&gt;"",IF(ROW(G104)&gt;MAX(Main!$D$4:$D$1048576),"",INDEX(Main!N$4:N$1048576,MATCH(ROW(G104),Main!$D$4:$D$1048576,0))),"")</f>
        <v/>
      </c>
      <c r="U106" s="1" t="str">
        <f>IF(IF(ROW(H104)&gt;MAX(Main!$D$4:$D$1048576),"",INDEX(Main!O$4:O$1048576,MATCH(ROW(H104),Main!$D$4:$D$1048576,0)))="",IF(T106="","",U105),IF(ROW(H104)&gt;MAX(Main!$D$4:$D$1048576),"",INDEX(Main!O$4:O$1048576,MATCH(ROW(H104),Main!$D$4:$D$1048576,0))))</f>
        <v/>
      </c>
    </row>
    <row r="107" spans="1:21" x14ac:dyDescent="0.4">
      <c r="A107" t="s">
        <v>21</v>
      </c>
      <c r="B107" s="4" t="str">
        <f>TEXT(IF(ROW(A105)&gt;MAX(Main!$C$4:$C$1048576),"",INDEX(Main!Q$4:Q$1048576,MATCH(ROW(A105),Main!$C$4:$C$1048576,0))), "yyyy/m/d")</f>
        <v/>
      </c>
      <c r="C107" s="1" t="str">
        <f>IF(IF(ROW(A105)&gt;MAX(Main!$C$4:$C$1048576),"",INDEX(Main!G$4:G$1048576,MATCH(ROW(A105),Main!$C$4:$C$1048576,0)))="",IF(B107="","",C106),IF(ROW(A105)&gt;MAX(Main!$C$4:$C$1048576),"",INDEX(Main!G$4:G$1048576,MATCH(ROW(A105),Main!$C$4:$C$1048576,0))))</f>
        <v/>
      </c>
      <c r="D107" s="1" t="str">
        <f>IF(IF(ROW(B105)&gt;MAX(Main!$C$4:$C$1048576),"",INDEX(Main!H$4:H$1048576,MATCH(ROW(B105),Main!$C$4:$C$1048576,0)))="",IF(C107="","",D106),IF(ROW(B105)&gt;MAX(Main!$C$4:$C$1048576),"",INDEX(Main!H$4:H$1048576,MATCH(ROW(B105),Main!$C$4:$C$1048576,0))))</f>
        <v/>
      </c>
      <c r="E107" s="1" t="str">
        <f>IF(IF(ROW(C105)&gt;MAX(Main!$C$4:$C$1048576),"",INDEX(Main!I$4:I$1048576,MATCH(ROW(C105),Main!$C$4:$C$1048576,0)))="",IF(D107="","",E106),IF(ROW(C105)&gt;MAX(Main!$C$4:$C$1048576),"",INDEX(Main!I$4:I$1048576,MATCH(ROW(C105),Main!$C$4:$C$1048576,0))))</f>
        <v/>
      </c>
      <c r="F107" s="1" t="str">
        <f t="shared" si="3"/>
        <v/>
      </c>
      <c r="G107" s="1" t="str">
        <f>IF(IF(ROW(D105)&gt;MAX(Main!$C$4:$C$1048576),"",INDEX(Main!J$4:J$1048576,MATCH(ROW(D105),Main!$C$4:$C$1048576,0)))="",IF(E107="","",G106),IF(ROW(D105)&gt;MAX(Main!$C$4:$C$1048576),"",INDEX(Main!J$4:J$1048576,MATCH(ROW(D105),Main!$C$4:$C$1048576,0))))</f>
        <v/>
      </c>
      <c r="H107" s="10" t="str">
        <f>IF(ROW(G105)&gt;MAX(Main!$C$4:$C$1048576),"",INDEX(Main!K$4:K$1048576,MATCH(ROW(G105),Main!$C$4:$C$1048576,0)))</f>
        <v/>
      </c>
      <c r="I107" s="1" t="str">
        <f>IF(H107&lt;&gt;"",IF(ROW(G105)&gt;MAX(Main!$C$4:$C$1048576),"",INDEX(Main!N$4:N$1048576,MATCH(ROW(G105),Main!$C$4:$C$1048576,0))),"")</f>
        <v/>
      </c>
      <c r="J107" s="1" t="str">
        <f>IF(IF(ROW(H105)&gt;MAX(Main!$C$4:$C$1048576),"",INDEX(Main!O$4:O$1048576,MATCH(ROW(H105),Main!$C$4:$C$1048576,0)))="",IF(I107="","",J106),IF(ROW(H105)&gt;MAX(Main!$C$4:$C$1048576),"",INDEX(Main!O$4:O$1048576,MATCH(ROW(H105),Main!$C$4:$C$1048576,0))))</f>
        <v/>
      </c>
      <c r="K107" s="27" t="str">
        <f t="shared" si="4"/>
        <v>例目</v>
      </c>
      <c r="M107" s="4" t="str">
        <f>TEXT(IF(ROW(A105)&gt;MAX(Main!$D$4:$D$1048576),"",INDEX(Main!Q$4:Q$1048576,MATCH(ROW(A105),Main!$D$4:$D$1048576,0))), "yyyy/m/d")</f>
        <v/>
      </c>
      <c r="N107" s="1" t="str">
        <f>IF(IF(ROW(A105)&gt;MAX(Main!$D$4:$D$1048576),"",INDEX(Main!G$4:G$1048576,MATCH(ROW(A105),Main!$D$4:$D$1048576,0)))="",IF(M107="","",N106),IF(ROW(A105)&gt;MAX(Main!$D$4:$D$1048576),"",INDEX(Main!G$4:G$1048576,MATCH(ROW(A105),Main!$D$4:$D$1048576,0))))</f>
        <v/>
      </c>
      <c r="O107" s="1" t="str">
        <f>IF(IF(ROW(B105)&gt;MAX(Main!$D$4:$D$1048576),"",INDEX(Main!H$4:H$1048576,MATCH(ROW(B105),Main!$D$4:$D$1048576,0)))="",IF(N107="","",O106),IF(ROW(B105)&gt;MAX(Main!$D$4:$D$1048576),"",INDEX(Main!H$4:H$1048576,MATCH(ROW(B105),Main!$D$4:$D$1048576,0))))</f>
        <v/>
      </c>
      <c r="P107" s="1" t="str">
        <f>IF(IF(ROW(C105)&gt;MAX(Main!$D$4:$D$1048576),"",INDEX(Main!I$4:I$1048576,MATCH(ROW(C105),Main!$D$4:$D$1048576,0)))="",IF(O107="","",P106),IF(ROW(C105)&gt;MAX(Main!$D$4:$D$1048576),"",INDEX(Main!I$4:I$1048576,MATCH(ROW(C105),Main!$D$4:$D$1048576,0))))</f>
        <v/>
      </c>
      <c r="Q107" s="1" t="str">
        <f t="shared" si="5"/>
        <v/>
      </c>
      <c r="R107" s="1" t="str">
        <f>IF(IF(ROW(D105)&gt;MAX(Main!$D$4:$D$1048576),"",INDEX(Main!J$4:J$1048576,MATCH(ROW(D105),Main!$D$4:$D$1048576,0)))="",IF(P107="","",R106),IF(ROW(D105)&gt;MAX(Main!$D$4:$D$1048576),"",INDEX(Main!J$4:J$1048576,MATCH(ROW(D105),Main!$D$4:$D$1048576,0))))</f>
        <v/>
      </c>
      <c r="S107" s="9" t="str">
        <f>IF(ROW(G105)&gt;MAX(Main!$D$4:$D$1048576),"",INDEX(Main!K$4:K$1048576,MATCH(ROW(G105),Main!$D$4:$D$1048576,0)))</f>
        <v/>
      </c>
      <c r="T107" s="1" t="str">
        <f>IF(S107&lt;&gt;"",IF(ROW(G105)&gt;MAX(Main!$D$4:$D$1048576),"",INDEX(Main!N$4:N$1048576,MATCH(ROW(G105),Main!$D$4:$D$1048576,0))),"")</f>
        <v/>
      </c>
      <c r="U107" s="1" t="str">
        <f>IF(IF(ROW(H105)&gt;MAX(Main!$D$4:$D$1048576),"",INDEX(Main!O$4:O$1048576,MATCH(ROW(H105),Main!$D$4:$D$1048576,0)))="",IF(T107="","",U106),IF(ROW(H105)&gt;MAX(Main!$D$4:$D$1048576),"",INDEX(Main!O$4:O$1048576,MATCH(ROW(H105),Main!$D$4:$D$1048576,0))))</f>
        <v/>
      </c>
    </row>
    <row r="108" spans="1:21" x14ac:dyDescent="0.4">
      <c r="A108" t="s">
        <v>21</v>
      </c>
      <c r="B108" s="4" t="str">
        <f>TEXT(IF(ROW(A106)&gt;MAX(Main!$C$4:$C$1048576),"",INDEX(Main!Q$4:Q$1048576,MATCH(ROW(A106),Main!$C$4:$C$1048576,0))), "yyyy/m/d")</f>
        <v/>
      </c>
      <c r="C108" s="1" t="str">
        <f>IF(IF(ROW(A106)&gt;MAX(Main!$C$4:$C$1048576),"",INDEX(Main!G$4:G$1048576,MATCH(ROW(A106),Main!$C$4:$C$1048576,0)))="",IF(B108="","",C107),IF(ROW(A106)&gt;MAX(Main!$C$4:$C$1048576),"",INDEX(Main!G$4:G$1048576,MATCH(ROW(A106),Main!$C$4:$C$1048576,0))))</f>
        <v/>
      </c>
      <c r="D108" s="1" t="str">
        <f>IF(IF(ROW(B106)&gt;MAX(Main!$C$4:$C$1048576),"",INDEX(Main!H$4:H$1048576,MATCH(ROW(B106),Main!$C$4:$C$1048576,0)))="",IF(C108="","",D107),IF(ROW(B106)&gt;MAX(Main!$C$4:$C$1048576),"",INDEX(Main!H$4:H$1048576,MATCH(ROW(B106),Main!$C$4:$C$1048576,0))))</f>
        <v/>
      </c>
      <c r="E108" s="1" t="str">
        <f>IF(IF(ROW(C106)&gt;MAX(Main!$C$4:$C$1048576),"",INDEX(Main!I$4:I$1048576,MATCH(ROW(C106),Main!$C$4:$C$1048576,0)))="",IF(D108="","",E107),IF(ROW(C106)&gt;MAX(Main!$C$4:$C$1048576),"",INDEX(Main!I$4:I$1048576,MATCH(ROW(C106),Main!$C$4:$C$1048576,0))))</f>
        <v/>
      </c>
      <c r="F108" s="1" t="str">
        <f t="shared" si="3"/>
        <v/>
      </c>
      <c r="G108" s="1" t="str">
        <f>IF(IF(ROW(D106)&gt;MAX(Main!$C$4:$C$1048576),"",INDEX(Main!J$4:J$1048576,MATCH(ROW(D106),Main!$C$4:$C$1048576,0)))="",IF(E108="","",G107),IF(ROW(D106)&gt;MAX(Main!$C$4:$C$1048576),"",INDEX(Main!J$4:J$1048576,MATCH(ROW(D106),Main!$C$4:$C$1048576,0))))</f>
        <v/>
      </c>
      <c r="H108" s="10" t="str">
        <f>IF(ROW(G106)&gt;MAX(Main!$C$4:$C$1048576),"",INDEX(Main!K$4:K$1048576,MATCH(ROW(G106),Main!$C$4:$C$1048576,0)))</f>
        <v/>
      </c>
      <c r="I108" s="1" t="str">
        <f>IF(H108&lt;&gt;"",IF(ROW(G106)&gt;MAX(Main!$C$4:$C$1048576),"",INDEX(Main!N$4:N$1048576,MATCH(ROW(G106),Main!$C$4:$C$1048576,0))),"")</f>
        <v/>
      </c>
      <c r="J108" s="1" t="str">
        <f>IF(IF(ROW(H106)&gt;MAX(Main!$C$4:$C$1048576),"",INDEX(Main!O$4:O$1048576,MATCH(ROW(H106),Main!$C$4:$C$1048576,0)))="",IF(I108="","",J107),IF(ROW(H106)&gt;MAX(Main!$C$4:$C$1048576),"",INDEX(Main!O$4:O$1048576,MATCH(ROW(H106),Main!$C$4:$C$1048576,0))))</f>
        <v/>
      </c>
      <c r="K108" s="27" t="str">
        <f t="shared" si="4"/>
        <v>例目</v>
      </c>
      <c r="M108" s="4" t="str">
        <f>TEXT(IF(ROW(A106)&gt;MAX(Main!$D$4:$D$1048576),"",INDEX(Main!Q$4:Q$1048576,MATCH(ROW(A106),Main!$D$4:$D$1048576,0))), "yyyy/m/d")</f>
        <v/>
      </c>
      <c r="N108" s="1" t="str">
        <f>IF(IF(ROW(A106)&gt;MAX(Main!$D$4:$D$1048576),"",INDEX(Main!G$4:G$1048576,MATCH(ROW(A106),Main!$D$4:$D$1048576,0)))="",IF(M108="","",N107),IF(ROW(A106)&gt;MAX(Main!$D$4:$D$1048576),"",INDEX(Main!G$4:G$1048576,MATCH(ROW(A106),Main!$D$4:$D$1048576,0))))</f>
        <v/>
      </c>
      <c r="O108" s="1" t="str">
        <f>IF(IF(ROW(B106)&gt;MAX(Main!$D$4:$D$1048576),"",INDEX(Main!H$4:H$1048576,MATCH(ROW(B106),Main!$D$4:$D$1048576,0)))="",IF(N108="","",O107),IF(ROW(B106)&gt;MAX(Main!$D$4:$D$1048576),"",INDEX(Main!H$4:H$1048576,MATCH(ROW(B106),Main!$D$4:$D$1048576,0))))</f>
        <v/>
      </c>
      <c r="P108" s="1" t="str">
        <f>IF(IF(ROW(C106)&gt;MAX(Main!$D$4:$D$1048576),"",INDEX(Main!I$4:I$1048576,MATCH(ROW(C106),Main!$D$4:$D$1048576,0)))="",IF(O108="","",P107),IF(ROW(C106)&gt;MAX(Main!$D$4:$D$1048576),"",INDEX(Main!I$4:I$1048576,MATCH(ROW(C106),Main!$D$4:$D$1048576,0))))</f>
        <v/>
      </c>
      <c r="Q108" s="1" t="str">
        <f t="shared" si="5"/>
        <v/>
      </c>
      <c r="R108" s="1" t="str">
        <f>IF(IF(ROW(D106)&gt;MAX(Main!$D$4:$D$1048576),"",INDEX(Main!J$4:J$1048576,MATCH(ROW(D106),Main!$D$4:$D$1048576,0)))="",IF(P108="","",R107),IF(ROW(D106)&gt;MAX(Main!$D$4:$D$1048576),"",INDEX(Main!J$4:J$1048576,MATCH(ROW(D106),Main!$D$4:$D$1048576,0))))</f>
        <v/>
      </c>
      <c r="S108" s="9" t="str">
        <f>IF(ROW(G106)&gt;MAX(Main!$D$4:$D$1048576),"",INDEX(Main!K$4:K$1048576,MATCH(ROW(G106),Main!$D$4:$D$1048576,0)))</f>
        <v/>
      </c>
      <c r="T108" s="1" t="str">
        <f>IF(S108&lt;&gt;"",IF(ROW(G106)&gt;MAX(Main!$D$4:$D$1048576),"",INDEX(Main!N$4:N$1048576,MATCH(ROW(G106),Main!$D$4:$D$1048576,0))),"")</f>
        <v/>
      </c>
      <c r="U108" s="1" t="str">
        <f>IF(IF(ROW(H106)&gt;MAX(Main!$D$4:$D$1048576),"",INDEX(Main!O$4:O$1048576,MATCH(ROW(H106),Main!$D$4:$D$1048576,0)))="",IF(T108="","",U107),IF(ROW(H106)&gt;MAX(Main!$D$4:$D$1048576),"",INDEX(Main!O$4:O$1048576,MATCH(ROW(H106),Main!$D$4:$D$1048576,0))))</f>
        <v/>
      </c>
    </row>
    <row r="109" spans="1:21" x14ac:dyDescent="0.4">
      <c r="A109" t="s">
        <v>21</v>
      </c>
      <c r="B109" s="4" t="str">
        <f>TEXT(IF(ROW(A107)&gt;MAX(Main!$C$4:$C$1048576),"",INDEX(Main!Q$4:Q$1048576,MATCH(ROW(A107),Main!$C$4:$C$1048576,0))), "yyyy/m/d")</f>
        <v/>
      </c>
      <c r="C109" s="1" t="str">
        <f>IF(IF(ROW(A107)&gt;MAX(Main!$C$4:$C$1048576),"",INDEX(Main!G$4:G$1048576,MATCH(ROW(A107),Main!$C$4:$C$1048576,0)))="",IF(B109="","",C108),IF(ROW(A107)&gt;MAX(Main!$C$4:$C$1048576),"",INDEX(Main!G$4:G$1048576,MATCH(ROW(A107),Main!$C$4:$C$1048576,0))))</f>
        <v/>
      </c>
      <c r="D109" s="1" t="str">
        <f>IF(IF(ROW(B107)&gt;MAX(Main!$C$4:$C$1048576),"",INDEX(Main!H$4:H$1048576,MATCH(ROW(B107),Main!$C$4:$C$1048576,0)))="",IF(C109="","",D108),IF(ROW(B107)&gt;MAX(Main!$C$4:$C$1048576),"",INDEX(Main!H$4:H$1048576,MATCH(ROW(B107),Main!$C$4:$C$1048576,0))))</f>
        <v/>
      </c>
      <c r="E109" s="1" t="str">
        <f>IF(IF(ROW(C107)&gt;MAX(Main!$C$4:$C$1048576),"",INDEX(Main!I$4:I$1048576,MATCH(ROW(C107),Main!$C$4:$C$1048576,0)))="",IF(D109="","",E108),IF(ROW(C107)&gt;MAX(Main!$C$4:$C$1048576),"",INDEX(Main!I$4:I$1048576,MATCH(ROW(C107),Main!$C$4:$C$1048576,0))))</f>
        <v/>
      </c>
      <c r="F109" s="1" t="str">
        <f t="shared" si="3"/>
        <v/>
      </c>
      <c r="G109" s="1" t="str">
        <f>IF(IF(ROW(D107)&gt;MAX(Main!$C$4:$C$1048576),"",INDEX(Main!J$4:J$1048576,MATCH(ROW(D107),Main!$C$4:$C$1048576,0)))="",IF(E109="","",G108),IF(ROW(D107)&gt;MAX(Main!$C$4:$C$1048576),"",INDEX(Main!J$4:J$1048576,MATCH(ROW(D107),Main!$C$4:$C$1048576,0))))</f>
        <v/>
      </c>
      <c r="H109" s="10" t="str">
        <f>IF(ROW(G107)&gt;MAX(Main!$C$4:$C$1048576),"",INDEX(Main!K$4:K$1048576,MATCH(ROW(G107),Main!$C$4:$C$1048576,0)))</f>
        <v/>
      </c>
      <c r="I109" s="1" t="str">
        <f>IF(H109&lt;&gt;"",IF(ROW(G107)&gt;MAX(Main!$C$4:$C$1048576),"",INDEX(Main!N$4:N$1048576,MATCH(ROW(G107),Main!$C$4:$C$1048576,0))),"")</f>
        <v/>
      </c>
      <c r="J109" s="1" t="str">
        <f>IF(IF(ROW(H107)&gt;MAX(Main!$C$4:$C$1048576),"",INDEX(Main!O$4:O$1048576,MATCH(ROW(H107),Main!$C$4:$C$1048576,0)))="",IF(I109="","",J108),IF(ROW(H107)&gt;MAX(Main!$C$4:$C$1048576),"",INDEX(Main!O$4:O$1048576,MATCH(ROW(H107),Main!$C$4:$C$1048576,0))))</f>
        <v/>
      </c>
      <c r="K109" s="27" t="str">
        <f t="shared" si="4"/>
        <v>例目</v>
      </c>
      <c r="M109" s="4" t="str">
        <f>TEXT(IF(ROW(A107)&gt;MAX(Main!$D$4:$D$1048576),"",INDEX(Main!Q$4:Q$1048576,MATCH(ROW(A107),Main!$D$4:$D$1048576,0))), "yyyy/m/d")</f>
        <v/>
      </c>
      <c r="N109" s="1" t="str">
        <f>IF(IF(ROW(A107)&gt;MAX(Main!$D$4:$D$1048576),"",INDEX(Main!G$4:G$1048576,MATCH(ROW(A107),Main!$D$4:$D$1048576,0)))="",IF(M109="","",N108),IF(ROW(A107)&gt;MAX(Main!$D$4:$D$1048576),"",INDEX(Main!G$4:G$1048576,MATCH(ROW(A107),Main!$D$4:$D$1048576,0))))</f>
        <v/>
      </c>
      <c r="O109" s="1" t="str">
        <f>IF(IF(ROW(B107)&gt;MAX(Main!$D$4:$D$1048576),"",INDEX(Main!H$4:H$1048576,MATCH(ROW(B107),Main!$D$4:$D$1048576,0)))="",IF(N109="","",O108),IF(ROW(B107)&gt;MAX(Main!$D$4:$D$1048576),"",INDEX(Main!H$4:H$1048576,MATCH(ROW(B107),Main!$D$4:$D$1048576,0))))</f>
        <v/>
      </c>
      <c r="P109" s="1" t="str">
        <f>IF(IF(ROW(C107)&gt;MAX(Main!$D$4:$D$1048576),"",INDEX(Main!I$4:I$1048576,MATCH(ROW(C107),Main!$D$4:$D$1048576,0)))="",IF(O109="","",P108),IF(ROW(C107)&gt;MAX(Main!$D$4:$D$1048576),"",INDEX(Main!I$4:I$1048576,MATCH(ROW(C107),Main!$D$4:$D$1048576,0))))</f>
        <v/>
      </c>
      <c r="Q109" s="1" t="str">
        <f t="shared" si="5"/>
        <v/>
      </c>
      <c r="R109" s="1" t="str">
        <f>IF(IF(ROW(D107)&gt;MAX(Main!$D$4:$D$1048576),"",INDEX(Main!J$4:J$1048576,MATCH(ROW(D107),Main!$D$4:$D$1048576,0)))="",IF(P109="","",R108),IF(ROW(D107)&gt;MAX(Main!$D$4:$D$1048576),"",INDEX(Main!J$4:J$1048576,MATCH(ROW(D107),Main!$D$4:$D$1048576,0))))</f>
        <v/>
      </c>
      <c r="S109" s="9" t="str">
        <f>IF(ROW(G107)&gt;MAX(Main!$D$4:$D$1048576),"",INDEX(Main!K$4:K$1048576,MATCH(ROW(G107),Main!$D$4:$D$1048576,0)))</f>
        <v/>
      </c>
      <c r="T109" s="1" t="str">
        <f>IF(S109&lt;&gt;"",IF(ROW(G107)&gt;MAX(Main!$D$4:$D$1048576),"",INDEX(Main!N$4:N$1048576,MATCH(ROW(G107),Main!$D$4:$D$1048576,0))),"")</f>
        <v/>
      </c>
      <c r="U109" s="1" t="str">
        <f>IF(IF(ROW(H107)&gt;MAX(Main!$D$4:$D$1048576),"",INDEX(Main!O$4:O$1048576,MATCH(ROW(H107),Main!$D$4:$D$1048576,0)))="",IF(T109="","",U108),IF(ROW(H107)&gt;MAX(Main!$D$4:$D$1048576),"",INDEX(Main!O$4:O$1048576,MATCH(ROW(H107),Main!$D$4:$D$1048576,0))))</f>
        <v/>
      </c>
    </row>
    <row r="110" spans="1:21" x14ac:dyDescent="0.4">
      <c r="A110" t="s">
        <v>21</v>
      </c>
      <c r="B110" s="4" t="str">
        <f>TEXT(IF(ROW(A108)&gt;MAX(Main!$C$4:$C$1048576),"",INDEX(Main!Q$4:Q$1048576,MATCH(ROW(A108),Main!$C$4:$C$1048576,0))), "yyyy/m/d")</f>
        <v/>
      </c>
      <c r="C110" s="1" t="str">
        <f>IF(IF(ROW(A108)&gt;MAX(Main!$C$4:$C$1048576),"",INDEX(Main!G$4:G$1048576,MATCH(ROW(A108),Main!$C$4:$C$1048576,0)))="",IF(B110="","",C109),IF(ROW(A108)&gt;MAX(Main!$C$4:$C$1048576),"",INDEX(Main!G$4:G$1048576,MATCH(ROW(A108),Main!$C$4:$C$1048576,0))))</f>
        <v/>
      </c>
      <c r="D110" s="1" t="str">
        <f>IF(IF(ROW(B108)&gt;MAX(Main!$C$4:$C$1048576),"",INDEX(Main!H$4:H$1048576,MATCH(ROW(B108),Main!$C$4:$C$1048576,0)))="",IF(C110="","",D109),IF(ROW(B108)&gt;MAX(Main!$C$4:$C$1048576),"",INDEX(Main!H$4:H$1048576,MATCH(ROW(B108),Main!$C$4:$C$1048576,0))))</f>
        <v/>
      </c>
      <c r="E110" s="1" t="str">
        <f>IF(IF(ROW(C108)&gt;MAX(Main!$C$4:$C$1048576),"",INDEX(Main!I$4:I$1048576,MATCH(ROW(C108),Main!$C$4:$C$1048576,0)))="",IF(D110="","",E109),IF(ROW(C108)&gt;MAX(Main!$C$4:$C$1048576),"",INDEX(Main!I$4:I$1048576,MATCH(ROW(C108),Main!$C$4:$C$1048576,0))))</f>
        <v/>
      </c>
      <c r="F110" s="1" t="str">
        <f t="shared" si="3"/>
        <v/>
      </c>
      <c r="G110" s="1" t="str">
        <f>IF(IF(ROW(D108)&gt;MAX(Main!$C$4:$C$1048576),"",INDEX(Main!J$4:J$1048576,MATCH(ROW(D108),Main!$C$4:$C$1048576,0)))="",IF(E110="","",G109),IF(ROW(D108)&gt;MAX(Main!$C$4:$C$1048576),"",INDEX(Main!J$4:J$1048576,MATCH(ROW(D108),Main!$C$4:$C$1048576,0))))</f>
        <v/>
      </c>
      <c r="H110" s="10" t="str">
        <f>IF(ROW(G108)&gt;MAX(Main!$C$4:$C$1048576),"",INDEX(Main!K$4:K$1048576,MATCH(ROW(G108),Main!$C$4:$C$1048576,0)))</f>
        <v/>
      </c>
      <c r="I110" s="1" t="str">
        <f>IF(H110&lt;&gt;"",IF(ROW(G108)&gt;MAX(Main!$C$4:$C$1048576),"",INDEX(Main!N$4:N$1048576,MATCH(ROW(G108),Main!$C$4:$C$1048576,0))),"")</f>
        <v/>
      </c>
      <c r="J110" s="1" t="str">
        <f>IF(IF(ROW(H108)&gt;MAX(Main!$C$4:$C$1048576),"",INDEX(Main!O$4:O$1048576,MATCH(ROW(H108),Main!$C$4:$C$1048576,0)))="",IF(I110="","",J109),IF(ROW(H108)&gt;MAX(Main!$C$4:$C$1048576),"",INDEX(Main!O$4:O$1048576,MATCH(ROW(H108),Main!$C$4:$C$1048576,0))))</f>
        <v/>
      </c>
      <c r="K110" s="27" t="str">
        <f t="shared" si="4"/>
        <v>例目</v>
      </c>
      <c r="M110" s="4" t="str">
        <f>TEXT(IF(ROW(A108)&gt;MAX(Main!$D$4:$D$1048576),"",INDEX(Main!Q$4:Q$1048576,MATCH(ROW(A108),Main!$D$4:$D$1048576,0))), "yyyy/m/d")</f>
        <v/>
      </c>
      <c r="N110" s="1" t="str">
        <f>IF(IF(ROW(A108)&gt;MAX(Main!$D$4:$D$1048576),"",INDEX(Main!G$4:G$1048576,MATCH(ROW(A108),Main!$D$4:$D$1048576,0)))="",IF(M110="","",N109),IF(ROW(A108)&gt;MAX(Main!$D$4:$D$1048576),"",INDEX(Main!G$4:G$1048576,MATCH(ROW(A108),Main!$D$4:$D$1048576,0))))</f>
        <v/>
      </c>
      <c r="O110" s="1" t="str">
        <f>IF(IF(ROW(B108)&gt;MAX(Main!$D$4:$D$1048576),"",INDEX(Main!H$4:H$1048576,MATCH(ROW(B108),Main!$D$4:$D$1048576,0)))="",IF(N110="","",O109),IF(ROW(B108)&gt;MAX(Main!$D$4:$D$1048576),"",INDEX(Main!H$4:H$1048576,MATCH(ROW(B108),Main!$D$4:$D$1048576,0))))</f>
        <v/>
      </c>
      <c r="P110" s="1" t="str">
        <f>IF(IF(ROW(C108)&gt;MAX(Main!$D$4:$D$1048576),"",INDEX(Main!I$4:I$1048576,MATCH(ROW(C108),Main!$D$4:$D$1048576,0)))="",IF(O110="","",P109),IF(ROW(C108)&gt;MAX(Main!$D$4:$D$1048576),"",INDEX(Main!I$4:I$1048576,MATCH(ROW(C108),Main!$D$4:$D$1048576,0))))</f>
        <v/>
      </c>
      <c r="Q110" s="1" t="str">
        <f t="shared" si="5"/>
        <v/>
      </c>
      <c r="R110" s="1" t="str">
        <f>IF(IF(ROW(D108)&gt;MAX(Main!$D$4:$D$1048576),"",INDEX(Main!J$4:J$1048576,MATCH(ROW(D108),Main!$D$4:$D$1048576,0)))="",IF(P110="","",R109),IF(ROW(D108)&gt;MAX(Main!$D$4:$D$1048576),"",INDEX(Main!J$4:J$1048576,MATCH(ROW(D108),Main!$D$4:$D$1048576,0))))</f>
        <v/>
      </c>
      <c r="S110" s="9" t="str">
        <f>IF(ROW(G108)&gt;MAX(Main!$D$4:$D$1048576),"",INDEX(Main!K$4:K$1048576,MATCH(ROW(G108),Main!$D$4:$D$1048576,0)))</f>
        <v/>
      </c>
      <c r="T110" s="1" t="str">
        <f>IF(S110&lt;&gt;"",IF(ROW(G108)&gt;MAX(Main!$D$4:$D$1048576),"",INDEX(Main!N$4:N$1048576,MATCH(ROW(G108),Main!$D$4:$D$1048576,0))),"")</f>
        <v/>
      </c>
      <c r="U110" s="1" t="str">
        <f>IF(IF(ROW(H108)&gt;MAX(Main!$D$4:$D$1048576),"",INDEX(Main!O$4:O$1048576,MATCH(ROW(H108),Main!$D$4:$D$1048576,0)))="",IF(T110="","",U109),IF(ROW(H108)&gt;MAX(Main!$D$4:$D$1048576),"",INDEX(Main!O$4:O$1048576,MATCH(ROW(H108),Main!$D$4:$D$1048576,0))))</f>
        <v/>
      </c>
    </row>
    <row r="111" spans="1:21" x14ac:dyDescent="0.4">
      <c r="A111" t="s">
        <v>21</v>
      </c>
      <c r="B111" s="4" t="str">
        <f>TEXT(IF(ROW(A109)&gt;MAX(Main!$C$4:$C$1048576),"",INDEX(Main!Q$4:Q$1048576,MATCH(ROW(A109),Main!$C$4:$C$1048576,0))), "yyyy/m/d")</f>
        <v/>
      </c>
      <c r="C111" s="1" t="str">
        <f>IF(IF(ROW(A109)&gt;MAX(Main!$C$4:$C$1048576),"",INDEX(Main!G$4:G$1048576,MATCH(ROW(A109),Main!$C$4:$C$1048576,0)))="",IF(B111="","",C110),IF(ROW(A109)&gt;MAX(Main!$C$4:$C$1048576),"",INDEX(Main!G$4:G$1048576,MATCH(ROW(A109),Main!$C$4:$C$1048576,0))))</f>
        <v/>
      </c>
      <c r="D111" s="1" t="str">
        <f>IF(IF(ROW(B109)&gt;MAX(Main!$C$4:$C$1048576),"",INDEX(Main!H$4:H$1048576,MATCH(ROW(B109),Main!$C$4:$C$1048576,0)))="",IF(C111="","",D110),IF(ROW(B109)&gt;MAX(Main!$C$4:$C$1048576),"",INDEX(Main!H$4:H$1048576,MATCH(ROW(B109),Main!$C$4:$C$1048576,0))))</f>
        <v/>
      </c>
      <c r="E111" s="1" t="str">
        <f>IF(IF(ROW(C109)&gt;MAX(Main!$C$4:$C$1048576),"",INDEX(Main!I$4:I$1048576,MATCH(ROW(C109),Main!$C$4:$C$1048576,0)))="",IF(D111="","",E110),IF(ROW(C109)&gt;MAX(Main!$C$4:$C$1048576),"",INDEX(Main!I$4:I$1048576,MATCH(ROW(C109),Main!$C$4:$C$1048576,0))))</f>
        <v/>
      </c>
      <c r="F111" s="1" t="str">
        <f t="shared" si="3"/>
        <v/>
      </c>
      <c r="G111" s="1" t="str">
        <f>IF(IF(ROW(D109)&gt;MAX(Main!$C$4:$C$1048576),"",INDEX(Main!J$4:J$1048576,MATCH(ROW(D109),Main!$C$4:$C$1048576,0)))="",IF(E111="","",G110),IF(ROW(D109)&gt;MAX(Main!$C$4:$C$1048576),"",INDEX(Main!J$4:J$1048576,MATCH(ROW(D109),Main!$C$4:$C$1048576,0))))</f>
        <v/>
      </c>
      <c r="H111" s="10" t="str">
        <f>IF(ROW(G109)&gt;MAX(Main!$C$4:$C$1048576),"",INDEX(Main!K$4:K$1048576,MATCH(ROW(G109),Main!$C$4:$C$1048576,0)))</f>
        <v/>
      </c>
      <c r="I111" s="1" t="str">
        <f>IF(H111&lt;&gt;"",IF(ROW(G109)&gt;MAX(Main!$C$4:$C$1048576),"",INDEX(Main!N$4:N$1048576,MATCH(ROW(G109),Main!$C$4:$C$1048576,0))),"")</f>
        <v/>
      </c>
      <c r="J111" s="1" t="str">
        <f>IF(IF(ROW(H109)&gt;MAX(Main!$C$4:$C$1048576),"",INDEX(Main!O$4:O$1048576,MATCH(ROW(H109),Main!$C$4:$C$1048576,0)))="",IF(I111="","",J110),IF(ROW(H109)&gt;MAX(Main!$C$4:$C$1048576),"",INDEX(Main!O$4:O$1048576,MATCH(ROW(H109),Main!$C$4:$C$1048576,0))))</f>
        <v/>
      </c>
      <c r="K111" s="27" t="str">
        <f t="shared" si="4"/>
        <v>例目</v>
      </c>
      <c r="M111" s="4" t="str">
        <f>TEXT(IF(ROW(A109)&gt;MAX(Main!$D$4:$D$1048576),"",INDEX(Main!Q$4:Q$1048576,MATCH(ROW(A109),Main!$D$4:$D$1048576,0))), "yyyy/m/d")</f>
        <v/>
      </c>
      <c r="N111" s="1" t="str">
        <f>IF(IF(ROW(A109)&gt;MAX(Main!$D$4:$D$1048576),"",INDEX(Main!G$4:G$1048576,MATCH(ROW(A109),Main!$D$4:$D$1048576,0)))="",IF(M111="","",N110),IF(ROW(A109)&gt;MAX(Main!$D$4:$D$1048576),"",INDEX(Main!G$4:G$1048576,MATCH(ROW(A109),Main!$D$4:$D$1048576,0))))</f>
        <v/>
      </c>
      <c r="O111" s="1" t="str">
        <f>IF(IF(ROW(B109)&gt;MAX(Main!$D$4:$D$1048576),"",INDEX(Main!H$4:H$1048576,MATCH(ROW(B109),Main!$D$4:$D$1048576,0)))="",IF(N111="","",O110),IF(ROW(B109)&gt;MAX(Main!$D$4:$D$1048576),"",INDEX(Main!H$4:H$1048576,MATCH(ROW(B109),Main!$D$4:$D$1048576,0))))</f>
        <v/>
      </c>
      <c r="P111" s="1" t="str">
        <f>IF(IF(ROW(C109)&gt;MAX(Main!$D$4:$D$1048576),"",INDEX(Main!I$4:I$1048576,MATCH(ROW(C109),Main!$D$4:$D$1048576,0)))="",IF(O111="","",P110),IF(ROW(C109)&gt;MAX(Main!$D$4:$D$1048576),"",INDEX(Main!I$4:I$1048576,MATCH(ROW(C109),Main!$D$4:$D$1048576,0))))</f>
        <v/>
      </c>
      <c r="Q111" s="1" t="str">
        <f t="shared" si="5"/>
        <v/>
      </c>
      <c r="R111" s="1" t="str">
        <f>IF(IF(ROW(D109)&gt;MAX(Main!$D$4:$D$1048576),"",INDEX(Main!J$4:J$1048576,MATCH(ROW(D109),Main!$D$4:$D$1048576,0)))="",IF(P111="","",R110),IF(ROW(D109)&gt;MAX(Main!$D$4:$D$1048576),"",INDEX(Main!J$4:J$1048576,MATCH(ROW(D109),Main!$D$4:$D$1048576,0))))</f>
        <v/>
      </c>
      <c r="S111" s="9" t="str">
        <f>IF(ROW(G109)&gt;MAX(Main!$D$4:$D$1048576),"",INDEX(Main!K$4:K$1048576,MATCH(ROW(G109),Main!$D$4:$D$1048576,0)))</f>
        <v/>
      </c>
      <c r="T111" s="1" t="str">
        <f>IF(S111&lt;&gt;"",IF(ROW(G109)&gt;MAX(Main!$D$4:$D$1048576),"",INDEX(Main!N$4:N$1048576,MATCH(ROW(G109),Main!$D$4:$D$1048576,0))),"")</f>
        <v/>
      </c>
      <c r="U111" s="1" t="str">
        <f>IF(IF(ROW(H109)&gt;MAX(Main!$D$4:$D$1048576),"",INDEX(Main!O$4:O$1048576,MATCH(ROW(H109),Main!$D$4:$D$1048576,0)))="",IF(T111="","",U110),IF(ROW(H109)&gt;MAX(Main!$D$4:$D$1048576),"",INDEX(Main!O$4:O$1048576,MATCH(ROW(H109),Main!$D$4:$D$1048576,0))))</f>
        <v/>
      </c>
    </row>
    <row r="112" spans="1:21" x14ac:dyDescent="0.4">
      <c r="A112" t="s">
        <v>21</v>
      </c>
      <c r="B112" s="4" t="str">
        <f>TEXT(IF(ROW(A110)&gt;MAX(Main!$C$4:$C$1048576),"",INDEX(Main!Q$4:Q$1048576,MATCH(ROW(A110),Main!$C$4:$C$1048576,0))), "yyyy/m/d")</f>
        <v/>
      </c>
      <c r="C112" s="1" t="str">
        <f>IF(IF(ROW(A110)&gt;MAX(Main!$C$4:$C$1048576),"",INDEX(Main!G$4:G$1048576,MATCH(ROW(A110),Main!$C$4:$C$1048576,0)))="",IF(B112="","",C111),IF(ROW(A110)&gt;MAX(Main!$C$4:$C$1048576),"",INDEX(Main!G$4:G$1048576,MATCH(ROW(A110),Main!$C$4:$C$1048576,0))))</f>
        <v/>
      </c>
      <c r="D112" s="1" t="str">
        <f>IF(IF(ROW(B110)&gt;MAX(Main!$C$4:$C$1048576),"",INDEX(Main!H$4:H$1048576,MATCH(ROW(B110),Main!$C$4:$C$1048576,0)))="",IF(C112="","",D111),IF(ROW(B110)&gt;MAX(Main!$C$4:$C$1048576),"",INDEX(Main!H$4:H$1048576,MATCH(ROW(B110),Main!$C$4:$C$1048576,0))))</f>
        <v/>
      </c>
      <c r="E112" s="1" t="str">
        <f>IF(IF(ROW(C110)&gt;MAX(Main!$C$4:$C$1048576),"",INDEX(Main!I$4:I$1048576,MATCH(ROW(C110),Main!$C$4:$C$1048576,0)))="",IF(D112="","",E111),IF(ROW(C110)&gt;MAX(Main!$C$4:$C$1048576),"",INDEX(Main!I$4:I$1048576,MATCH(ROW(C110),Main!$C$4:$C$1048576,0))))</f>
        <v/>
      </c>
      <c r="F112" s="1" t="str">
        <f t="shared" si="3"/>
        <v/>
      </c>
      <c r="G112" s="1" t="str">
        <f>IF(IF(ROW(D110)&gt;MAX(Main!$C$4:$C$1048576),"",INDEX(Main!J$4:J$1048576,MATCH(ROW(D110),Main!$C$4:$C$1048576,0)))="",IF(E112="","",G111),IF(ROW(D110)&gt;MAX(Main!$C$4:$C$1048576),"",INDEX(Main!J$4:J$1048576,MATCH(ROW(D110),Main!$C$4:$C$1048576,0))))</f>
        <v/>
      </c>
      <c r="H112" s="10" t="str">
        <f>IF(ROW(G110)&gt;MAX(Main!$C$4:$C$1048576),"",INDEX(Main!K$4:K$1048576,MATCH(ROW(G110),Main!$C$4:$C$1048576,0)))</f>
        <v/>
      </c>
      <c r="I112" s="1" t="str">
        <f>IF(H112&lt;&gt;"",IF(ROW(G110)&gt;MAX(Main!$C$4:$C$1048576),"",INDEX(Main!N$4:N$1048576,MATCH(ROW(G110),Main!$C$4:$C$1048576,0))),"")</f>
        <v/>
      </c>
      <c r="J112" s="1" t="str">
        <f>IF(IF(ROW(H110)&gt;MAX(Main!$C$4:$C$1048576),"",INDEX(Main!O$4:O$1048576,MATCH(ROW(H110),Main!$C$4:$C$1048576,0)))="",IF(I112="","",J111),IF(ROW(H110)&gt;MAX(Main!$C$4:$C$1048576),"",INDEX(Main!O$4:O$1048576,MATCH(ROW(H110),Main!$C$4:$C$1048576,0))))</f>
        <v/>
      </c>
      <c r="K112" s="27" t="str">
        <f t="shared" si="4"/>
        <v>例目</v>
      </c>
      <c r="M112" s="4" t="str">
        <f>TEXT(IF(ROW(A110)&gt;MAX(Main!$D$4:$D$1048576),"",INDEX(Main!Q$4:Q$1048576,MATCH(ROW(A110),Main!$D$4:$D$1048576,0))), "yyyy/m/d")</f>
        <v/>
      </c>
      <c r="N112" s="1" t="str">
        <f>IF(IF(ROW(A110)&gt;MAX(Main!$D$4:$D$1048576),"",INDEX(Main!G$4:G$1048576,MATCH(ROW(A110),Main!$D$4:$D$1048576,0)))="",IF(M112="","",N111),IF(ROW(A110)&gt;MAX(Main!$D$4:$D$1048576),"",INDEX(Main!G$4:G$1048576,MATCH(ROW(A110),Main!$D$4:$D$1048576,0))))</f>
        <v/>
      </c>
      <c r="O112" s="1" t="str">
        <f>IF(IF(ROW(B110)&gt;MAX(Main!$D$4:$D$1048576),"",INDEX(Main!H$4:H$1048576,MATCH(ROW(B110),Main!$D$4:$D$1048576,0)))="",IF(N112="","",O111),IF(ROW(B110)&gt;MAX(Main!$D$4:$D$1048576),"",INDEX(Main!H$4:H$1048576,MATCH(ROW(B110),Main!$D$4:$D$1048576,0))))</f>
        <v/>
      </c>
      <c r="P112" s="1" t="str">
        <f>IF(IF(ROW(C110)&gt;MAX(Main!$D$4:$D$1048576),"",INDEX(Main!I$4:I$1048576,MATCH(ROW(C110),Main!$D$4:$D$1048576,0)))="",IF(O112="","",P111),IF(ROW(C110)&gt;MAX(Main!$D$4:$D$1048576),"",INDEX(Main!I$4:I$1048576,MATCH(ROW(C110),Main!$D$4:$D$1048576,0))))</f>
        <v/>
      </c>
      <c r="Q112" s="1" t="str">
        <f t="shared" si="5"/>
        <v/>
      </c>
      <c r="R112" s="1" t="str">
        <f>IF(IF(ROW(D110)&gt;MAX(Main!$D$4:$D$1048576),"",INDEX(Main!J$4:J$1048576,MATCH(ROW(D110),Main!$D$4:$D$1048576,0)))="",IF(P112="","",R111),IF(ROW(D110)&gt;MAX(Main!$D$4:$D$1048576),"",INDEX(Main!J$4:J$1048576,MATCH(ROW(D110),Main!$D$4:$D$1048576,0))))</f>
        <v/>
      </c>
      <c r="S112" s="9" t="str">
        <f>IF(ROW(G110)&gt;MAX(Main!$D$4:$D$1048576),"",INDEX(Main!K$4:K$1048576,MATCH(ROW(G110),Main!$D$4:$D$1048576,0)))</f>
        <v/>
      </c>
      <c r="T112" s="1" t="str">
        <f>IF(S112&lt;&gt;"",IF(ROW(G110)&gt;MAX(Main!$D$4:$D$1048576),"",INDEX(Main!N$4:N$1048576,MATCH(ROW(G110),Main!$D$4:$D$1048576,0))),"")</f>
        <v/>
      </c>
      <c r="U112" s="1" t="str">
        <f>IF(IF(ROW(H110)&gt;MAX(Main!$D$4:$D$1048576),"",INDEX(Main!O$4:O$1048576,MATCH(ROW(H110),Main!$D$4:$D$1048576,0)))="",IF(T112="","",U111),IF(ROW(H110)&gt;MAX(Main!$D$4:$D$1048576),"",INDEX(Main!O$4:O$1048576,MATCH(ROW(H110),Main!$D$4:$D$1048576,0))))</f>
        <v/>
      </c>
    </row>
    <row r="113" spans="1:21" x14ac:dyDescent="0.4">
      <c r="A113" t="s">
        <v>21</v>
      </c>
      <c r="B113" s="4" t="str">
        <f>TEXT(IF(ROW(A111)&gt;MAX(Main!$C$4:$C$1048576),"",INDEX(Main!Q$4:Q$1048576,MATCH(ROW(A111),Main!$C$4:$C$1048576,0))), "yyyy/m/d")</f>
        <v/>
      </c>
      <c r="C113" s="1" t="str">
        <f>IF(IF(ROW(A111)&gt;MAX(Main!$C$4:$C$1048576),"",INDEX(Main!G$4:G$1048576,MATCH(ROW(A111),Main!$C$4:$C$1048576,0)))="",IF(B113="","",C112),IF(ROW(A111)&gt;MAX(Main!$C$4:$C$1048576),"",INDEX(Main!G$4:G$1048576,MATCH(ROW(A111),Main!$C$4:$C$1048576,0))))</f>
        <v/>
      </c>
      <c r="D113" s="1" t="str">
        <f>IF(IF(ROW(B111)&gt;MAX(Main!$C$4:$C$1048576),"",INDEX(Main!H$4:H$1048576,MATCH(ROW(B111),Main!$C$4:$C$1048576,0)))="",IF(C113="","",D112),IF(ROW(B111)&gt;MAX(Main!$C$4:$C$1048576),"",INDEX(Main!H$4:H$1048576,MATCH(ROW(B111),Main!$C$4:$C$1048576,0))))</f>
        <v/>
      </c>
      <c r="E113" s="1" t="str">
        <f>IF(IF(ROW(C111)&gt;MAX(Main!$C$4:$C$1048576),"",INDEX(Main!I$4:I$1048576,MATCH(ROW(C111),Main!$C$4:$C$1048576,0)))="",IF(D113="","",E112),IF(ROW(C111)&gt;MAX(Main!$C$4:$C$1048576),"",INDEX(Main!I$4:I$1048576,MATCH(ROW(C111),Main!$C$4:$C$1048576,0))))</f>
        <v/>
      </c>
      <c r="F113" s="1" t="str">
        <f t="shared" si="3"/>
        <v/>
      </c>
      <c r="G113" s="1" t="str">
        <f>IF(IF(ROW(D111)&gt;MAX(Main!$C$4:$C$1048576),"",INDEX(Main!J$4:J$1048576,MATCH(ROW(D111),Main!$C$4:$C$1048576,0)))="",IF(E113="","",G112),IF(ROW(D111)&gt;MAX(Main!$C$4:$C$1048576),"",INDEX(Main!J$4:J$1048576,MATCH(ROW(D111),Main!$C$4:$C$1048576,0))))</f>
        <v/>
      </c>
      <c r="H113" s="10" t="str">
        <f>IF(ROW(G111)&gt;MAX(Main!$C$4:$C$1048576),"",INDEX(Main!K$4:K$1048576,MATCH(ROW(G111),Main!$C$4:$C$1048576,0)))</f>
        <v/>
      </c>
      <c r="I113" s="1" t="str">
        <f>IF(H113&lt;&gt;"",IF(ROW(G111)&gt;MAX(Main!$C$4:$C$1048576),"",INDEX(Main!N$4:N$1048576,MATCH(ROW(G111),Main!$C$4:$C$1048576,0))),"")</f>
        <v/>
      </c>
      <c r="J113" s="1" t="str">
        <f>IF(IF(ROW(H111)&gt;MAX(Main!$C$4:$C$1048576),"",INDEX(Main!O$4:O$1048576,MATCH(ROW(H111),Main!$C$4:$C$1048576,0)))="",IF(I113="","",J112),IF(ROW(H111)&gt;MAX(Main!$C$4:$C$1048576),"",INDEX(Main!O$4:O$1048576,MATCH(ROW(H111),Main!$C$4:$C$1048576,0))))</f>
        <v/>
      </c>
      <c r="K113" s="27" t="str">
        <f t="shared" si="4"/>
        <v>例目</v>
      </c>
      <c r="M113" s="4" t="str">
        <f>TEXT(IF(ROW(A111)&gt;MAX(Main!$D$4:$D$1048576),"",INDEX(Main!Q$4:Q$1048576,MATCH(ROW(A111),Main!$D$4:$D$1048576,0))), "yyyy/m/d")</f>
        <v/>
      </c>
      <c r="N113" s="1" t="str">
        <f>IF(IF(ROW(A111)&gt;MAX(Main!$D$4:$D$1048576),"",INDEX(Main!G$4:G$1048576,MATCH(ROW(A111),Main!$D$4:$D$1048576,0)))="",IF(M113="","",N112),IF(ROW(A111)&gt;MAX(Main!$D$4:$D$1048576),"",INDEX(Main!G$4:G$1048576,MATCH(ROW(A111),Main!$D$4:$D$1048576,0))))</f>
        <v/>
      </c>
      <c r="O113" s="1" t="str">
        <f>IF(IF(ROW(B111)&gt;MAX(Main!$D$4:$D$1048576),"",INDEX(Main!H$4:H$1048576,MATCH(ROW(B111),Main!$D$4:$D$1048576,0)))="",IF(N113="","",O112),IF(ROW(B111)&gt;MAX(Main!$D$4:$D$1048576),"",INDEX(Main!H$4:H$1048576,MATCH(ROW(B111),Main!$D$4:$D$1048576,0))))</f>
        <v/>
      </c>
      <c r="P113" s="1" t="str">
        <f>IF(IF(ROW(C111)&gt;MAX(Main!$D$4:$D$1048576),"",INDEX(Main!I$4:I$1048576,MATCH(ROW(C111),Main!$D$4:$D$1048576,0)))="",IF(O113="","",P112),IF(ROW(C111)&gt;MAX(Main!$D$4:$D$1048576),"",INDEX(Main!I$4:I$1048576,MATCH(ROW(C111),Main!$D$4:$D$1048576,0))))</f>
        <v/>
      </c>
      <c r="Q113" s="1" t="str">
        <f t="shared" si="5"/>
        <v/>
      </c>
      <c r="R113" s="1" t="str">
        <f>IF(IF(ROW(D111)&gt;MAX(Main!$D$4:$D$1048576),"",INDEX(Main!J$4:J$1048576,MATCH(ROW(D111),Main!$D$4:$D$1048576,0)))="",IF(P113="","",R112),IF(ROW(D111)&gt;MAX(Main!$D$4:$D$1048576),"",INDEX(Main!J$4:J$1048576,MATCH(ROW(D111),Main!$D$4:$D$1048576,0))))</f>
        <v/>
      </c>
      <c r="S113" s="9" t="str">
        <f>IF(ROW(G111)&gt;MAX(Main!$D$4:$D$1048576),"",INDEX(Main!K$4:K$1048576,MATCH(ROW(G111),Main!$D$4:$D$1048576,0)))</f>
        <v/>
      </c>
      <c r="T113" s="1" t="str">
        <f>IF(S113&lt;&gt;"",IF(ROW(G111)&gt;MAX(Main!$D$4:$D$1048576),"",INDEX(Main!N$4:N$1048576,MATCH(ROW(G111),Main!$D$4:$D$1048576,0))),"")</f>
        <v/>
      </c>
      <c r="U113" s="1" t="str">
        <f>IF(IF(ROW(H111)&gt;MAX(Main!$D$4:$D$1048576),"",INDEX(Main!O$4:O$1048576,MATCH(ROW(H111),Main!$D$4:$D$1048576,0)))="",IF(T113="","",U112),IF(ROW(H111)&gt;MAX(Main!$D$4:$D$1048576),"",INDEX(Main!O$4:O$1048576,MATCH(ROW(H111),Main!$D$4:$D$1048576,0))))</f>
        <v/>
      </c>
    </row>
    <row r="114" spans="1:21" x14ac:dyDescent="0.4">
      <c r="A114" t="s">
        <v>21</v>
      </c>
      <c r="B114" s="4" t="str">
        <f>TEXT(IF(ROW(A112)&gt;MAX(Main!$C$4:$C$1048576),"",INDEX(Main!Q$4:Q$1048576,MATCH(ROW(A112),Main!$C$4:$C$1048576,0))), "yyyy/m/d")</f>
        <v/>
      </c>
      <c r="C114" s="1" t="str">
        <f>IF(IF(ROW(A112)&gt;MAX(Main!$C$4:$C$1048576),"",INDEX(Main!G$4:G$1048576,MATCH(ROW(A112),Main!$C$4:$C$1048576,0)))="",IF(B114="","",C113),IF(ROW(A112)&gt;MAX(Main!$C$4:$C$1048576),"",INDEX(Main!G$4:G$1048576,MATCH(ROW(A112),Main!$C$4:$C$1048576,0))))</f>
        <v/>
      </c>
      <c r="D114" s="1" t="str">
        <f>IF(IF(ROW(B112)&gt;MAX(Main!$C$4:$C$1048576),"",INDEX(Main!H$4:H$1048576,MATCH(ROW(B112),Main!$C$4:$C$1048576,0)))="",IF(C114="","",D113),IF(ROW(B112)&gt;MAX(Main!$C$4:$C$1048576),"",INDEX(Main!H$4:H$1048576,MATCH(ROW(B112),Main!$C$4:$C$1048576,0))))</f>
        <v/>
      </c>
      <c r="E114" s="1" t="str">
        <f>IF(IF(ROW(C112)&gt;MAX(Main!$C$4:$C$1048576),"",INDEX(Main!I$4:I$1048576,MATCH(ROW(C112),Main!$C$4:$C$1048576,0)))="",IF(D114="","",E113),IF(ROW(C112)&gt;MAX(Main!$C$4:$C$1048576),"",INDEX(Main!I$4:I$1048576,MATCH(ROW(C112),Main!$C$4:$C$1048576,0))))</f>
        <v/>
      </c>
      <c r="F114" s="1" t="str">
        <f t="shared" si="3"/>
        <v/>
      </c>
      <c r="G114" s="1" t="str">
        <f>IF(IF(ROW(D112)&gt;MAX(Main!$C$4:$C$1048576),"",INDEX(Main!J$4:J$1048576,MATCH(ROW(D112),Main!$C$4:$C$1048576,0)))="",IF(E114="","",G113),IF(ROW(D112)&gt;MAX(Main!$C$4:$C$1048576),"",INDEX(Main!J$4:J$1048576,MATCH(ROW(D112),Main!$C$4:$C$1048576,0))))</f>
        <v/>
      </c>
      <c r="H114" s="10" t="str">
        <f>IF(ROW(G112)&gt;MAX(Main!$C$4:$C$1048576),"",INDEX(Main!K$4:K$1048576,MATCH(ROW(G112),Main!$C$4:$C$1048576,0)))</f>
        <v/>
      </c>
      <c r="I114" s="1" t="str">
        <f>IF(H114&lt;&gt;"",IF(ROW(G112)&gt;MAX(Main!$C$4:$C$1048576),"",INDEX(Main!N$4:N$1048576,MATCH(ROW(G112),Main!$C$4:$C$1048576,0))),"")</f>
        <v/>
      </c>
      <c r="J114" s="1" t="str">
        <f>IF(IF(ROW(H112)&gt;MAX(Main!$C$4:$C$1048576),"",INDEX(Main!O$4:O$1048576,MATCH(ROW(H112),Main!$C$4:$C$1048576,0)))="",IF(I114="","",J113),IF(ROW(H112)&gt;MAX(Main!$C$4:$C$1048576),"",INDEX(Main!O$4:O$1048576,MATCH(ROW(H112),Main!$C$4:$C$1048576,0))))</f>
        <v/>
      </c>
      <c r="K114" s="27" t="str">
        <f t="shared" si="4"/>
        <v>例目</v>
      </c>
      <c r="M114" s="4" t="str">
        <f>TEXT(IF(ROW(A112)&gt;MAX(Main!$D$4:$D$1048576),"",INDEX(Main!Q$4:Q$1048576,MATCH(ROW(A112),Main!$D$4:$D$1048576,0))), "yyyy/m/d")</f>
        <v/>
      </c>
      <c r="N114" s="1" t="str">
        <f>IF(IF(ROW(A112)&gt;MAX(Main!$D$4:$D$1048576),"",INDEX(Main!G$4:G$1048576,MATCH(ROW(A112),Main!$D$4:$D$1048576,0)))="",IF(M114="","",N113),IF(ROW(A112)&gt;MAX(Main!$D$4:$D$1048576),"",INDEX(Main!G$4:G$1048576,MATCH(ROW(A112),Main!$D$4:$D$1048576,0))))</f>
        <v/>
      </c>
      <c r="O114" s="1" t="str">
        <f>IF(IF(ROW(B112)&gt;MAX(Main!$D$4:$D$1048576),"",INDEX(Main!H$4:H$1048576,MATCH(ROW(B112),Main!$D$4:$D$1048576,0)))="",IF(N114="","",O113),IF(ROW(B112)&gt;MAX(Main!$D$4:$D$1048576),"",INDEX(Main!H$4:H$1048576,MATCH(ROW(B112),Main!$D$4:$D$1048576,0))))</f>
        <v/>
      </c>
      <c r="P114" s="1" t="str">
        <f>IF(IF(ROW(C112)&gt;MAX(Main!$D$4:$D$1048576),"",INDEX(Main!I$4:I$1048576,MATCH(ROW(C112),Main!$D$4:$D$1048576,0)))="",IF(O114="","",P113),IF(ROW(C112)&gt;MAX(Main!$D$4:$D$1048576),"",INDEX(Main!I$4:I$1048576,MATCH(ROW(C112),Main!$D$4:$D$1048576,0))))</f>
        <v/>
      </c>
      <c r="Q114" s="1" t="str">
        <f t="shared" si="5"/>
        <v/>
      </c>
      <c r="R114" s="1" t="str">
        <f>IF(IF(ROW(D112)&gt;MAX(Main!$D$4:$D$1048576),"",INDEX(Main!J$4:J$1048576,MATCH(ROW(D112),Main!$D$4:$D$1048576,0)))="",IF(P114="","",R113),IF(ROW(D112)&gt;MAX(Main!$D$4:$D$1048576),"",INDEX(Main!J$4:J$1048576,MATCH(ROW(D112),Main!$D$4:$D$1048576,0))))</f>
        <v/>
      </c>
      <c r="S114" s="9" t="str">
        <f>IF(ROW(G112)&gt;MAX(Main!$D$4:$D$1048576),"",INDEX(Main!K$4:K$1048576,MATCH(ROW(G112),Main!$D$4:$D$1048576,0)))</f>
        <v/>
      </c>
      <c r="T114" s="1" t="str">
        <f>IF(S114&lt;&gt;"",IF(ROW(G112)&gt;MAX(Main!$D$4:$D$1048576),"",INDEX(Main!N$4:N$1048576,MATCH(ROW(G112),Main!$D$4:$D$1048576,0))),"")</f>
        <v/>
      </c>
      <c r="U114" s="1" t="str">
        <f>IF(IF(ROW(H112)&gt;MAX(Main!$D$4:$D$1048576),"",INDEX(Main!O$4:O$1048576,MATCH(ROW(H112),Main!$D$4:$D$1048576,0)))="",IF(T114="","",U113),IF(ROW(H112)&gt;MAX(Main!$D$4:$D$1048576),"",INDEX(Main!O$4:O$1048576,MATCH(ROW(H112),Main!$D$4:$D$1048576,0))))</f>
        <v/>
      </c>
    </row>
    <row r="115" spans="1:21" x14ac:dyDescent="0.4">
      <c r="A115" t="s">
        <v>21</v>
      </c>
      <c r="B115" s="4" t="str">
        <f>TEXT(IF(ROW(A113)&gt;MAX(Main!$C$4:$C$1048576),"",INDEX(Main!Q$4:Q$1048576,MATCH(ROW(A113),Main!$C$4:$C$1048576,0))), "yyyy/m/d")</f>
        <v/>
      </c>
      <c r="C115" s="1" t="str">
        <f>IF(IF(ROW(A113)&gt;MAX(Main!$C$4:$C$1048576),"",INDEX(Main!G$4:G$1048576,MATCH(ROW(A113),Main!$C$4:$C$1048576,0)))="",IF(B115="","",C114),IF(ROW(A113)&gt;MAX(Main!$C$4:$C$1048576),"",INDEX(Main!G$4:G$1048576,MATCH(ROW(A113),Main!$C$4:$C$1048576,0))))</f>
        <v/>
      </c>
      <c r="D115" s="1" t="str">
        <f>IF(IF(ROW(B113)&gt;MAX(Main!$C$4:$C$1048576),"",INDEX(Main!H$4:H$1048576,MATCH(ROW(B113),Main!$C$4:$C$1048576,0)))="",IF(C115="","",D114),IF(ROW(B113)&gt;MAX(Main!$C$4:$C$1048576),"",INDEX(Main!H$4:H$1048576,MATCH(ROW(B113),Main!$C$4:$C$1048576,0))))</f>
        <v/>
      </c>
      <c r="E115" s="1" t="str">
        <f>IF(IF(ROW(C113)&gt;MAX(Main!$C$4:$C$1048576),"",INDEX(Main!I$4:I$1048576,MATCH(ROW(C113),Main!$C$4:$C$1048576,0)))="",IF(D115="","",E114),IF(ROW(C113)&gt;MAX(Main!$C$4:$C$1048576),"",INDEX(Main!I$4:I$1048576,MATCH(ROW(C113),Main!$C$4:$C$1048576,0))))</f>
        <v/>
      </c>
      <c r="F115" s="1" t="str">
        <f t="shared" si="3"/>
        <v/>
      </c>
      <c r="G115" s="1" t="str">
        <f>IF(IF(ROW(D113)&gt;MAX(Main!$C$4:$C$1048576),"",INDEX(Main!J$4:J$1048576,MATCH(ROW(D113),Main!$C$4:$C$1048576,0)))="",IF(E115="","",G114),IF(ROW(D113)&gt;MAX(Main!$C$4:$C$1048576),"",INDEX(Main!J$4:J$1048576,MATCH(ROW(D113),Main!$C$4:$C$1048576,0))))</f>
        <v/>
      </c>
      <c r="H115" s="10" t="str">
        <f>IF(ROW(G113)&gt;MAX(Main!$C$4:$C$1048576),"",INDEX(Main!K$4:K$1048576,MATCH(ROW(G113),Main!$C$4:$C$1048576,0)))</f>
        <v/>
      </c>
      <c r="I115" s="1" t="str">
        <f>IF(H115&lt;&gt;"",IF(ROW(G113)&gt;MAX(Main!$C$4:$C$1048576),"",INDEX(Main!N$4:N$1048576,MATCH(ROW(G113),Main!$C$4:$C$1048576,0))),"")</f>
        <v/>
      </c>
      <c r="J115" s="1" t="str">
        <f>IF(IF(ROW(H113)&gt;MAX(Main!$C$4:$C$1048576),"",INDEX(Main!O$4:O$1048576,MATCH(ROW(H113),Main!$C$4:$C$1048576,0)))="",IF(I115="","",J114),IF(ROW(H113)&gt;MAX(Main!$C$4:$C$1048576),"",INDEX(Main!O$4:O$1048576,MATCH(ROW(H113),Main!$C$4:$C$1048576,0))))</f>
        <v/>
      </c>
      <c r="K115" s="27" t="str">
        <f t="shared" si="4"/>
        <v>例目</v>
      </c>
      <c r="M115" s="4" t="str">
        <f>TEXT(IF(ROW(A113)&gt;MAX(Main!$D$4:$D$1048576),"",INDEX(Main!Q$4:Q$1048576,MATCH(ROW(A113),Main!$D$4:$D$1048576,0))), "yyyy/m/d")</f>
        <v/>
      </c>
      <c r="N115" s="1" t="str">
        <f>IF(IF(ROW(A113)&gt;MAX(Main!$D$4:$D$1048576),"",INDEX(Main!G$4:G$1048576,MATCH(ROW(A113),Main!$D$4:$D$1048576,0)))="",IF(M115="","",N114),IF(ROW(A113)&gt;MAX(Main!$D$4:$D$1048576),"",INDEX(Main!G$4:G$1048576,MATCH(ROW(A113),Main!$D$4:$D$1048576,0))))</f>
        <v/>
      </c>
      <c r="O115" s="1" t="str">
        <f>IF(IF(ROW(B113)&gt;MAX(Main!$D$4:$D$1048576),"",INDEX(Main!H$4:H$1048576,MATCH(ROW(B113),Main!$D$4:$D$1048576,0)))="",IF(N115="","",O114),IF(ROW(B113)&gt;MAX(Main!$D$4:$D$1048576),"",INDEX(Main!H$4:H$1048576,MATCH(ROW(B113),Main!$D$4:$D$1048576,0))))</f>
        <v/>
      </c>
      <c r="P115" s="1" t="str">
        <f>IF(IF(ROW(C113)&gt;MAX(Main!$D$4:$D$1048576),"",INDEX(Main!I$4:I$1048576,MATCH(ROW(C113),Main!$D$4:$D$1048576,0)))="",IF(O115="","",P114),IF(ROW(C113)&gt;MAX(Main!$D$4:$D$1048576),"",INDEX(Main!I$4:I$1048576,MATCH(ROW(C113),Main!$D$4:$D$1048576,0))))</f>
        <v/>
      </c>
      <c r="Q115" s="1" t="str">
        <f t="shared" si="5"/>
        <v/>
      </c>
      <c r="R115" s="1" t="str">
        <f>IF(IF(ROW(D113)&gt;MAX(Main!$D$4:$D$1048576),"",INDEX(Main!J$4:J$1048576,MATCH(ROW(D113),Main!$D$4:$D$1048576,0)))="",IF(P115="","",R114),IF(ROW(D113)&gt;MAX(Main!$D$4:$D$1048576),"",INDEX(Main!J$4:J$1048576,MATCH(ROW(D113),Main!$D$4:$D$1048576,0))))</f>
        <v/>
      </c>
      <c r="S115" s="9" t="str">
        <f>IF(ROW(G113)&gt;MAX(Main!$D$4:$D$1048576),"",INDEX(Main!K$4:K$1048576,MATCH(ROW(G113),Main!$D$4:$D$1048576,0)))</f>
        <v/>
      </c>
      <c r="T115" s="1" t="str">
        <f>IF(S115&lt;&gt;"",IF(ROW(G113)&gt;MAX(Main!$D$4:$D$1048576),"",INDEX(Main!N$4:N$1048576,MATCH(ROW(G113),Main!$D$4:$D$1048576,0))),"")</f>
        <v/>
      </c>
      <c r="U115" s="1" t="str">
        <f>IF(IF(ROW(H113)&gt;MAX(Main!$D$4:$D$1048576),"",INDEX(Main!O$4:O$1048576,MATCH(ROW(H113),Main!$D$4:$D$1048576,0)))="",IF(T115="","",U114),IF(ROW(H113)&gt;MAX(Main!$D$4:$D$1048576),"",INDEX(Main!O$4:O$1048576,MATCH(ROW(H113),Main!$D$4:$D$1048576,0))))</f>
        <v/>
      </c>
    </row>
    <row r="116" spans="1:21" x14ac:dyDescent="0.4">
      <c r="A116" t="s">
        <v>21</v>
      </c>
      <c r="B116" s="4" t="str">
        <f>TEXT(IF(ROW(A114)&gt;MAX(Main!$C$4:$C$1048576),"",INDEX(Main!Q$4:Q$1048576,MATCH(ROW(A114),Main!$C$4:$C$1048576,0))), "yyyy/m/d")</f>
        <v/>
      </c>
      <c r="C116" s="1" t="str">
        <f>IF(IF(ROW(A114)&gt;MAX(Main!$C$4:$C$1048576),"",INDEX(Main!G$4:G$1048576,MATCH(ROW(A114),Main!$C$4:$C$1048576,0)))="",IF(B116="","",C115),IF(ROW(A114)&gt;MAX(Main!$C$4:$C$1048576),"",INDEX(Main!G$4:G$1048576,MATCH(ROW(A114),Main!$C$4:$C$1048576,0))))</f>
        <v/>
      </c>
      <c r="D116" s="1" t="str">
        <f>IF(IF(ROW(B114)&gt;MAX(Main!$C$4:$C$1048576),"",INDEX(Main!H$4:H$1048576,MATCH(ROW(B114),Main!$C$4:$C$1048576,0)))="",IF(C116="","",D115),IF(ROW(B114)&gt;MAX(Main!$C$4:$C$1048576),"",INDEX(Main!H$4:H$1048576,MATCH(ROW(B114),Main!$C$4:$C$1048576,0))))</f>
        <v/>
      </c>
      <c r="E116" s="1" t="str">
        <f>IF(IF(ROW(C114)&gt;MAX(Main!$C$4:$C$1048576),"",INDEX(Main!I$4:I$1048576,MATCH(ROW(C114),Main!$C$4:$C$1048576,0)))="",IF(D116="","",E115),IF(ROW(C114)&gt;MAX(Main!$C$4:$C$1048576),"",INDEX(Main!I$4:I$1048576,MATCH(ROW(C114),Main!$C$4:$C$1048576,0))))</f>
        <v/>
      </c>
      <c r="F116" s="1" t="str">
        <f t="shared" si="3"/>
        <v/>
      </c>
      <c r="G116" s="1" t="str">
        <f>IF(IF(ROW(D114)&gt;MAX(Main!$C$4:$C$1048576),"",INDEX(Main!J$4:J$1048576,MATCH(ROW(D114),Main!$C$4:$C$1048576,0)))="",IF(E116="","",G115),IF(ROW(D114)&gt;MAX(Main!$C$4:$C$1048576),"",INDEX(Main!J$4:J$1048576,MATCH(ROW(D114),Main!$C$4:$C$1048576,0))))</f>
        <v/>
      </c>
      <c r="H116" s="10" t="str">
        <f>IF(ROW(G114)&gt;MAX(Main!$C$4:$C$1048576),"",INDEX(Main!K$4:K$1048576,MATCH(ROW(G114),Main!$C$4:$C$1048576,0)))</f>
        <v/>
      </c>
      <c r="I116" s="1" t="str">
        <f>IF(H116&lt;&gt;"",IF(ROW(G114)&gt;MAX(Main!$C$4:$C$1048576),"",INDEX(Main!N$4:N$1048576,MATCH(ROW(G114),Main!$C$4:$C$1048576,0))),"")</f>
        <v/>
      </c>
      <c r="J116" s="1" t="str">
        <f>IF(IF(ROW(H114)&gt;MAX(Main!$C$4:$C$1048576),"",INDEX(Main!O$4:O$1048576,MATCH(ROW(H114),Main!$C$4:$C$1048576,0)))="",IF(I116="","",J115),IF(ROW(H114)&gt;MAX(Main!$C$4:$C$1048576),"",INDEX(Main!O$4:O$1048576,MATCH(ROW(H114),Main!$C$4:$C$1048576,0))))</f>
        <v/>
      </c>
      <c r="K116" s="27" t="str">
        <f t="shared" si="4"/>
        <v>例目</v>
      </c>
      <c r="M116" s="4" t="str">
        <f>TEXT(IF(ROW(A114)&gt;MAX(Main!$D$4:$D$1048576),"",INDEX(Main!Q$4:Q$1048576,MATCH(ROW(A114),Main!$D$4:$D$1048576,0))), "yyyy/m/d")</f>
        <v/>
      </c>
      <c r="N116" s="1" t="str">
        <f>IF(IF(ROW(A114)&gt;MAX(Main!$D$4:$D$1048576),"",INDEX(Main!G$4:G$1048576,MATCH(ROW(A114),Main!$D$4:$D$1048576,0)))="",IF(M116="","",N115),IF(ROW(A114)&gt;MAX(Main!$D$4:$D$1048576),"",INDEX(Main!G$4:G$1048576,MATCH(ROW(A114),Main!$D$4:$D$1048576,0))))</f>
        <v/>
      </c>
      <c r="O116" s="1" t="str">
        <f>IF(IF(ROW(B114)&gt;MAX(Main!$D$4:$D$1048576),"",INDEX(Main!H$4:H$1048576,MATCH(ROW(B114),Main!$D$4:$D$1048576,0)))="",IF(N116="","",O115),IF(ROW(B114)&gt;MAX(Main!$D$4:$D$1048576),"",INDEX(Main!H$4:H$1048576,MATCH(ROW(B114),Main!$D$4:$D$1048576,0))))</f>
        <v/>
      </c>
      <c r="P116" s="1" t="str">
        <f>IF(IF(ROW(C114)&gt;MAX(Main!$D$4:$D$1048576),"",INDEX(Main!I$4:I$1048576,MATCH(ROW(C114),Main!$D$4:$D$1048576,0)))="",IF(O116="","",P115),IF(ROW(C114)&gt;MAX(Main!$D$4:$D$1048576),"",INDEX(Main!I$4:I$1048576,MATCH(ROW(C114),Main!$D$4:$D$1048576,0))))</f>
        <v/>
      </c>
      <c r="Q116" s="1" t="str">
        <f t="shared" si="5"/>
        <v/>
      </c>
      <c r="R116" s="1" t="str">
        <f>IF(IF(ROW(D114)&gt;MAX(Main!$D$4:$D$1048576),"",INDEX(Main!J$4:J$1048576,MATCH(ROW(D114),Main!$D$4:$D$1048576,0)))="",IF(P116="","",R115),IF(ROW(D114)&gt;MAX(Main!$D$4:$D$1048576),"",INDEX(Main!J$4:J$1048576,MATCH(ROW(D114),Main!$D$4:$D$1048576,0))))</f>
        <v/>
      </c>
      <c r="S116" s="9" t="str">
        <f>IF(ROW(G114)&gt;MAX(Main!$D$4:$D$1048576),"",INDEX(Main!K$4:K$1048576,MATCH(ROW(G114),Main!$D$4:$D$1048576,0)))</f>
        <v/>
      </c>
      <c r="T116" s="1" t="str">
        <f>IF(S116&lt;&gt;"",IF(ROW(G114)&gt;MAX(Main!$D$4:$D$1048576),"",INDEX(Main!N$4:N$1048576,MATCH(ROW(G114),Main!$D$4:$D$1048576,0))),"")</f>
        <v/>
      </c>
      <c r="U116" s="1" t="str">
        <f>IF(IF(ROW(H114)&gt;MAX(Main!$D$4:$D$1048576),"",INDEX(Main!O$4:O$1048576,MATCH(ROW(H114),Main!$D$4:$D$1048576,0)))="",IF(T116="","",U115),IF(ROW(H114)&gt;MAX(Main!$D$4:$D$1048576),"",INDEX(Main!O$4:O$1048576,MATCH(ROW(H114),Main!$D$4:$D$1048576,0))))</f>
        <v/>
      </c>
    </row>
    <row r="117" spans="1:21" x14ac:dyDescent="0.4">
      <c r="A117" t="s">
        <v>21</v>
      </c>
      <c r="B117" s="4" t="str">
        <f>TEXT(IF(ROW(A115)&gt;MAX(Main!$C$4:$C$1048576),"",INDEX(Main!Q$4:Q$1048576,MATCH(ROW(A115),Main!$C$4:$C$1048576,0))), "yyyy/m/d")</f>
        <v/>
      </c>
      <c r="C117" s="1" t="str">
        <f>IF(IF(ROW(A115)&gt;MAX(Main!$C$4:$C$1048576),"",INDEX(Main!G$4:G$1048576,MATCH(ROW(A115),Main!$C$4:$C$1048576,0)))="",IF(B117="","",C116),IF(ROW(A115)&gt;MAX(Main!$C$4:$C$1048576),"",INDEX(Main!G$4:G$1048576,MATCH(ROW(A115),Main!$C$4:$C$1048576,0))))</f>
        <v/>
      </c>
      <c r="D117" s="1" t="str">
        <f>IF(IF(ROW(B115)&gt;MAX(Main!$C$4:$C$1048576),"",INDEX(Main!H$4:H$1048576,MATCH(ROW(B115),Main!$C$4:$C$1048576,0)))="",IF(C117="","",D116),IF(ROW(B115)&gt;MAX(Main!$C$4:$C$1048576),"",INDEX(Main!H$4:H$1048576,MATCH(ROW(B115),Main!$C$4:$C$1048576,0))))</f>
        <v/>
      </c>
      <c r="E117" s="1" t="str">
        <f>IF(IF(ROW(C115)&gt;MAX(Main!$C$4:$C$1048576),"",INDEX(Main!I$4:I$1048576,MATCH(ROW(C115),Main!$C$4:$C$1048576,0)))="",IF(D117="","",E116),IF(ROW(C115)&gt;MAX(Main!$C$4:$C$1048576),"",INDEX(Main!I$4:I$1048576,MATCH(ROW(C115),Main!$C$4:$C$1048576,0))))</f>
        <v/>
      </c>
      <c r="F117" s="1" t="str">
        <f t="shared" si="3"/>
        <v/>
      </c>
      <c r="G117" s="1" t="str">
        <f>IF(IF(ROW(D115)&gt;MAX(Main!$C$4:$C$1048576),"",INDEX(Main!J$4:J$1048576,MATCH(ROW(D115),Main!$C$4:$C$1048576,0)))="",IF(E117="","",G116),IF(ROW(D115)&gt;MAX(Main!$C$4:$C$1048576),"",INDEX(Main!J$4:J$1048576,MATCH(ROW(D115),Main!$C$4:$C$1048576,0))))</f>
        <v/>
      </c>
      <c r="H117" s="10" t="str">
        <f>IF(ROW(G115)&gt;MAX(Main!$C$4:$C$1048576),"",INDEX(Main!K$4:K$1048576,MATCH(ROW(G115),Main!$C$4:$C$1048576,0)))</f>
        <v/>
      </c>
      <c r="I117" s="1" t="str">
        <f>IF(H117&lt;&gt;"",IF(ROW(G115)&gt;MAX(Main!$C$4:$C$1048576),"",INDEX(Main!N$4:N$1048576,MATCH(ROW(G115),Main!$C$4:$C$1048576,0))),"")</f>
        <v/>
      </c>
      <c r="J117" s="1" t="str">
        <f>IF(IF(ROW(H115)&gt;MAX(Main!$C$4:$C$1048576),"",INDEX(Main!O$4:O$1048576,MATCH(ROW(H115),Main!$C$4:$C$1048576,0)))="",IF(I117="","",J116),IF(ROW(H115)&gt;MAX(Main!$C$4:$C$1048576),"",INDEX(Main!O$4:O$1048576,MATCH(ROW(H115),Main!$C$4:$C$1048576,0))))</f>
        <v/>
      </c>
      <c r="K117" s="27" t="str">
        <f t="shared" si="4"/>
        <v>例目</v>
      </c>
      <c r="M117" s="4" t="str">
        <f>TEXT(IF(ROW(A115)&gt;MAX(Main!$D$4:$D$1048576),"",INDEX(Main!Q$4:Q$1048576,MATCH(ROW(A115),Main!$D$4:$D$1048576,0))), "yyyy/m/d")</f>
        <v/>
      </c>
      <c r="N117" s="1" t="str">
        <f>IF(IF(ROW(A115)&gt;MAX(Main!$D$4:$D$1048576),"",INDEX(Main!G$4:G$1048576,MATCH(ROW(A115),Main!$D$4:$D$1048576,0)))="",IF(M117="","",N116),IF(ROW(A115)&gt;MAX(Main!$D$4:$D$1048576),"",INDEX(Main!G$4:G$1048576,MATCH(ROW(A115),Main!$D$4:$D$1048576,0))))</f>
        <v/>
      </c>
      <c r="O117" s="1" t="str">
        <f>IF(IF(ROW(B115)&gt;MAX(Main!$D$4:$D$1048576),"",INDEX(Main!H$4:H$1048576,MATCH(ROW(B115),Main!$D$4:$D$1048576,0)))="",IF(N117="","",O116),IF(ROW(B115)&gt;MAX(Main!$D$4:$D$1048576),"",INDEX(Main!H$4:H$1048576,MATCH(ROW(B115),Main!$D$4:$D$1048576,0))))</f>
        <v/>
      </c>
      <c r="P117" s="1" t="str">
        <f>IF(IF(ROW(C115)&gt;MAX(Main!$D$4:$D$1048576),"",INDEX(Main!I$4:I$1048576,MATCH(ROW(C115),Main!$D$4:$D$1048576,0)))="",IF(O117="","",P116),IF(ROW(C115)&gt;MAX(Main!$D$4:$D$1048576),"",INDEX(Main!I$4:I$1048576,MATCH(ROW(C115),Main!$D$4:$D$1048576,0))))</f>
        <v/>
      </c>
      <c r="Q117" s="1" t="str">
        <f t="shared" si="5"/>
        <v/>
      </c>
      <c r="R117" s="1" t="str">
        <f>IF(IF(ROW(D115)&gt;MAX(Main!$D$4:$D$1048576),"",INDEX(Main!J$4:J$1048576,MATCH(ROW(D115),Main!$D$4:$D$1048576,0)))="",IF(P117="","",R116),IF(ROW(D115)&gt;MAX(Main!$D$4:$D$1048576),"",INDEX(Main!J$4:J$1048576,MATCH(ROW(D115),Main!$D$4:$D$1048576,0))))</f>
        <v/>
      </c>
      <c r="S117" s="9" t="str">
        <f>IF(ROW(G115)&gt;MAX(Main!$D$4:$D$1048576),"",INDEX(Main!K$4:K$1048576,MATCH(ROW(G115),Main!$D$4:$D$1048576,0)))</f>
        <v/>
      </c>
      <c r="T117" s="1" t="str">
        <f>IF(S117&lt;&gt;"",IF(ROW(G115)&gt;MAX(Main!$D$4:$D$1048576),"",INDEX(Main!N$4:N$1048576,MATCH(ROW(G115),Main!$D$4:$D$1048576,0))),"")</f>
        <v/>
      </c>
      <c r="U117" s="1" t="str">
        <f>IF(IF(ROW(H115)&gt;MAX(Main!$D$4:$D$1048576),"",INDEX(Main!O$4:O$1048576,MATCH(ROW(H115),Main!$D$4:$D$1048576,0)))="",IF(T117="","",U116),IF(ROW(H115)&gt;MAX(Main!$D$4:$D$1048576),"",INDEX(Main!O$4:O$1048576,MATCH(ROW(H115),Main!$D$4:$D$1048576,0))))</f>
        <v/>
      </c>
    </row>
    <row r="118" spans="1:21" x14ac:dyDescent="0.4">
      <c r="A118" t="s">
        <v>21</v>
      </c>
      <c r="B118" s="4" t="str">
        <f>TEXT(IF(ROW(A116)&gt;MAX(Main!$C$4:$C$1048576),"",INDEX(Main!Q$4:Q$1048576,MATCH(ROW(A116),Main!$C$4:$C$1048576,0))), "yyyy/m/d")</f>
        <v/>
      </c>
      <c r="C118" s="1" t="str">
        <f>IF(IF(ROW(A116)&gt;MAX(Main!$C$4:$C$1048576),"",INDEX(Main!G$4:G$1048576,MATCH(ROW(A116),Main!$C$4:$C$1048576,0)))="",IF(B118="","",C117),IF(ROW(A116)&gt;MAX(Main!$C$4:$C$1048576),"",INDEX(Main!G$4:G$1048576,MATCH(ROW(A116),Main!$C$4:$C$1048576,0))))</f>
        <v/>
      </c>
      <c r="D118" s="1" t="str">
        <f>IF(IF(ROW(B116)&gt;MAX(Main!$C$4:$C$1048576),"",INDEX(Main!H$4:H$1048576,MATCH(ROW(B116),Main!$C$4:$C$1048576,0)))="",IF(C118="","",D117),IF(ROW(B116)&gt;MAX(Main!$C$4:$C$1048576),"",INDEX(Main!H$4:H$1048576,MATCH(ROW(B116),Main!$C$4:$C$1048576,0))))</f>
        <v/>
      </c>
      <c r="E118" s="1" t="str">
        <f>IF(IF(ROW(C116)&gt;MAX(Main!$C$4:$C$1048576),"",INDEX(Main!I$4:I$1048576,MATCH(ROW(C116),Main!$C$4:$C$1048576,0)))="",IF(D118="","",E117),IF(ROW(C116)&gt;MAX(Main!$C$4:$C$1048576),"",INDEX(Main!I$4:I$1048576,MATCH(ROW(C116),Main!$C$4:$C$1048576,0))))</f>
        <v/>
      </c>
      <c r="F118" s="1" t="str">
        <f t="shared" si="3"/>
        <v/>
      </c>
      <c r="G118" s="1" t="str">
        <f>IF(IF(ROW(D116)&gt;MAX(Main!$C$4:$C$1048576),"",INDEX(Main!J$4:J$1048576,MATCH(ROW(D116),Main!$C$4:$C$1048576,0)))="",IF(E118="","",G117),IF(ROW(D116)&gt;MAX(Main!$C$4:$C$1048576),"",INDEX(Main!J$4:J$1048576,MATCH(ROW(D116),Main!$C$4:$C$1048576,0))))</f>
        <v/>
      </c>
      <c r="H118" s="10" t="str">
        <f>IF(ROW(G116)&gt;MAX(Main!$C$4:$C$1048576),"",INDEX(Main!K$4:K$1048576,MATCH(ROW(G116),Main!$C$4:$C$1048576,0)))</f>
        <v/>
      </c>
      <c r="I118" s="1" t="str">
        <f>IF(H118&lt;&gt;"",IF(ROW(G116)&gt;MAX(Main!$C$4:$C$1048576),"",INDEX(Main!N$4:N$1048576,MATCH(ROW(G116),Main!$C$4:$C$1048576,0))),"")</f>
        <v/>
      </c>
      <c r="J118" s="1" t="str">
        <f>IF(IF(ROW(H116)&gt;MAX(Main!$C$4:$C$1048576),"",INDEX(Main!O$4:O$1048576,MATCH(ROW(H116),Main!$C$4:$C$1048576,0)))="",IF(I118="","",J117),IF(ROW(H116)&gt;MAX(Main!$C$4:$C$1048576),"",INDEX(Main!O$4:O$1048576,MATCH(ROW(H116),Main!$C$4:$C$1048576,0))))</f>
        <v/>
      </c>
      <c r="K118" s="27" t="str">
        <f t="shared" si="4"/>
        <v>例目</v>
      </c>
      <c r="M118" s="4" t="str">
        <f>TEXT(IF(ROW(A116)&gt;MAX(Main!$D$4:$D$1048576),"",INDEX(Main!Q$4:Q$1048576,MATCH(ROW(A116),Main!$D$4:$D$1048576,0))), "yyyy/m/d")</f>
        <v/>
      </c>
      <c r="N118" s="1" t="str">
        <f>IF(IF(ROW(A116)&gt;MAX(Main!$D$4:$D$1048576),"",INDEX(Main!G$4:G$1048576,MATCH(ROW(A116),Main!$D$4:$D$1048576,0)))="",IF(M118="","",N117),IF(ROW(A116)&gt;MAX(Main!$D$4:$D$1048576),"",INDEX(Main!G$4:G$1048576,MATCH(ROW(A116),Main!$D$4:$D$1048576,0))))</f>
        <v/>
      </c>
      <c r="O118" s="1" t="str">
        <f>IF(IF(ROW(B116)&gt;MAX(Main!$D$4:$D$1048576),"",INDEX(Main!H$4:H$1048576,MATCH(ROW(B116),Main!$D$4:$D$1048576,0)))="",IF(N118="","",O117),IF(ROW(B116)&gt;MAX(Main!$D$4:$D$1048576),"",INDEX(Main!H$4:H$1048576,MATCH(ROW(B116),Main!$D$4:$D$1048576,0))))</f>
        <v/>
      </c>
      <c r="P118" s="1" t="str">
        <f>IF(IF(ROW(C116)&gt;MAX(Main!$D$4:$D$1048576),"",INDEX(Main!I$4:I$1048576,MATCH(ROW(C116),Main!$D$4:$D$1048576,0)))="",IF(O118="","",P117),IF(ROW(C116)&gt;MAX(Main!$D$4:$D$1048576),"",INDEX(Main!I$4:I$1048576,MATCH(ROW(C116),Main!$D$4:$D$1048576,0))))</f>
        <v/>
      </c>
      <c r="Q118" s="1" t="str">
        <f t="shared" si="5"/>
        <v/>
      </c>
      <c r="R118" s="1" t="str">
        <f>IF(IF(ROW(D116)&gt;MAX(Main!$D$4:$D$1048576),"",INDEX(Main!J$4:J$1048576,MATCH(ROW(D116),Main!$D$4:$D$1048576,0)))="",IF(P118="","",R117),IF(ROW(D116)&gt;MAX(Main!$D$4:$D$1048576),"",INDEX(Main!J$4:J$1048576,MATCH(ROW(D116),Main!$D$4:$D$1048576,0))))</f>
        <v/>
      </c>
      <c r="S118" s="9" t="str">
        <f>IF(ROW(G116)&gt;MAX(Main!$D$4:$D$1048576),"",INDEX(Main!K$4:K$1048576,MATCH(ROW(G116),Main!$D$4:$D$1048576,0)))</f>
        <v/>
      </c>
      <c r="T118" s="1" t="str">
        <f>IF(S118&lt;&gt;"",IF(ROW(G116)&gt;MAX(Main!$D$4:$D$1048576),"",INDEX(Main!N$4:N$1048576,MATCH(ROW(G116),Main!$D$4:$D$1048576,0))),"")</f>
        <v/>
      </c>
      <c r="U118" s="1" t="str">
        <f>IF(IF(ROW(H116)&gt;MAX(Main!$D$4:$D$1048576),"",INDEX(Main!O$4:O$1048576,MATCH(ROW(H116),Main!$D$4:$D$1048576,0)))="",IF(T118="","",U117),IF(ROW(H116)&gt;MAX(Main!$D$4:$D$1048576),"",INDEX(Main!O$4:O$1048576,MATCH(ROW(H116),Main!$D$4:$D$1048576,0))))</f>
        <v/>
      </c>
    </row>
    <row r="119" spans="1:21" x14ac:dyDescent="0.4">
      <c r="A119" t="s">
        <v>21</v>
      </c>
      <c r="B119" s="4" t="str">
        <f>TEXT(IF(ROW(A117)&gt;MAX(Main!$C$4:$C$1048576),"",INDEX(Main!Q$4:Q$1048576,MATCH(ROW(A117),Main!$C$4:$C$1048576,0))), "yyyy/m/d")</f>
        <v/>
      </c>
      <c r="C119" s="1" t="str">
        <f>IF(IF(ROW(A117)&gt;MAX(Main!$C$4:$C$1048576),"",INDEX(Main!G$4:G$1048576,MATCH(ROW(A117),Main!$C$4:$C$1048576,0)))="",IF(B119="","",C118),IF(ROW(A117)&gt;MAX(Main!$C$4:$C$1048576),"",INDEX(Main!G$4:G$1048576,MATCH(ROW(A117),Main!$C$4:$C$1048576,0))))</f>
        <v/>
      </c>
      <c r="D119" s="1" t="str">
        <f>IF(IF(ROW(B117)&gt;MAX(Main!$C$4:$C$1048576),"",INDEX(Main!H$4:H$1048576,MATCH(ROW(B117),Main!$C$4:$C$1048576,0)))="",IF(C119="","",D118),IF(ROW(B117)&gt;MAX(Main!$C$4:$C$1048576),"",INDEX(Main!H$4:H$1048576,MATCH(ROW(B117),Main!$C$4:$C$1048576,0))))</f>
        <v/>
      </c>
      <c r="E119" s="1" t="str">
        <f>IF(IF(ROW(C117)&gt;MAX(Main!$C$4:$C$1048576),"",INDEX(Main!I$4:I$1048576,MATCH(ROW(C117),Main!$C$4:$C$1048576,0)))="",IF(D119="","",E118),IF(ROW(C117)&gt;MAX(Main!$C$4:$C$1048576),"",INDEX(Main!I$4:I$1048576,MATCH(ROW(C117),Main!$C$4:$C$1048576,0))))</f>
        <v/>
      </c>
      <c r="F119" s="1" t="str">
        <f t="shared" si="3"/>
        <v/>
      </c>
      <c r="G119" s="1" t="str">
        <f>IF(IF(ROW(D117)&gt;MAX(Main!$C$4:$C$1048576),"",INDEX(Main!J$4:J$1048576,MATCH(ROW(D117),Main!$C$4:$C$1048576,0)))="",IF(E119="","",G118),IF(ROW(D117)&gt;MAX(Main!$C$4:$C$1048576),"",INDEX(Main!J$4:J$1048576,MATCH(ROW(D117),Main!$C$4:$C$1048576,0))))</f>
        <v/>
      </c>
      <c r="H119" s="10" t="str">
        <f>IF(ROW(G117)&gt;MAX(Main!$C$4:$C$1048576),"",INDEX(Main!K$4:K$1048576,MATCH(ROW(G117),Main!$C$4:$C$1048576,0)))</f>
        <v/>
      </c>
      <c r="I119" s="1" t="str">
        <f>IF(H119&lt;&gt;"",IF(ROW(G117)&gt;MAX(Main!$C$4:$C$1048576),"",INDEX(Main!N$4:N$1048576,MATCH(ROW(G117),Main!$C$4:$C$1048576,0))),"")</f>
        <v/>
      </c>
      <c r="J119" s="1" t="str">
        <f>IF(IF(ROW(H117)&gt;MAX(Main!$C$4:$C$1048576),"",INDEX(Main!O$4:O$1048576,MATCH(ROW(H117),Main!$C$4:$C$1048576,0)))="",IF(I119="","",J118),IF(ROW(H117)&gt;MAX(Main!$C$4:$C$1048576),"",INDEX(Main!O$4:O$1048576,MATCH(ROW(H117),Main!$C$4:$C$1048576,0))))</f>
        <v/>
      </c>
      <c r="K119" s="27" t="str">
        <f t="shared" si="4"/>
        <v>例目</v>
      </c>
      <c r="M119" s="4" t="str">
        <f>TEXT(IF(ROW(A117)&gt;MAX(Main!$D$4:$D$1048576),"",INDEX(Main!Q$4:Q$1048576,MATCH(ROW(A117),Main!$D$4:$D$1048576,0))), "yyyy/m/d")</f>
        <v/>
      </c>
      <c r="N119" s="1" t="str">
        <f>IF(IF(ROW(A117)&gt;MAX(Main!$D$4:$D$1048576),"",INDEX(Main!G$4:G$1048576,MATCH(ROW(A117),Main!$D$4:$D$1048576,0)))="",IF(M119="","",N118),IF(ROW(A117)&gt;MAX(Main!$D$4:$D$1048576),"",INDEX(Main!G$4:G$1048576,MATCH(ROW(A117),Main!$D$4:$D$1048576,0))))</f>
        <v/>
      </c>
      <c r="O119" s="1" t="str">
        <f>IF(IF(ROW(B117)&gt;MAX(Main!$D$4:$D$1048576),"",INDEX(Main!H$4:H$1048576,MATCH(ROW(B117),Main!$D$4:$D$1048576,0)))="",IF(N119="","",O118),IF(ROW(B117)&gt;MAX(Main!$D$4:$D$1048576),"",INDEX(Main!H$4:H$1048576,MATCH(ROW(B117),Main!$D$4:$D$1048576,0))))</f>
        <v/>
      </c>
      <c r="P119" s="1" t="str">
        <f>IF(IF(ROW(C117)&gt;MAX(Main!$D$4:$D$1048576),"",INDEX(Main!I$4:I$1048576,MATCH(ROW(C117),Main!$D$4:$D$1048576,0)))="",IF(O119="","",P118),IF(ROW(C117)&gt;MAX(Main!$D$4:$D$1048576),"",INDEX(Main!I$4:I$1048576,MATCH(ROW(C117),Main!$D$4:$D$1048576,0))))</f>
        <v/>
      </c>
      <c r="Q119" s="1" t="str">
        <f t="shared" si="5"/>
        <v/>
      </c>
      <c r="R119" s="1" t="str">
        <f>IF(IF(ROW(D117)&gt;MAX(Main!$D$4:$D$1048576),"",INDEX(Main!J$4:J$1048576,MATCH(ROW(D117),Main!$D$4:$D$1048576,0)))="",IF(P119="","",R118),IF(ROW(D117)&gt;MAX(Main!$D$4:$D$1048576),"",INDEX(Main!J$4:J$1048576,MATCH(ROW(D117),Main!$D$4:$D$1048576,0))))</f>
        <v/>
      </c>
      <c r="S119" s="9" t="str">
        <f>IF(ROW(G117)&gt;MAX(Main!$D$4:$D$1048576),"",INDEX(Main!K$4:K$1048576,MATCH(ROW(G117),Main!$D$4:$D$1048576,0)))</f>
        <v/>
      </c>
      <c r="T119" s="1" t="str">
        <f>IF(S119&lt;&gt;"",IF(ROW(G117)&gt;MAX(Main!$D$4:$D$1048576),"",INDEX(Main!N$4:N$1048576,MATCH(ROW(G117),Main!$D$4:$D$1048576,0))),"")</f>
        <v/>
      </c>
      <c r="U119" s="1" t="str">
        <f>IF(IF(ROW(H117)&gt;MAX(Main!$D$4:$D$1048576),"",INDEX(Main!O$4:O$1048576,MATCH(ROW(H117),Main!$D$4:$D$1048576,0)))="",IF(T119="","",U118),IF(ROW(H117)&gt;MAX(Main!$D$4:$D$1048576),"",INDEX(Main!O$4:O$1048576,MATCH(ROW(H117),Main!$D$4:$D$1048576,0))))</f>
        <v/>
      </c>
    </row>
    <row r="120" spans="1:21" x14ac:dyDescent="0.4">
      <c r="A120" t="s">
        <v>21</v>
      </c>
      <c r="B120" s="4" t="str">
        <f>TEXT(IF(ROW(A118)&gt;MAX(Main!$C$4:$C$1048576),"",INDEX(Main!Q$4:Q$1048576,MATCH(ROW(A118),Main!$C$4:$C$1048576,0))), "yyyy/m/d")</f>
        <v/>
      </c>
      <c r="C120" s="1" t="str">
        <f>IF(IF(ROW(A118)&gt;MAX(Main!$C$4:$C$1048576),"",INDEX(Main!G$4:G$1048576,MATCH(ROW(A118),Main!$C$4:$C$1048576,0)))="",IF(B120="","",C119),IF(ROW(A118)&gt;MAX(Main!$C$4:$C$1048576),"",INDEX(Main!G$4:G$1048576,MATCH(ROW(A118),Main!$C$4:$C$1048576,0))))</f>
        <v/>
      </c>
      <c r="D120" s="1" t="str">
        <f>IF(IF(ROW(B118)&gt;MAX(Main!$C$4:$C$1048576),"",INDEX(Main!H$4:H$1048576,MATCH(ROW(B118),Main!$C$4:$C$1048576,0)))="",IF(C120="","",D119),IF(ROW(B118)&gt;MAX(Main!$C$4:$C$1048576),"",INDEX(Main!H$4:H$1048576,MATCH(ROW(B118),Main!$C$4:$C$1048576,0))))</f>
        <v/>
      </c>
      <c r="E120" s="1" t="str">
        <f>IF(IF(ROW(C118)&gt;MAX(Main!$C$4:$C$1048576),"",INDEX(Main!I$4:I$1048576,MATCH(ROW(C118),Main!$C$4:$C$1048576,0)))="",IF(D120="","",E119),IF(ROW(C118)&gt;MAX(Main!$C$4:$C$1048576),"",INDEX(Main!I$4:I$1048576,MATCH(ROW(C118),Main!$C$4:$C$1048576,0))))</f>
        <v/>
      </c>
      <c r="F120" s="1" t="str">
        <f t="shared" si="3"/>
        <v/>
      </c>
      <c r="G120" s="1" t="str">
        <f>IF(IF(ROW(D118)&gt;MAX(Main!$C$4:$C$1048576),"",INDEX(Main!J$4:J$1048576,MATCH(ROW(D118),Main!$C$4:$C$1048576,0)))="",IF(E120="","",G119),IF(ROW(D118)&gt;MAX(Main!$C$4:$C$1048576),"",INDEX(Main!J$4:J$1048576,MATCH(ROW(D118),Main!$C$4:$C$1048576,0))))</f>
        <v/>
      </c>
      <c r="H120" s="10" t="str">
        <f>IF(ROW(G118)&gt;MAX(Main!$C$4:$C$1048576),"",INDEX(Main!K$4:K$1048576,MATCH(ROW(G118),Main!$C$4:$C$1048576,0)))</f>
        <v/>
      </c>
      <c r="I120" s="1" t="str">
        <f>IF(H120&lt;&gt;"",IF(ROW(G118)&gt;MAX(Main!$C$4:$C$1048576),"",INDEX(Main!N$4:N$1048576,MATCH(ROW(G118),Main!$C$4:$C$1048576,0))),"")</f>
        <v/>
      </c>
      <c r="J120" s="1" t="str">
        <f>IF(IF(ROW(H118)&gt;MAX(Main!$C$4:$C$1048576),"",INDEX(Main!O$4:O$1048576,MATCH(ROW(H118),Main!$C$4:$C$1048576,0)))="",IF(I120="","",J119),IF(ROW(H118)&gt;MAX(Main!$C$4:$C$1048576),"",INDEX(Main!O$4:O$1048576,MATCH(ROW(H118),Main!$C$4:$C$1048576,0))))</f>
        <v/>
      </c>
      <c r="K120" s="27" t="str">
        <f t="shared" si="4"/>
        <v>例目</v>
      </c>
      <c r="M120" s="4" t="str">
        <f>TEXT(IF(ROW(A118)&gt;MAX(Main!$D$4:$D$1048576),"",INDEX(Main!Q$4:Q$1048576,MATCH(ROW(A118),Main!$D$4:$D$1048576,0))), "yyyy/m/d")</f>
        <v/>
      </c>
      <c r="N120" s="1" t="str">
        <f>IF(IF(ROW(A118)&gt;MAX(Main!$D$4:$D$1048576),"",INDEX(Main!G$4:G$1048576,MATCH(ROW(A118),Main!$D$4:$D$1048576,0)))="",IF(M120="","",N119),IF(ROW(A118)&gt;MAX(Main!$D$4:$D$1048576),"",INDEX(Main!G$4:G$1048576,MATCH(ROW(A118),Main!$D$4:$D$1048576,0))))</f>
        <v/>
      </c>
      <c r="O120" s="1" t="str">
        <f>IF(IF(ROW(B118)&gt;MAX(Main!$D$4:$D$1048576),"",INDEX(Main!H$4:H$1048576,MATCH(ROW(B118),Main!$D$4:$D$1048576,0)))="",IF(N120="","",O119),IF(ROW(B118)&gt;MAX(Main!$D$4:$D$1048576),"",INDEX(Main!H$4:H$1048576,MATCH(ROW(B118),Main!$D$4:$D$1048576,0))))</f>
        <v/>
      </c>
      <c r="P120" s="1" t="str">
        <f>IF(IF(ROW(C118)&gt;MAX(Main!$D$4:$D$1048576),"",INDEX(Main!I$4:I$1048576,MATCH(ROW(C118),Main!$D$4:$D$1048576,0)))="",IF(O120="","",P119),IF(ROW(C118)&gt;MAX(Main!$D$4:$D$1048576),"",INDEX(Main!I$4:I$1048576,MATCH(ROW(C118),Main!$D$4:$D$1048576,0))))</f>
        <v/>
      </c>
      <c r="Q120" s="1" t="str">
        <f t="shared" si="5"/>
        <v/>
      </c>
      <c r="R120" s="1" t="str">
        <f>IF(IF(ROW(D118)&gt;MAX(Main!$D$4:$D$1048576),"",INDEX(Main!J$4:J$1048576,MATCH(ROW(D118),Main!$D$4:$D$1048576,0)))="",IF(P120="","",R119),IF(ROW(D118)&gt;MAX(Main!$D$4:$D$1048576),"",INDEX(Main!J$4:J$1048576,MATCH(ROW(D118),Main!$D$4:$D$1048576,0))))</f>
        <v/>
      </c>
      <c r="S120" s="9" t="str">
        <f>IF(ROW(G118)&gt;MAX(Main!$D$4:$D$1048576),"",INDEX(Main!K$4:K$1048576,MATCH(ROW(G118),Main!$D$4:$D$1048576,0)))</f>
        <v/>
      </c>
      <c r="T120" s="1" t="str">
        <f>IF(S120&lt;&gt;"",IF(ROW(G118)&gt;MAX(Main!$D$4:$D$1048576),"",INDEX(Main!N$4:N$1048576,MATCH(ROW(G118),Main!$D$4:$D$1048576,0))),"")</f>
        <v/>
      </c>
      <c r="U120" s="1" t="str">
        <f>IF(IF(ROW(H118)&gt;MAX(Main!$D$4:$D$1048576),"",INDEX(Main!O$4:O$1048576,MATCH(ROW(H118),Main!$D$4:$D$1048576,0)))="",IF(T120="","",U119),IF(ROW(H118)&gt;MAX(Main!$D$4:$D$1048576),"",INDEX(Main!O$4:O$1048576,MATCH(ROW(H118),Main!$D$4:$D$1048576,0))))</f>
        <v/>
      </c>
    </row>
    <row r="121" spans="1:21" x14ac:dyDescent="0.4">
      <c r="A121" t="s">
        <v>21</v>
      </c>
      <c r="B121" s="4" t="str">
        <f>TEXT(IF(ROW(A119)&gt;MAX(Main!$C$4:$C$1048576),"",INDEX(Main!Q$4:Q$1048576,MATCH(ROW(A119),Main!$C$4:$C$1048576,0))), "yyyy/m/d")</f>
        <v/>
      </c>
      <c r="C121" s="1" t="str">
        <f>IF(IF(ROW(A119)&gt;MAX(Main!$C$4:$C$1048576),"",INDEX(Main!G$4:G$1048576,MATCH(ROW(A119),Main!$C$4:$C$1048576,0)))="",IF(B121="","",C120),IF(ROW(A119)&gt;MAX(Main!$C$4:$C$1048576),"",INDEX(Main!G$4:G$1048576,MATCH(ROW(A119),Main!$C$4:$C$1048576,0))))</f>
        <v/>
      </c>
      <c r="D121" s="1" t="str">
        <f>IF(IF(ROW(B119)&gt;MAX(Main!$C$4:$C$1048576),"",INDEX(Main!H$4:H$1048576,MATCH(ROW(B119),Main!$C$4:$C$1048576,0)))="",IF(C121="","",D120),IF(ROW(B119)&gt;MAX(Main!$C$4:$C$1048576),"",INDEX(Main!H$4:H$1048576,MATCH(ROW(B119),Main!$C$4:$C$1048576,0))))</f>
        <v/>
      </c>
      <c r="E121" s="1" t="str">
        <f>IF(IF(ROW(C119)&gt;MAX(Main!$C$4:$C$1048576),"",INDEX(Main!I$4:I$1048576,MATCH(ROW(C119),Main!$C$4:$C$1048576,0)))="",IF(D121="","",E120),IF(ROW(C119)&gt;MAX(Main!$C$4:$C$1048576),"",INDEX(Main!I$4:I$1048576,MATCH(ROW(C119),Main!$C$4:$C$1048576,0))))</f>
        <v/>
      </c>
      <c r="F121" s="1" t="str">
        <f t="shared" si="3"/>
        <v/>
      </c>
      <c r="G121" s="1" t="str">
        <f>IF(IF(ROW(D119)&gt;MAX(Main!$C$4:$C$1048576),"",INDEX(Main!J$4:J$1048576,MATCH(ROW(D119),Main!$C$4:$C$1048576,0)))="",IF(E121="","",G120),IF(ROW(D119)&gt;MAX(Main!$C$4:$C$1048576),"",INDEX(Main!J$4:J$1048576,MATCH(ROW(D119),Main!$C$4:$C$1048576,0))))</f>
        <v/>
      </c>
      <c r="H121" s="10" t="str">
        <f>IF(ROW(G119)&gt;MAX(Main!$C$4:$C$1048576),"",INDEX(Main!K$4:K$1048576,MATCH(ROW(G119),Main!$C$4:$C$1048576,0)))</f>
        <v/>
      </c>
      <c r="I121" s="1" t="str">
        <f>IF(H121&lt;&gt;"",IF(ROW(G119)&gt;MAX(Main!$C$4:$C$1048576),"",INDEX(Main!N$4:N$1048576,MATCH(ROW(G119),Main!$C$4:$C$1048576,0))),"")</f>
        <v/>
      </c>
      <c r="J121" s="1" t="str">
        <f>IF(IF(ROW(H119)&gt;MAX(Main!$C$4:$C$1048576),"",INDEX(Main!O$4:O$1048576,MATCH(ROW(H119),Main!$C$4:$C$1048576,0)))="",IF(I121="","",J120),IF(ROW(H119)&gt;MAX(Main!$C$4:$C$1048576),"",INDEX(Main!O$4:O$1048576,MATCH(ROW(H119),Main!$C$4:$C$1048576,0))))</f>
        <v/>
      </c>
      <c r="K121" s="27" t="str">
        <f t="shared" si="4"/>
        <v>例目</v>
      </c>
      <c r="M121" s="4" t="str">
        <f>TEXT(IF(ROW(A119)&gt;MAX(Main!$D$4:$D$1048576),"",INDEX(Main!Q$4:Q$1048576,MATCH(ROW(A119),Main!$D$4:$D$1048576,0))), "yyyy/m/d")</f>
        <v/>
      </c>
      <c r="N121" s="1" t="str">
        <f>IF(IF(ROW(A119)&gt;MAX(Main!$D$4:$D$1048576),"",INDEX(Main!G$4:G$1048576,MATCH(ROW(A119),Main!$D$4:$D$1048576,0)))="",IF(M121="","",N120),IF(ROW(A119)&gt;MAX(Main!$D$4:$D$1048576),"",INDEX(Main!G$4:G$1048576,MATCH(ROW(A119),Main!$D$4:$D$1048576,0))))</f>
        <v/>
      </c>
      <c r="O121" s="1" t="str">
        <f>IF(IF(ROW(B119)&gt;MAX(Main!$D$4:$D$1048576),"",INDEX(Main!H$4:H$1048576,MATCH(ROW(B119),Main!$D$4:$D$1048576,0)))="",IF(N121="","",O120),IF(ROW(B119)&gt;MAX(Main!$D$4:$D$1048576),"",INDEX(Main!H$4:H$1048576,MATCH(ROW(B119),Main!$D$4:$D$1048576,0))))</f>
        <v/>
      </c>
      <c r="P121" s="1" t="str">
        <f>IF(IF(ROW(C119)&gt;MAX(Main!$D$4:$D$1048576),"",INDEX(Main!I$4:I$1048576,MATCH(ROW(C119),Main!$D$4:$D$1048576,0)))="",IF(O121="","",P120),IF(ROW(C119)&gt;MAX(Main!$D$4:$D$1048576),"",INDEX(Main!I$4:I$1048576,MATCH(ROW(C119),Main!$D$4:$D$1048576,0))))</f>
        <v/>
      </c>
      <c r="Q121" s="1" t="str">
        <f t="shared" si="5"/>
        <v/>
      </c>
      <c r="R121" s="1" t="str">
        <f>IF(IF(ROW(D119)&gt;MAX(Main!$D$4:$D$1048576),"",INDEX(Main!J$4:J$1048576,MATCH(ROW(D119),Main!$D$4:$D$1048576,0)))="",IF(P121="","",R120),IF(ROW(D119)&gt;MAX(Main!$D$4:$D$1048576),"",INDEX(Main!J$4:J$1048576,MATCH(ROW(D119),Main!$D$4:$D$1048576,0))))</f>
        <v/>
      </c>
      <c r="S121" s="9" t="str">
        <f>IF(ROW(G119)&gt;MAX(Main!$D$4:$D$1048576),"",INDEX(Main!K$4:K$1048576,MATCH(ROW(G119),Main!$D$4:$D$1048576,0)))</f>
        <v/>
      </c>
      <c r="T121" s="1" t="str">
        <f>IF(S121&lt;&gt;"",IF(ROW(G119)&gt;MAX(Main!$D$4:$D$1048576),"",INDEX(Main!N$4:N$1048576,MATCH(ROW(G119),Main!$D$4:$D$1048576,0))),"")</f>
        <v/>
      </c>
      <c r="U121" s="1" t="str">
        <f>IF(IF(ROW(H119)&gt;MAX(Main!$D$4:$D$1048576),"",INDEX(Main!O$4:O$1048576,MATCH(ROW(H119),Main!$D$4:$D$1048576,0)))="",IF(T121="","",U120),IF(ROW(H119)&gt;MAX(Main!$D$4:$D$1048576),"",INDEX(Main!O$4:O$1048576,MATCH(ROW(H119),Main!$D$4:$D$1048576,0))))</f>
        <v/>
      </c>
    </row>
    <row r="122" spans="1:21" x14ac:dyDescent="0.4">
      <c r="A122" t="s">
        <v>21</v>
      </c>
      <c r="B122" s="4" t="str">
        <f>TEXT(IF(ROW(A120)&gt;MAX(Main!$C$4:$C$1048576),"",INDEX(Main!Q$4:Q$1048576,MATCH(ROW(A120),Main!$C$4:$C$1048576,0))), "yyyy/m/d")</f>
        <v/>
      </c>
      <c r="C122" s="1" t="str">
        <f>IF(IF(ROW(A120)&gt;MAX(Main!$C$4:$C$1048576),"",INDEX(Main!G$4:G$1048576,MATCH(ROW(A120),Main!$C$4:$C$1048576,0)))="",IF(B122="","",C121),IF(ROW(A120)&gt;MAX(Main!$C$4:$C$1048576),"",INDEX(Main!G$4:G$1048576,MATCH(ROW(A120),Main!$C$4:$C$1048576,0))))</f>
        <v/>
      </c>
      <c r="D122" s="1" t="str">
        <f>IF(IF(ROW(B120)&gt;MAX(Main!$C$4:$C$1048576),"",INDEX(Main!H$4:H$1048576,MATCH(ROW(B120),Main!$C$4:$C$1048576,0)))="",IF(C122="","",D121),IF(ROW(B120)&gt;MAX(Main!$C$4:$C$1048576),"",INDEX(Main!H$4:H$1048576,MATCH(ROW(B120),Main!$C$4:$C$1048576,0))))</f>
        <v/>
      </c>
      <c r="E122" s="1" t="str">
        <f>IF(IF(ROW(C120)&gt;MAX(Main!$C$4:$C$1048576),"",INDEX(Main!I$4:I$1048576,MATCH(ROW(C120),Main!$C$4:$C$1048576,0)))="",IF(D122="","",E121),IF(ROW(C120)&gt;MAX(Main!$C$4:$C$1048576),"",INDEX(Main!I$4:I$1048576,MATCH(ROW(C120),Main!$C$4:$C$1048576,0))))</f>
        <v/>
      </c>
      <c r="F122" s="1" t="str">
        <f t="shared" si="3"/>
        <v/>
      </c>
      <c r="G122" s="1" t="str">
        <f>IF(IF(ROW(D120)&gt;MAX(Main!$C$4:$C$1048576),"",INDEX(Main!J$4:J$1048576,MATCH(ROW(D120),Main!$C$4:$C$1048576,0)))="",IF(E122="","",G121),IF(ROW(D120)&gt;MAX(Main!$C$4:$C$1048576),"",INDEX(Main!J$4:J$1048576,MATCH(ROW(D120),Main!$C$4:$C$1048576,0))))</f>
        <v/>
      </c>
      <c r="H122" s="10" t="str">
        <f>IF(ROW(G120)&gt;MAX(Main!$C$4:$C$1048576),"",INDEX(Main!K$4:K$1048576,MATCH(ROW(G120),Main!$C$4:$C$1048576,0)))</f>
        <v/>
      </c>
      <c r="I122" s="1" t="str">
        <f>IF(H122&lt;&gt;"",IF(ROW(G120)&gt;MAX(Main!$C$4:$C$1048576),"",INDEX(Main!N$4:N$1048576,MATCH(ROW(G120),Main!$C$4:$C$1048576,0))),"")</f>
        <v/>
      </c>
      <c r="J122" s="1" t="str">
        <f>IF(IF(ROW(H120)&gt;MAX(Main!$C$4:$C$1048576),"",INDEX(Main!O$4:O$1048576,MATCH(ROW(H120),Main!$C$4:$C$1048576,0)))="",IF(I122="","",J121),IF(ROW(H120)&gt;MAX(Main!$C$4:$C$1048576),"",INDEX(Main!O$4:O$1048576,MATCH(ROW(H120),Main!$C$4:$C$1048576,0))))</f>
        <v/>
      </c>
      <c r="K122" s="27" t="str">
        <f t="shared" si="4"/>
        <v>例目</v>
      </c>
      <c r="M122" s="4" t="str">
        <f>TEXT(IF(ROW(A120)&gt;MAX(Main!$D$4:$D$1048576),"",INDEX(Main!Q$4:Q$1048576,MATCH(ROW(A120),Main!$D$4:$D$1048576,0))), "yyyy/m/d")</f>
        <v/>
      </c>
      <c r="N122" s="1" t="str">
        <f>IF(IF(ROW(A120)&gt;MAX(Main!$D$4:$D$1048576),"",INDEX(Main!G$4:G$1048576,MATCH(ROW(A120),Main!$D$4:$D$1048576,0)))="",IF(M122="","",N121),IF(ROW(A120)&gt;MAX(Main!$D$4:$D$1048576),"",INDEX(Main!G$4:G$1048576,MATCH(ROW(A120),Main!$D$4:$D$1048576,0))))</f>
        <v/>
      </c>
      <c r="O122" s="1" t="str">
        <f>IF(IF(ROW(B120)&gt;MAX(Main!$D$4:$D$1048576),"",INDEX(Main!H$4:H$1048576,MATCH(ROW(B120),Main!$D$4:$D$1048576,0)))="",IF(N122="","",O121),IF(ROW(B120)&gt;MAX(Main!$D$4:$D$1048576),"",INDEX(Main!H$4:H$1048576,MATCH(ROW(B120),Main!$D$4:$D$1048576,0))))</f>
        <v/>
      </c>
      <c r="P122" s="1" t="str">
        <f>IF(IF(ROW(C120)&gt;MAX(Main!$D$4:$D$1048576),"",INDEX(Main!I$4:I$1048576,MATCH(ROW(C120),Main!$D$4:$D$1048576,0)))="",IF(O122="","",P121),IF(ROW(C120)&gt;MAX(Main!$D$4:$D$1048576),"",INDEX(Main!I$4:I$1048576,MATCH(ROW(C120),Main!$D$4:$D$1048576,0))))</f>
        <v/>
      </c>
      <c r="Q122" s="1" t="str">
        <f t="shared" si="5"/>
        <v/>
      </c>
      <c r="R122" s="1" t="str">
        <f>IF(IF(ROW(D120)&gt;MAX(Main!$D$4:$D$1048576),"",INDEX(Main!J$4:J$1048576,MATCH(ROW(D120),Main!$D$4:$D$1048576,0)))="",IF(P122="","",R121),IF(ROW(D120)&gt;MAX(Main!$D$4:$D$1048576),"",INDEX(Main!J$4:J$1048576,MATCH(ROW(D120),Main!$D$4:$D$1048576,0))))</f>
        <v/>
      </c>
      <c r="S122" s="9" t="str">
        <f>IF(ROW(G120)&gt;MAX(Main!$D$4:$D$1048576),"",INDEX(Main!K$4:K$1048576,MATCH(ROW(G120),Main!$D$4:$D$1048576,0)))</f>
        <v/>
      </c>
      <c r="T122" s="1" t="str">
        <f>IF(S122&lt;&gt;"",IF(ROW(G120)&gt;MAX(Main!$D$4:$D$1048576),"",INDEX(Main!N$4:N$1048576,MATCH(ROW(G120),Main!$D$4:$D$1048576,0))),"")</f>
        <v/>
      </c>
      <c r="U122" s="1" t="str">
        <f>IF(IF(ROW(H120)&gt;MAX(Main!$D$4:$D$1048576),"",INDEX(Main!O$4:O$1048576,MATCH(ROW(H120),Main!$D$4:$D$1048576,0)))="",IF(T122="","",U121),IF(ROW(H120)&gt;MAX(Main!$D$4:$D$1048576),"",INDEX(Main!O$4:O$1048576,MATCH(ROW(H120),Main!$D$4:$D$1048576,0))))</f>
        <v/>
      </c>
    </row>
    <row r="123" spans="1:21" x14ac:dyDescent="0.4">
      <c r="A123" t="s">
        <v>21</v>
      </c>
      <c r="B123" s="4" t="str">
        <f>TEXT(IF(ROW(A121)&gt;MAX(Main!$C$4:$C$1048576),"",INDEX(Main!Q$4:Q$1048576,MATCH(ROW(A121),Main!$C$4:$C$1048576,0))), "yyyy/m/d")</f>
        <v/>
      </c>
      <c r="C123" s="1" t="str">
        <f>IF(IF(ROW(A121)&gt;MAX(Main!$C$4:$C$1048576),"",INDEX(Main!G$4:G$1048576,MATCH(ROW(A121),Main!$C$4:$C$1048576,0)))="",IF(B123="","",C122),IF(ROW(A121)&gt;MAX(Main!$C$4:$C$1048576),"",INDEX(Main!G$4:G$1048576,MATCH(ROW(A121),Main!$C$4:$C$1048576,0))))</f>
        <v/>
      </c>
      <c r="D123" s="1" t="str">
        <f>IF(IF(ROW(B121)&gt;MAX(Main!$C$4:$C$1048576),"",INDEX(Main!H$4:H$1048576,MATCH(ROW(B121),Main!$C$4:$C$1048576,0)))="",IF(C123="","",D122),IF(ROW(B121)&gt;MAX(Main!$C$4:$C$1048576),"",INDEX(Main!H$4:H$1048576,MATCH(ROW(B121),Main!$C$4:$C$1048576,0))))</f>
        <v/>
      </c>
      <c r="E123" s="1" t="str">
        <f>IF(IF(ROW(C121)&gt;MAX(Main!$C$4:$C$1048576),"",INDEX(Main!I$4:I$1048576,MATCH(ROW(C121),Main!$C$4:$C$1048576,0)))="",IF(D123="","",E122),IF(ROW(C121)&gt;MAX(Main!$C$4:$C$1048576),"",INDEX(Main!I$4:I$1048576,MATCH(ROW(C121),Main!$C$4:$C$1048576,0))))</f>
        <v/>
      </c>
      <c r="F123" s="1" t="str">
        <f t="shared" si="3"/>
        <v/>
      </c>
      <c r="G123" s="1" t="str">
        <f>IF(IF(ROW(D121)&gt;MAX(Main!$C$4:$C$1048576),"",INDEX(Main!J$4:J$1048576,MATCH(ROW(D121),Main!$C$4:$C$1048576,0)))="",IF(E123="","",G122),IF(ROW(D121)&gt;MAX(Main!$C$4:$C$1048576),"",INDEX(Main!J$4:J$1048576,MATCH(ROW(D121),Main!$C$4:$C$1048576,0))))</f>
        <v/>
      </c>
      <c r="H123" s="10" t="str">
        <f>IF(ROW(G121)&gt;MAX(Main!$C$4:$C$1048576),"",INDEX(Main!K$4:K$1048576,MATCH(ROW(G121),Main!$C$4:$C$1048576,0)))</f>
        <v/>
      </c>
      <c r="I123" s="1" t="str">
        <f>IF(H123&lt;&gt;"",IF(ROW(G121)&gt;MAX(Main!$C$4:$C$1048576),"",INDEX(Main!N$4:N$1048576,MATCH(ROW(G121),Main!$C$4:$C$1048576,0))),"")</f>
        <v/>
      </c>
      <c r="J123" s="1" t="str">
        <f>IF(IF(ROW(H121)&gt;MAX(Main!$C$4:$C$1048576),"",INDEX(Main!O$4:O$1048576,MATCH(ROW(H121),Main!$C$4:$C$1048576,0)))="",IF(I123="","",J122),IF(ROW(H121)&gt;MAX(Main!$C$4:$C$1048576),"",INDEX(Main!O$4:O$1048576,MATCH(ROW(H121),Main!$C$4:$C$1048576,0))))</f>
        <v/>
      </c>
      <c r="K123" s="27" t="str">
        <f t="shared" si="4"/>
        <v>例目</v>
      </c>
      <c r="M123" s="4" t="str">
        <f>TEXT(IF(ROW(A121)&gt;MAX(Main!$D$4:$D$1048576),"",INDEX(Main!Q$4:Q$1048576,MATCH(ROW(A121),Main!$D$4:$D$1048576,0))), "yyyy/m/d")</f>
        <v/>
      </c>
      <c r="N123" s="1" t="str">
        <f>IF(IF(ROW(A121)&gt;MAX(Main!$D$4:$D$1048576),"",INDEX(Main!G$4:G$1048576,MATCH(ROW(A121),Main!$D$4:$D$1048576,0)))="",IF(M123="","",N122),IF(ROW(A121)&gt;MAX(Main!$D$4:$D$1048576),"",INDEX(Main!G$4:G$1048576,MATCH(ROW(A121),Main!$D$4:$D$1048576,0))))</f>
        <v/>
      </c>
      <c r="O123" s="1" t="str">
        <f>IF(IF(ROW(B121)&gt;MAX(Main!$D$4:$D$1048576),"",INDEX(Main!H$4:H$1048576,MATCH(ROW(B121),Main!$D$4:$D$1048576,0)))="",IF(N123="","",O122),IF(ROW(B121)&gt;MAX(Main!$D$4:$D$1048576),"",INDEX(Main!H$4:H$1048576,MATCH(ROW(B121),Main!$D$4:$D$1048576,0))))</f>
        <v/>
      </c>
      <c r="P123" s="1" t="str">
        <f>IF(IF(ROW(C121)&gt;MAX(Main!$D$4:$D$1048576),"",INDEX(Main!I$4:I$1048576,MATCH(ROW(C121),Main!$D$4:$D$1048576,0)))="",IF(O123="","",P122),IF(ROW(C121)&gt;MAX(Main!$D$4:$D$1048576),"",INDEX(Main!I$4:I$1048576,MATCH(ROW(C121),Main!$D$4:$D$1048576,0))))</f>
        <v/>
      </c>
      <c r="Q123" s="1" t="str">
        <f t="shared" si="5"/>
        <v/>
      </c>
      <c r="R123" s="1" t="str">
        <f>IF(IF(ROW(D121)&gt;MAX(Main!$D$4:$D$1048576),"",INDEX(Main!J$4:J$1048576,MATCH(ROW(D121),Main!$D$4:$D$1048576,0)))="",IF(P123="","",R122),IF(ROW(D121)&gt;MAX(Main!$D$4:$D$1048576),"",INDEX(Main!J$4:J$1048576,MATCH(ROW(D121),Main!$D$4:$D$1048576,0))))</f>
        <v/>
      </c>
      <c r="S123" s="9" t="str">
        <f>IF(ROW(G121)&gt;MAX(Main!$D$4:$D$1048576),"",INDEX(Main!K$4:K$1048576,MATCH(ROW(G121),Main!$D$4:$D$1048576,0)))</f>
        <v/>
      </c>
      <c r="T123" s="1" t="str">
        <f>IF(S123&lt;&gt;"",IF(ROW(G121)&gt;MAX(Main!$D$4:$D$1048576),"",INDEX(Main!N$4:N$1048576,MATCH(ROW(G121),Main!$D$4:$D$1048576,0))),"")</f>
        <v/>
      </c>
      <c r="U123" s="1" t="str">
        <f>IF(IF(ROW(H121)&gt;MAX(Main!$D$4:$D$1048576),"",INDEX(Main!O$4:O$1048576,MATCH(ROW(H121),Main!$D$4:$D$1048576,0)))="",IF(T123="","",U122),IF(ROW(H121)&gt;MAX(Main!$D$4:$D$1048576),"",INDEX(Main!O$4:O$1048576,MATCH(ROW(H121),Main!$D$4:$D$1048576,0))))</f>
        <v/>
      </c>
    </row>
    <row r="124" spans="1:21" x14ac:dyDescent="0.4">
      <c r="A124" t="s">
        <v>21</v>
      </c>
      <c r="B124" s="4" t="str">
        <f>TEXT(IF(ROW(A122)&gt;MAX(Main!$C$4:$C$1048576),"",INDEX(Main!Q$4:Q$1048576,MATCH(ROW(A122),Main!$C$4:$C$1048576,0))), "yyyy/m/d")</f>
        <v/>
      </c>
      <c r="C124" s="1" t="str">
        <f>IF(IF(ROW(A122)&gt;MAX(Main!$C$4:$C$1048576),"",INDEX(Main!G$4:G$1048576,MATCH(ROW(A122),Main!$C$4:$C$1048576,0)))="",IF(B124="","",C123),IF(ROW(A122)&gt;MAX(Main!$C$4:$C$1048576),"",INDEX(Main!G$4:G$1048576,MATCH(ROW(A122),Main!$C$4:$C$1048576,0))))</f>
        <v/>
      </c>
      <c r="D124" s="1" t="str">
        <f>IF(IF(ROW(B122)&gt;MAX(Main!$C$4:$C$1048576),"",INDEX(Main!H$4:H$1048576,MATCH(ROW(B122),Main!$C$4:$C$1048576,0)))="",IF(C124="","",D123),IF(ROW(B122)&gt;MAX(Main!$C$4:$C$1048576),"",INDEX(Main!H$4:H$1048576,MATCH(ROW(B122),Main!$C$4:$C$1048576,0))))</f>
        <v/>
      </c>
      <c r="E124" s="1" t="str">
        <f>IF(IF(ROW(C122)&gt;MAX(Main!$C$4:$C$1048576),"",INDEX(Main!I$4:I$1048576,MATCH(ROW(C122),Main!$C$4:$C$1048576,0)))="",IF(D124="","",E123),IF(ROW(C122)&gt;MAX(Main!$C$4:$C$1048576),"",INDEX(Main!I$4:I$1048576,MATCH(ROW(C122),Main!$C$4:$C$1048576,0))))</f>
        <v/>
      </c>
      <c r="F124" s="1" t="str">
        <f t="shared" si="3"/>
        <v/>
      </c>
      <c r="G124" s="1" t="str">
        <f>IF(IF(ROW(D122)&gt;MAX(Main!$C$4:$C$1048576),"",INDEX(Main!J$4:J$1048576,MATCH(ROW(D122),Main!$C$4:$C$1048576,0)))="",IF(E124="","",G123),IF(ROW(D122)&gt;MAX(Main!$C$4:$C$1048576),"",INDEX(Main!J$4:J$1048576,MATCH(ROW(D122),Main!$C$4:$C$1048576,0))))</f>
        <v/>
      </c>
      <c r="H124" s="10" t="str">
        <f>IF(ROW(G122)&gt;MAX(Main!$C$4:$C$1048576),"",INDEX(Main!K$4:K$1048576,MATCH(ROW(G122),Main!$C$4:$C$1048576,0)))</f>
        <v/>
      </c>
      <c r="I124" s="1" t="str">
        <f>IF(H124&lt;&gt;"",IF(ROW(G122)&gt;MAX(Main!$C$4:$C$1048576),"",INDEX(Main!N$4:N$1048576,MATCH(ROW(G122),Main!$C$4:$C$1048576,0))),"")</f>
        <v/>
      </c>
      <c r="J124" s="1" t="str">
        <f>IF(IF(ROW(H122)&gt;MAX(Main!$C$4:$C$1048576),"",INDEX(Main!O$4:O$1048576,MATCH(ROW(H122),Main!$C$4:$C$1048576,0)))="",IF(I124="","",J123),IF(ROW(H122)&gt;MAX(Main!$C$4:$C$1048576),"",INDEX(Main!O$4:O$1048576,MATCH(ROW(H122),Main!$C$4:$C$1048576,0))))</f>
        <v/>
      </c>
      <c r="K124" s="27" t="str">
        <f t="shared" si="4"/>
        <v>例目</v>
      </c>
      <c r="M124" s="4" t="str">
        <f>TEXT(IF(ROW(A122)&gt;MAX(Main!$D$4:$D$1048576),"",INDEX(Main!Q$4:Q$1048576,MATCH(ROW(A122),Main!$D$4:$D$1048576,0))), "yyyy/m/d")</f>
        <v/>
      </c>
      <c r="N124" s="1" t="str">
        <f>IF(IF(ROW(A122)&gt;MAX(Main!$D$4:$D$1048576),"",INDEX(Main!G$4:G$1048576,MATCH(ROW(A122),Main!$D$4:$D$1048576,0)))="",IF(M124="","",N123),IF(ROW(A122)&gt;MAX(Main!$D$4:$D$1048576),"",INDEX(Main!G$4:G$1048576,MATCH(ROW(A122),Main!$D$4:$D$1048576,0))))</f>
        <v/>
      </c>
      <c r="O124" s="1" t="str">
        <f>IF(IF(ROW(B122)&gt;MAX(Main!$D$4:$D$1048576),"",INDEX(Main!H$4:H$1048576,MATCH(ROW(B122),Main!$D$4:$D$1048576,0)))="",IF(N124="","",O123),IF(ROW(B122)&gt;MAX(Main!$D$4:$D$1048576),"",INDEX(Main!H$4:H$1048576,MATCH(ROW(B122),Main!$D$4:$D$1048576,0))))</f>
        <v/>
      </c>
      <c r="P124" s="1" t="str">
        <f>IF(IF(ROW(C122)&gt;MAX(Main!$D$4:$D$1048576),"",INDEX(Main!I$4:I$1048576,MATCH(ROW(C122),Main!$D$4:$D$1048576,0)))="",IF(O124="","",P123),IF(ROW(C122)&gt;MAX(Main!$D$4:$D$1048576),"",INDEX(Main!I$4:I$1048576,MATCH(ROW(C122),Main!$D$4:$D$1048576,0))))</f>
        <v/>
      </c>
      <c r="Q124" s="1" t="str">
        <f t="shared" si="5"/>
        <v/>
      </c>
      <c r="R124" s="1" t="str">
        <f>IF(IF(ROW(D122)&gt;MAX(Main!$D$4:$D$1048576),"",INDEX(Main!J$4:J$1048576,MATCH(ROW(D122),Main!$D$4:$D$1048576,0)))="",IF(P124="","",R123),IF(ROW(D122)&gt;MAX(Main!$D$4:$D$1048576),"",INDEX(Main!J$4:J$1048576,MATCH(ROW(D122),Main!$D$4:$D$1048576,0))))</f>
        <v/>
      </c>
      <c r="S124" s="9" t="str">
        <f>IF(ROW(G122)&gt;MAX(Main!$D$4:$D$1048576),"",INDEX(Main!K$4:K$1048576,MATCH(ROW(G122),Main!$D$4:$D$1048576,0)))</f>
        <v/>
      </c>
      <c r="T124" s="1" t="str">
        <f>IF(S124&lt;&gt;"",IF(ROW(G122)&gt;MAX(Main!$D$4:$D$1048576),"",INDEX(Main!N$4:N$1048576,MATCH(ROW(G122),Main!$D$4:$D$1048576,0))),"")</f>
        <v/>
      </c>
      <c r="U124" s="1" t="str">
        <f>IF(IF(ROW(H122)&gt;MAX(Main!$D$4:$D$1048576),"",INDEX(Main!O$4:O$1048576,MATCH(ROW(H122),Main!$D$4:$D$1048576,0)))="",IF(T124="","",U123),IF(ROW(H122)&gt;MAX(Main!$D$4:$D$1048576),"",INDEX(Main!O$4:O$1048576,MATCH(ROW(H122),Main!$D$4:$D$1048576,0))))</f>
        <v/>
      </c>
    </row>
    <row r="125" spans="1:21" x14ac:dyDescent="0.4">
      <c r="A125" t="s">
        <v>21</v>
      </c>
      <c r="B125" s="4" t="str">
        <f>TEXT(IF(ROW(A123)&gt;MAX(Main!$C$4:$C$1048576),"",INDEX(Main!Q$4:Q$1048576,MATCH(ROW(A123),Main!$C$4:$C$1048576,0))), "yyyy/m/d")</f>
        <v/>
      </c>
      <c r="C125" s="1" t="str">
        <f>IF(IF(ROW(A123)&gt;MAX(Main!$C$4:$C$1048576),"",INDEX(Main!G$4:G$1048576,MATCH(ROW(A123),Main!$C$4:$C$1048576,0)))="",IF(B125="","",C124),IF(ROW(A123)&gt;MAX(Main!$C$4:$C$1048576),"",INDEX(Main!G$4:G$1048576,MATCH(ROW(A123),Main!$C$4:$C$1048576,0))))</f>
        <v/>
      </c>
      <c r="D125" s="1" t="str">
        <f>IF(IF(ROW(B123)&gt;MAX(Main!$C$4:$C$1048576),"",INDEX(Main!H$4:H$1048576,MATCH(ROW(B123),Main!$C$4:$C$1048576,0)))="",IF(C125="","",D124),IF(ROW(B123)&gt;MAX(Main!$C$4:$C$1048576),"",INDEX(Main!H$4:H$1048576,MATCH(ROW(B123),Main!$C$4:$C$1048576,0))))</f>
        <v/>
      </c>
      <c r="E125" s="1" t="str">
        <f>IF(IF(ROW(C123)&gt;MAX(Main!$C$4:$C$1048576),"",INDEX(Main!I$4:I$1048576,MATCH(ROW(C123),Main!$C$4:$C$1048576,0)))="",IF(D125="","",E124),IF(ROW(C123)&gt;MAX(Main!$C$4:$C$1048576),"",INDEX(Main!I$4:I$1048576,MATCH(ROW(C123),Main!$C$4:$C$1048576,0))))</f>
        <v/>
      </c>
      <c r="F125" s="1" t="str">
        <f t="shared" si="3"/>
        <v/>
      </c>
      <c r="G125" s="1" t="str">
        <f>IF(IF(ROW(D123)&gt;MAX(Main!$C$4:$C$1048576),"",INDEX(Main!J$4:J$1048576,MATCH(ROW(D123),Main!$C$4:$C$1048576,0)))="",IF(E125="","",G124),IF(ROW(D123)&gt;MAX(Main!$C$4:$C$1048576),"",INDEX(Main!J$4:J$1048576,MATCH(ROW(D123),Main!$C$4:$C$1048576,0))))</f>
        <v/>
      </c>
      <c r="H125" s="10" t="str">
        <f>IF(ROW(G123)&gt;MAX(Main!$C$4:$C$1048576),"",INDEX(Main!K$4:K$1048576,MATCH(ROW(G123),Main!$C$4:$C$1048576,0)))</f>
        <v/>
      </c>
      <c r="I125" s="1" t="str">
        <f>IF(H125&lt;&gt;"",IF(ROW(G123)&gt;MAX(Main!$C$4:$C$1048576),"",INDEX(Main!N$4:N$1048576,MATCH(ROW(G123),Main!$C$4:$C$1048576,0))),"")</f>
        <v/>
      </c>
      <c r="J125" s="1" t="str">
        <f>IF(IF(ROW(H123)&gt;MAX(Main!$C$4:$C$1048576),"",INDEX(Main!O$4:O$1048576,MATCH(ROW(H123),Main!$C$4:$C$1048576,0)))="",IF(I125="","",J124),IF(ROW(H123)&gt;MAX(Main!$C$4:$C$1048576),"",INDEX(Main!O$4:O$1048576,MATCH(ROW(H123),Main!$C$4:$C$1048576,0))))</f>
        <v/>
      </c>
      <c r="K125" s="27" t="str">
        <f t="shared" si="4"/>
        <v>例目</v>
      </c>
      <c r="M125" s="4" t="str">
        <f>TEXT(IF(ROW(A123)&gt;MAX(Main!$D$4:$D$1048576),"",INDEX(Main!Q$4:Q$1048576,MATCH(ROW(A123),Main!$D$4:$D$1048576,0))), "yyyy/m/d")</f>
        <v/>
      </c>
      <c r="N125" s="1" t="str">
        <f>IF(IF(ROW(A123)&gt;MAX(Main!$D$4:$D$1048576),"",INDEX(Main!G$4:G$1048576,MATCH(ROW(A123),Main!$D$4:$D$1048576,0)))="",IF(M125="","",N124),IF(ROW(A123)&gt;MAX(Main!$D$4:$D$1048576),"",INDEX(Main!G$4:G$1048576,MATCH(ROW(A123),Main!$D$4:$D$1048576,0))))</f>
        <v/>
      </c>
      <c r="O125" s="1" t="str">
        <f>IF(IF(ROW(B123)&gt;MAX(Main!$D$4:$D$1048576),"",INDEX(Main!H$4:H$1048576,MATCH(ROW(B123),Main!$D$4:$D$1048576,0)))="",IF(N125="","",O124),IF(ROW(B123)&gt;MAX(Main!$D$4:$D$1048576),"",INDEX(Main!H$4:H$1048576,MATCH(ROW(B123),Main!$D$4:$D$1048576,0))))</f>
        <v/>
      </c>
      <c r="P125" s="1" t="str">
        <f>IF(IF(ROW(C123)&gt;MAX(Main!$D$4:$D$1048576),"",INDEX(Main!I$4:I$1048576,MATCH(ROW(C123),Main!$D$4:$D$1048576,0)))="",IF(O125="","",P124),IF(ROW(C123)&gt;MAX(Main!$D$4:$D$1048576),"",INDEX(Main!I$4:I$1048576,MATCH(ROW(C123),Main!$D$4:$D$1048576,0))))</f>
        <v/>
      </c>
      <c r="Q125" s="1" t="str">
        <f t="shared" si="5"/>
        <v/>
      </c>
      <c r="R125" s="1" t="str">
        <f>IF(IF(ROW(D123)&gt;MAX(Main!$D$4:$D$1048576),"",INDEX(Main!J$4:J$1048576,MATCH(ROW(D123),Main!$D$4:$D$1048576,0)))="",IF(P125="","",R124),IF(ROW(D123)&gt;MAX(Main!$D$4:$D$1048576),"",INDEX(Main!J$4:J$1048576,MATCH(ROW(D123),Main!$D$4:$D$1048576,0))))</f>
        <v/>
      </c>
      <c r="S125" s="9" t="str">
        <f>IF(ROW(G123)&gt;MAX(Main!$D$4:$D$1048576),"",INDEX(Main!K$4:K$1048576,MATCH(ROW(G123),Main!$D$4:$D$1048576,0)))</f>
        <v/>
      </c>
      <c r="T125" s="1" t="str">
        <f>IF(S125&lt;&gt;"",IF(ROW(G123)&gt;MAX(Main!$D$4:$D$1048576),"",INDEX(Main!N$4:N$1048576,MATCH(ROW(G123),Main!$D$4:$D$1048576,0))),"")</f>
        <v/>
      </c>
      <c r="U125" s="1" t="str">
        <f>IF(IF(ROW(H123)&gt;MAX(Main!$D$4:$D$1048576),"",INDEX(Main!O$4:O$1048576,MATCH(ROW(H123),Main!$D$4:$D$1048576,0)))="",IF(T125="","",U124),IF(ROW(H123)&gt;MAX(Main!$D$4:$D$1048576),"",INDEX(Main!O$4:O$1048576,MATCH(ROW(H123),Main!$D$4:$D$1048576,0))))</f>
        <v/>
      </c>
    </row>
    <row r="126" spans="1:21" x14ac:dyDescent="0.4">
      <c r="A126" t="s">
        <v>21</v>
      </c>
      <c r="B126" s="4" t="str">
        <f>TEXT(IF(ROW(A124)&gt;MAX(Main!$C$4:$C$1048576),"",INDEX(Main!Q$4:Q$1048576,MATCH(ROW(A124),Main!$C$4:$C$1048576,0))), "yyyy/m/d")</f>
        <v/>
      </c>
      <c r="C126" s="1" t="str">
        <f>IF(IF(ROW(A124)&gt;MAX(Main!$C$4:$C$1048576),"",INDEX(Main!G$4:G$1048576,MATCH(ROW(A124),Main!$C$4:$C$1048576,0)))="",IF(B126="","",C125),IF(ROW(A124)&gt;MAX(Main!$C$4:$C$1048576),"",INDEX(Main!G$4:G$1048576,MATCH(ROW(A124),Main!$C$4:$C$1048576,0))))</f>
        <v/>
      </c>
      <c r="D126" s="1" t="str">
        <f>IF(IF(ROW(B124)&gt;MAX(Main!$C$4:$C$1048576),"",INDEX(Main!H$4:H$1048576,MATCH(ROW(B124),Main!$C$4:$C$1048576,0)))="",IF(C126="","",D125),IF(ROW(B124)&gt;MAX(Main!$C$4:$C$1048576),"",INDEX(Main!H$4:H$1048576,MATCH(ROW(B124),Main!$C$4:$C$1048576,0))))</f>
        <v/>
      </c>
      <c r="E126" s="1" t="str">
        <f>IF(IF(ROW(C124)&gt;MAX(Main!$C$4:$C$1048576),"",INDEX(Main!I$4:I$1048576,MATCH(ROW(C124),Main!$C$4:$C$1048576,0)))="",IF(D126="","",E125),IF(ROW(C124)&gt;MAX(Main!$C$4:$C$1048576),"",INDEX(Main!I$4:I$1048576,MATCH(ROW(C124),Main!$C$4:$C$1048576,0))))</f>
        <v/>
      </c>
      <c r="F126" s="1" t="str">
        <f t="shared" si="3"/>
        <v/>
      </c>
      <c r="G126" s="1" t="str">
        <f>IF(IF(ROW(D124)&gt;MAX(Main!$C$4:$C$1048576),"",INDEX(Main!J$4:J$1048576,MATCH(ROW(D124),Main!$C$4:$C$1048576,0)))="",IF(E126="","",G125),IF(ROW(D124)&gt;MAX(Main!$C$4:$C$1048576),"",INDEX(Main!J$4:J$1048576,MATCH(ROW(D124),Main!$C$4:$C$1048576,0))))</f>
        <v/>
      </c>
      <c r="H126" s="10" t="str">
        <f>IF(ROW(G124)&gt;MAX(Main!$C$4:$C$1048576),"",INDEX(Main!K$4:K$1048576,MATCH(ROW(G124),Main!$C$4:$C$1048576,0)))</f>
        <v/>
      </c>
      <c r="I126" s="1" t="str">
        <f>IF(H126&lt;&gt;"",IF(ROW(G124)&gt;MAX(Main!$C$4:$C$1048576),"",INDEX(Main!N$4:N$1048576,MATCH(ROW(G124),Main!$C$4:$C$1048576,0))),"")</f>
        <v/>
      </c>
      <c r="J126" s="1" t="str">
        <f>IF(IF(ROW(H124)&gt;MAX(Main!$C$4:$C$1048576),"",INDEX(Main!O$4:O$1048576,MATCH(ROW(H124),Main!$C$4:$C$1048576,0)))="",IF(I126="","",J125),IF(ROW(H124)&gt;MAX(Main!$C$4:$C$1048576),"",INDEX(Main!O$4:O$1048576,MATCH(ROW(H124),Main!$C$4:$C$1048576,0))))</f>
        <v/>
      </c>
      <c r="K126" s="27" t="str">
        <f t="shared" si="4"/>
        <v>例目</v>
      </c>
      <c r="M126" s="4" t="str">
        <f>TEXT(IF(ROW(A124)&gt;MAX(Main!$D$4:$D$1048576),"",INDEX(Main!Q$4:Q$1048576,MATCH(ROW(A124),Main!$D$4:$D$1048576,0))), "yyyy/m/d")</f>
        <v/>
      </c>
      <c r="N126" s="1" t="str">
        <f>IF(IF(ROW(A124)&gt;MAX(Main!$D$4:$D$1048576),"",INDEX(Main!G$4:G$1048576,MATCH(ROW(A124),Main!$D$4:$D$1048576,0)))="",IF(M126="","",N125),IF(ROW(A124)&gt;MAX(Main!$D$4:$D$1048576),"",INDEX(Main!G$4:G$1048576,MATCH(ROW(A124),Main!$D$4:$D$1048576,0))))</f>
        <v/>
      </c>
      <c r="O126" s="1" t="str">
        <f>IF(IF(ROW(B124)&gt;MAX(Main!$D$4:$D$1048576),"",INDEX(Main!H$4:H$1048576,MATCH(ROW(B124),Main!$D$4:$D$1048576,0)))="",IF(N126="","",O125),IF(ROW(B124)&gt;MAX(Main!$D$4:$D$1048576),"",INDEX(Main!H$4:H$1048576,MATCH(ROW(B124),Main!$D$4:$D$1048576,0))))</f>
        <v/>
      </c>
      <c r="P126" s="1" t="str">
        <f>IF(IF(ROW(C124)&gt;MAX(Main!$D$4:$D$1048576),"",INDEX(Main!I$4:I$1048576,MATCH(ROW(C124),Main!$D$4:$D$1048576,0)))="",IF(O126="","",P125),IF(ROW(C124)&gt;MAX(Main!$D$4:$D$1048576),"",INDEX(Main!I$4:I$1048576,MATCH(ROW(C124),Main!$D$4:$D$1048576,0))))</f>
        <v/>
      </c>
      <c r="Q126" s="1" t="str">
        <f t="shared" si="5"/>
        <v/>
      </c>
      <c r="R126" s="1" t="str">
        <f>IF(IF(ROW(D124)&gt;MAX(Main!$D$4:$D$1048576),"",INDEX(Main!J$4:J$1048576,MATCH(ROW(D124),Main!$D$4:$D$1048576,0)))="",IF(P126="","",R125),IF(ROW(D124)&gt;MAX(Main!$D$4:$D$1048576),"",INDEX(Main!J$4:J$1048576,MATCH(ROW(D124),Main!$D$4:$D$1048576,0))))</f>
        <v/>
      </c>
      <c r="S126" s="9" t="str">
        <f>IF(ROW(G124)&gt;MAX(Main!$D$4:$D$1048576),"",INDEX(Main!K$4:K$1048576,MATCH(ROW(G124),Main!$D$4:$D$1048576,0)))</f>
        <v/>
      </c>
      <c r="T126" s="1" t="str">
        <f>IF(S126&lt;&gt;"",IF(ROW(G124)&gt;MAX(Main!$D$4:$D$1048576),"",INDEX(Main!N$4:N$1048576,MATCH(ROW(G124),Main!$D$4:$D$1048576,0))),"")</f>
        <v/>
      </c>
      <c r="U126" s="1" t="str">
        <f>IF(IF(ROW(H124)&gt;MAX(Main!$D$4:$D$1048576),"",INDEX(Main!O$4:O$1048576,MATCH(ROW(H124),Main!$D$4:$D$1048576,0)))="",IF(T126="","",U125),IF(ROW(H124)&gt;MAX(Main!$D$4:$D$1048576),"",INDEX(Main!O$4:O$1048576,MATCH(ROW(H124),Main!$D$4:$D$1048576,0))))</f>
        <v/>
      </c>
    </row>
    <row r="127" spans="1:21" x14ac:dyDescent="0.4">
      <c r="A127" t="s">
        <v>21</v>
      </c>
      <c r="B127" s="4" t="str">
        <f>TEXT(IF(ROW(A125)&gt;MAX(Main!$C$4:$C$1048576),"",INDEX(Main!Q$4:Q$1048576,MATCH(ROW(A125),Main!$C$4:$C$1048576,0))), "yyyy/m/d")</f>
        <v/>
      </c>
      <c r="C127" s="1" t="str">
        <f>IF(IF(ROW(A125)&gt;MAX(Main!$C$4:$C$1048576),"",INDEX(Main!G$4:G$1048576,MATCH(ROW(A125),Main!$C$4:$C$1048576,0)))="",IF(B127="","",C126),IF(ROW(A125)&gt;MAX(Main!$C$4:$C$1048576),"",INDEX(Main!G$4:G$1048576,MATCH(ROW(A125),Main!$C$4:$C$1048576,0))))</f>
        <v/>
      </c>
      <c r="D127" s="1" t="str">
        <f>IF(IF(ROW(B125)&gt;MAX(Main!$C$4:$C$1048576),"",INDEX(Main!H$4:H$1048576,MATCH(ROW(B125),Main!$C$4:$C$1048576,0)))="",IF(C127="","",D126),IF(ROW(B125)&gt;MAX(Main!$C$4:$C$1048576),"",INDEX(Main!H$4:H$1048576,MATCH(ROW(B125),Main!$C$4:$C$1048576,0))))</f>
        <v/>
      </c>
      <c r="E127" s="1" t="str">
        <f>IF(IF(ROW(C125)&gt;MAX(Main!$C$4:$C$1048576),"",INDEX(Main!I$4:I$1048576,MATCH(ROW(C125),Main!$C$4:$C$1048576,0)))="",IF(D127="","",E126),IF(ROW(C125)&gt;MAX(Main!$C$4:$C$1048576),"",INDEX(Main!I$4:I$1048576,MATCH(ROW(C125),Main!$C$4:$C$1048576,0))))</f>
        <v/>
      </c>
      <c r="F127" s="1" t="str">
        <f t="shared" si="3"/>
        <v/>
      </c>
      <c r="G127" s="1" t="str">
        <f>IF(IF(ROW(D125)&gt;MAX(Main!$C$4:$C$1048576),"",INDEX(Main!J$4:J$1048576,MATCH(ROW(D125),Main!$C$4:$C$1048576,0)))="",IF(E127="","",G126),IF(ROW(D125)&gt;MAX(Main!$C$4:$C$1048576),"",INDEX(Main!J$4:J$1048576,MATCH(ROW(D125),Main!$C$4:$C$1048576,0))))</f>
        <v/>
      </c>
      <c r="H127" s="10" t="str">
        <f>IF(ROW(G125)&gt;MAX(Main!$C$4:$C$1048576),"",INDEX(Main!K$4:K$1048576,MATCH(ROW(G125),Main!$C$4:$C$1048576,0)))</f>
        <v/>
      </c>
      <c r="I127" s="1" t="str">
        <f>IF(H127&lt;&gt;"",IF(ROW(G125)&gt;MAX(Main!$C$4:$C$1048576),"",INDEX(Main!N$4:N$1048576,MATCH(ROW(G125),Main!$C$4:$C$1048576,0))),"")</f>
        <v/>
      </c>
      <c r="J127" s="1" t="str">
        <f>IF(IF(ROW(H125)&gt;MAX(Main!$C$4:$C$1048576),"",INDEX(Main!O$4:O$1048576,MATCH(ROW(H125),Main!$C$4:$C$1048576,0)))="",IF(I127="","",J126),IF(ROW(H125)&gt;MAX(Main!$C$4:$C$1048576),"",INDEX(Main!O$4:O$1048576,MATCH(ROW(H125),Main!$C$4:$C$1048576,0))))</f>
        <v/>
      </c>
      <c r="K127" s="27" t="str">
        <f t="shared" si="4"/>
        <v>例目</v>
      </c>
      <c r="M127" s="4" t="str">
        <f>TEXT(IF(ROW(A125)&gt;MAX(Main!$D$4:$D$1048576),"",INDEX(Main!Q$4:Q$1048576,MATCH(ROW(A125),Main!$D$4:$D$1048576,0))), "yyyy/m/d")</f>
        <v/>
      </c>
      <c r="N127" s="1" t="str">
        <f>IF(IF(ROW(A125)&gt;MAX(Main!$D$4:$D$1048576),"",INDEX(Main!G$4:G$1048576,MATCH(ROW(A125),Main!$D$4:$D$1048576,0)))="",IF(M127="","",N126),IF(ROW(A125)&gt;MAX(Main!$D$4:$D$1048576),"",INDEX(Main!G$4:G$1048576,MATCH(ROW(A125),Main!$D$4:$D$1048576,0))))</f>
        <v/>
      </c>
      <c r="O127" s="1" t="str">
        <f>IF(IF(ROW(B125)&gt;MAX(Main!$D$4:$D$1048576),"",INDEX(Main!H$4:H$1048576,MATCH(ROW(B125),Main!$D$4:$D$1048576,0)))="",IF(N127="","",O126),IF(ROW(B125)&gt;MAX(Main!$D$4:$D$1048576),"",INDEX(Main!H$4:H$1048576,MATCH(ROW(B125),Main!$D$4:$D$1048576,0))))</f>
        <v/>
      </c>
      <c r="P127" s="1" t="str">
        <f>IF(IF(ROW(C125)&gt;MAX(Main!$D$4:$D$1048576),"",INDEX(Main!I$4:I$1048576,MATCH(ROW(C125),Main!$D$4:$D$1048576,0)))="",IF(O127="","",P126),IF(ROW(C125)&gt;MAX(Main!$D$4:$D$1048576),"",INDEX(Main!I$4:I$1048576,MATCH(ROW(C125),Main!$D$4:$D$1048576,0))))</f>
        <v/>
      </c>
      <c r="Q127" s="1" t="str">
        <f t="shared" si="5"/>
        <v/>
      </c>
      <c r="R127" s="1" t="str">
        <f>IF(IF(ROW(D125)&gt;MAX(Main!$D$4:$D$1048576),"",INDEX(Main!J$4:J$1048576,MATCH(ROW(D125),Main!$D$4:$D$1048576,0)))="",IF(P127="","",R126),IF(ROW(D125)&gt;MAX(Main!$D$4:$D$1048576),"",INDEX(Main!J$4:J$1048576,MATCH(ROW(D125),Main!$D$4:$D$1048576,0))))</f>
        <v/>
      </c>
      <c r="S127" s="9" t="str">
        <f>IF(ROW(G125)&gt;MAX(Main!$D$4:$D$1048576),"",INDEX(Main!K$4:K$1048576,MATCH(ROW(G125),Main!$D$4:$D$1048576,0)))</f>
        <v/>
      </c>
      <c r="T127" s="1" t="str">
        <f>IF(S127&lt;&gt;"",IF(ROW(G125)&gt;MAX(Main!$D$4:$D$1048576),"",INDEX(Main!N$4:N$1048576,MATCH(ROW(G125),Main!$D$4:$D$1048576,0))),"")</f>
        <v/>
      </c>
      <c r="U127" s="1" t="str">
        <f>IF(IF(ROW(H125)&gt;MAX(Main!$D$4:$D$1048576),"",INDEX(Main!O$4:O$1048576,MATCH(ROW(H125),Main!$D$4:$D$1048576,0)))="",IF(T127="","",U126),IF(ROW(H125)&gt;MAX(Main!$D$4:$D$1048576),"",INDEX(Main!O$4:O$1048576,MATCH(ROW(H125),Main!$D$4:$D$1048576,0))))</f>
        <v/>
      </c>
    </row>
    <row r="128" spans="1:21" x14ac:dyDescent="0.4">
      <c r="A128" t="s">
        <v>21</v>
      </c>
      <c r="B128" s="4" t="str">
        <f>TEXT(IF(ROW(A126)&gt;MAX(Main!$C$4:$C$1048576),"",INDEX(Main!Q$4:Q$1048576,MATCH(ROW(A126),Main!$C$4:$C$1048576,0))), "yyyy/m/d")</f>
        <v/>
      </c>
      <c r="C128" s="1" t="str">
        <f>IF(IF(ROW(A126)&gt;MAX(Main!$C$4:$C$1048576),"",INDEX(Main!G$4:G$1048576,MATCH(ROW(A126),Main!$C$4:$C$1048576,0)))="",IF(B128="","",C127),IF(ROW(A126)&gt;MAX(Main!$C$4:$C$1048576),"",INDEX(Main!G$4:G$1048576,MATCH(ROW(A126),Main!$C$4:$C$1048576,0))))</f>
        <v/>
      </c>
      <c r="D128" s="1" t="str">
        <f>IF(IF(ROW(B126)&gt;MAX(Main!$C$4:$C$1048576),"",INDEX(Main!H$4:H$1048576,MATCH(ROW(B126),Main!$C$4:$C$1048576,0)))="",IF(C128="","",D127),IF(ROW(B126)&gt;MAX(Main!$C$4:$C$1048576),"",INDEX(Main!H$4:H$1048576,MATCH(ROW(B126),Main!$C$4:$C$1048576,0))))</f>
        <v/>
      </c>
      <c r="E128" s="1" t="str">
        <f>IF(IF(ROW(C126)&gt;MAX(Main!$C$4:$C$1048576),"",INDEX(Main!I$4:I$1048576,MATCH(ROW(C126),Main!$C$4:$C$1048576,0)))="",IF(D128="","",E127),IF(ROW(C126)&gt;MAX(Main!$C$4:$C$1048576),"",INDEX(Main!I$4:I$1048576,MATCH(ROW(C126),Main!$C$4:$C$1048576,0))))</f>
        <v/>
      </c>
      <c r="F128" s="1" t="str">
        <f t="shared" si="3"/>
        <v/>
      </c>
      <c r="G128" s="1" t="str">
        <f>IF(IF(ROW(D126)&gt;MAX(Main!$C$4:$C$1048576),"",INDEX(Main!J$4:J$1048576,MATCH(ROW(D126),Main!$C$4:$C$1048576,0)))="",IF(E128="","",G127),IF(ROW(D126)&gt;MAX(Main!$C$4:$C$1048576),"",INDEX(Main!J$4:J$1048576,MATCH(ROW(D126),Main!$C$4:$C$1048576,0))))</f>
        <v/>
      </c>
      <c r="H128" s="10" t="str">
        <f>IF(ROW(G126)&gt;MAX(Main!$C$4:$C$1048576),"",INDEX(Main!K$4:K$1048576,MATCH(ROW(G126),Main!$C$4:$C$1048576,0)))</f>
        <v/>
      </c>
      <c r="I128" s="1" t="str">
        <f>IF(H128&lt;&gt;"",IF(ROW(G126)&gt;MAX(Main!$C$4:$C$1048576),"",INDEX(Main!N$4:N$1048576,MATCH(ROW(G126),Main!$C$4:$C$1048576,0))),"")</f>
        <v/>
      </c>
      <c r="J128" s="1" t="str">
        <f>IF(IF(ROW(H126)&gt;MAX(Main!$C$4:$C$1048576),"",INDEX(Main!O$4:O$1048576,MATCH(ROW(H126),Main!$C$4:$C$1048576,0)))="",IF(I128="","",J127),IF(ROW(H126)&gt;MAX(Main!$C$4:$C$1048576),"",INDEX(Main!O$4:O$1048576,MATCH(ROW(H126),Main!$C$4:$C$1048576,0))))</f>
        <v/>
      </c>
      <c r="K128" s="27" t="str">
        <f t="shared" si="4"/>
        <v>例目</v>
      </c>
      <c r="M128" s="4" t="str">
        <f>TEXT(IF(ROW(A126)&gt;MAX(Main!$D$4:$D$1048576),"",INDEX(Main!Q$4:Q$1048576,MATCH(ROW(A126),Main!$D$4:$D$1048576,0))), "yyyy/m/d")</f>
        <v/>
      </c>
      <c r="N128" s="1" t="str">
        <f>IF(IF(ROW(A126)&gt;MAX(Main!$D$4:$D$1048576),"",INDEX(Main!G$4:G$1048576,MATCH(ROW(A126),Main!$D$4:$D$1048576,0)))="",IF(M128="","",N127),IF(ROW(A126)&gt;MAX(Main!$D$4:$D$1048576),"",INDEX(Main!G$4:G$1048576,MATCH(ROW(A126),Main!$D$4:$D$1048576,0))))</f>
        <v/>
      </c>
      <c r="O128" s="1" t="str">
        <f>IF(IF(ROW(B126)&gt;MAX(Main!$D$4:$D$1048576),"",INDEX(Main!H$4:H$1048576,MATCH(ROW(B126),Main!$D$4:$D$1048576,0)))="",IF(N128="","",O127),IF(ROW(B126)&gt;MAX(Main!$D$4:$D$1048576),"",INDEX(Main!H$4:H$1048576,MATCH(ROW(B126),Main!$D$4:$D$1048576,0))))</f>
        <v/>
      </c>
      <c r="P128" s="1" t="str">
        <f>IF(IF(ROW(C126)&gt;MAX(Main!$D$4:$D$1048576),"",INDEX(Main!I$4:I$1048576,MATCH(ROW(C126),Main!$D$4:$D$1048576,0)))="",IF(O128="","",P127),IF(ROW(C126)&gt;MAX(Main!$D$4:$D$1048576),"",INDEX(Main!I$4:I$1048576,MATCH(ROW(C126),Main!$D$4:$D$1048576,0))))</f>
        <v/>
      </c>
      <c r="Q128" s="1" t="str">
        <f t="shared" si="5"/>
        <v/>
      </c>
      <c r="R128" s="1" t="str">
        <f>IF(IF(ROW(D126)&gt;MAX(Main!$D$4:$D$1048576),"",INDEX(Main!J$4:J$1048576,MATCH(ROW(D126),Main!$D$4:$D$1048576,0)))="",IF(P128="","",R127),IF(ROW(D126)&gt;MAX(Main!$D$4:$D$1048576),"",INDEX(Main!J$4:J$1048576,MATCH(ROW(D126),Main!$D$4:$D$1048576,0))))</f>
        <v/>
      </c>
      <c r="S128" s="9" t="str">
        <f>IF(ROW(G126)&gt;MAX(Main!$D$4:$D$1048576),"",INDEX(Main!K$4:K$1048576,MATCH(ROW(G126),Main!$D$4:$D$1048576,0)))</f>
        <v/>
      </c>
      <c r="T128" s="1" t="str">
        <f>IF(S128&lt;&gt;"",IF(ROW(G126)&gt;MAX(Main!$D$4:$D$1048576),"",INDEX(Main!N$4:N$1048576,MATCH(ROW(G126),Main!$D$4:$D$1048576,0))),"")</f>
        <v/>
      </c>
      <c r="U128" s="1" t="str">
        <f>IF(IF(ROW(H126)&gt;MAX(Main!$D$4:$D$1048576),"",INDEX(Main!O$4:O$1048576,MATCH(ROW(H126),Main!$D$4:$D$1048576,0)))="",IF(T128="","",U127),IF(ROW(H126)&gt;MAX(Main!$D$4:$D$1048576),"",INDEX(Main!O$4:O$1048576,MATCH(ROW(H126),Main!$D$4:$D$1048576,0))))</f>
        <v/>
      </c>
    </row>
    <row r="129" spans="1:21" x14ac:dyDescent="0.4">
      <c r="A129" t="s">
        <v>21</v>
      </c>
      <c r="B129" s="4" t="str">
        <f>TEXT(IF(ROW(A127)&gt;MAX(Main!$C$4:$C$1048576),"",INDEX(Main!Q$4:Q$1048576,MATCH(ROW(A127),Main!$C$4:$C$1048576,0))), "yyyy/m/d")</f>
        <v/>
      </c>
      <c r="C129" s="1" t="str">
        <f>IF(IF(ROW(A127)&gt;MAX(Main!$C$4:$C$1048576),"",INDEX(Main!G$4:G$1048576,MATCH(ROW(A127),Main!$C$4:$C$1048576,0)))="",IF(B129="","",C128),IF(ROW(A127)&gt;MAX(Main!$C$4:$C$1048576),"",INDEX(Main!G$4:G$1048576,MATCH(ROW(A127),Main!$C$4:$C$1048576,0))))</f>
        <v/>
      </c>
      <c r="D129" s="1" t="str">
        <f>IF(IF(ROW(B127)&gt;MAX(Main!$C$4:$C$1048576),"",INDEX(Main!H$4:H$1048576,MATCH(ROW(B127),Main!$C$4:$C$1048576,0)))="",IF(C129="","",D128),IF(ROW(B127)&gt;MAX(Main!$C$4:$C$1048576),"",INDEX(Main!H$4:H$1048576,MATCH(ROW(B127),Main!$C$4:$C$1048576,0))))</f>
        <v/>
      </c>
      <c r="E129" s="1" t="str">
        <f>IF(IF(ROW(C127)&gt;MAX(Main!$C$4:$C$1048576),"",INDEX(Main!I$4:I$1048576,MATCH(ROW(C127),Main!$C$4:$C$1048576,0)))="",IF(D129="","",E128),IF(ROW(C127)&gt;MAX(Main!$C$4:$C$1048576),"",INDEX(Main!I$4:I$1048576,MATCH(ROW(C127),Main!$C$4:$C$1048576,0))))</f>
        <v/>
      </c>
      <c r="F129" s="1" t="str">
        <f t="shared" si="3"/>
        <v/>
      </c>
      <c r="G129" s="1" t="str">
        <f>IF(IF(ROW(D127)&gt;MAX(Main!$C$4:$C$1048576),"",INDEX(Main!J$4:J$1048576,MATCH(ROW(D127),Main!$C$4:$C$1048576,0)))="",IF(E129="","",G128),IF(ROW(D127)&gt;MAX(Main!$C$4:$C$1048576),"",INDEX(Main!J$4:J$1048576,MATCH(ROW(D127),Main!$C$4:$C$1048576,0))))</f>
        <v/>
      </c>
      <c r="H129" s="10" t="str">
        <f>IF(ROW(G127)&gt;MAX(Main!$C$4:$C$1048576),"",INDEX(Main!K$4:K$1048576,MATCH(ROW(G127),Main!$C$4:$C$1048576,0)))</f>
        <v/>
      </c>
      <c r="I129" s="1" t="str">
        <f>IF(H129&lt;&gt;"",IF(ROW(G127)&gt;MAX(Main!$C$4:$C$1048576),"",INDEX(Main!N$4:N$1048576,MATCH(ROW(G127),Main!$C$4:$C$1048576,0))),"")</f>
        <v/>
      </c>
      <c r="J129" s="1" t="str">
        <f>IF(IF(ROW(H127)&gt;MAX(Main!$C$4:$C$1048576),"",INDEX(Main!O$4:O$1048576,MATCH(ROW(H127),Main!$C$4:$C$1048576,0)))="",IF(I129="","",J128),IF(ROW(H127)&gt;MAX(Main!$C$4:$C$1048576),"",INDEX(Main!O$4:O$1048576,MATCH(ROW(H127),Main!$C$4:$C$1048576,0))))</f>
        <v/>
      </c>
      <c r="K129" s="27" t="str">
        <f t="shared" si="4"/>
        <v>例目</v>
      </c>
      <c r="M129" s="4" t="str">
        <f>TEXT(IF(ROW(A127)&gt;MAX(Main!$D$4:$D$1048576),"",INDEX(Main!Q$4:Q$1048576,MATCH(ROW(A127),Main!$D$4:$D$1048576,0))), "yyyy/m/d")</f>
        <v/>
      </c>
      <c r="N129" s="1" t="str">
        <f>IF(IF(ROW(A127)&gt;MAX(Main!$D$4:$D$1048576),"",INDEX(Main!G$4:G$1048576,MATCH(ROW(A127),Main!$D$4:$D$1048576,0)))="",IF(M129="","",N128),IF(ROW(A127)&gt;MAX(Main!$D$4:$D$1048576),"",INDEX(Main!G$4:G$1048576,MATCH(ROW(A127),Main!$D$4:$D$1048576,0))))</f>
        <v/>
      </c>
      <c r="O129" s="1" t="str">
        <f>IF(IF(ROW(B127)&gt;MAX(Main!$D$4:$D$1048576),"",INDEX(Main!H$4:H$1048576,MATCH(ROW(B127),Main!$D$4:$D$1048576,0)))="",IF(N129="","",O128),IF(ROW(B127)&gt;MAX(Main!$D$4:$D$1048576),"",INDEX(Main!H$4:H$1048576,MATCH(ROW(B127),Main!$D$4:$D$1048576,0))))</f>
        <v/>
      </c>
      <c r="P129" s="1" t="str">
        <f>IF(IF(ROW(C127)&gt;MAX(Main!$D$4:$D$1048576),"",INDEX(Main!I$4:I$1048576,MATCH(ROW(C127),Main!$D$4:$D$1048576,0)))="",IF(O129="","",P128),IF(ROW(C127)&gt;MAX(Main!$D$4:$D$1048576),"",INDEX(Main!I$4:I$1048576,MATCH(ROW(C127),Main!$D$4:$D$1048576,0))))</f>
        <v/>
      </c>
      <c r="Q129" s="1" t="str">
        <f t="shared" si="5"/>
        <v/>
      </c>
      <c r="R129" s="1" t="str">
        <f>IF(IF(ROW(D127)&gt;MAX(Main!$D$4:$D$1048576),"",INDEX(Main!J$4:J$1048576,MATCH(ROW(D127),Main!$D$4:$D$1048576,0)))="",IF(P129="","",R128),IF(ROW(D127)&gt;MAX(Main!$D$4:$D$1048576),"",INDEX(Main!J$4:J$1048576,MATCH(ROW(D127),Main!$D$4:$D$1048576,0))))</f>
        <v/>
      </c>
      <c r="S129" s="9" t="str">
        <f>IF(ROW(G127)&gt;MAX(Main!$D$4:$D$1048576),"",INDEX(Main!K$4:K$1048576,MATCH(ROW(G127),Main!$D$4:$D$1048576,0)))</f>
        <v/>
      </c>
      <c r="T129" s="1" t="str">
        <f>IF(S129&lt;&gt;"",IF(ROW(G127)&gt;MAX(Main!$D$4:$D$1048576),"",INDEX(Main!N$4:N$1048576,MATCH(ROW(G127),Main!$D$4:$D$1048576,0))),"")</f>
        <v/>
      </c>
      <c r="U129" s="1" t="str">
        <f>IF(IF(ROW(H127)&gt;MAX(Main!$D$4:$D$1048576),"",INDEX(Main!O$4:O$1048576,MATCH(ROW(H127),Main!$D$4:$D$1048576,0)))="",IF(T129="","",U128),IF(ROW(H127)&gt;MAX(Main!$D$4:$D$1048576),"",INDEX(Main!O$4:O$1048576,MATCH(ROW(H127),Main!$D$4:$D$1048576,0))))</f>
        <v/>
      </c>
    </row>
    <row r="130" spans="1:21" x14ac:dyDescent="0.4">
      <c r="A130" t="s">
        <v>21</v>
      </c>
      <c r="B130" s="4" t="str">
        <f>TEXT(IF(ROW(A128)&gt;MAX(Main!$C$4:$C$1048576),"",INDEX(Main!Q$4:Q$1048576,MATCH(ROW(A128),Main!$C$4:$C$1048576,0))), "yyyy/m/d")</f>
        <v/>
      </c>
      <c r="C130" s="1" t="str">
        <f>IF(IF(ROW(A128)&gt;MAX(Main!$C$4:$C$1048576),"",INDEX(Main!G$4:G$1048576,MATCH(ROW(A128),Main!$C$4:$C$1048576,0)))="",IF(B130="","",C129),IF(ROW(A128)&gt;MAX(Main!$C$4:$C$1048576),"",INDEX(Main!G$4:G$1048576,MATCH(ROW(A128),Main!$C$4:$C$1048576,0))))</f>
        <v/>
      </c>
      <c r="D130" s="1" t="str">
        <f>IF(IF(ROW(B128)&gt;MAX(Main!$C$4:$C$1048576),"",INDEX(Main!H$4:H$1048576,MATCH(ROW(B128),Main!$C$4:$C$1048576,0)))="",IF(C130="","",D129),IF(ROW(B128)&gt;MAX(Main!$C$4:$C$1048576),"",INDEX(Main!H$4:H$1048576,MATCH(ROW(B128),Main!$C$4:$C$1048576,0))))</f>
        <v/>
      </c>
      <c r="E130" s="1" t="str">
        <f>IF(IF(ROW(C128)&gt;MAX(Main!$C$4:$C$1048576),"",INDEX(Main!I$4:I$1048576,MATCH(ROW(C128),Main!$C$4:$C$1048576,0)))="",IF(D130="","",E129),IF(ROW(C128)&gt;MAX(Main!$C$4:$C$1048576),"",INDEX(Main!I$4:I$1048576,MATCH(ROW(C128),Main!$C$4:$C$1048576,0))))</f>
        <v/>
      </c>
      <c r="F130" s="1" t="str">
        <f t="shared" si="3"/>
        <v/>
      </c>
      <c r="G130" s="1" t="str">
        <f>IF(IF(ROW(D128)&gt;MAX(Main!$C$4:$C$1048576),"",INDEX(Main!J$4:J$1048576,MATCH(ROW(D128),Main!$C$4:$C$1048576,0)))="",IF(E130="","",G129),IF(ROW(D128)&gt;MAX(Main!$C$4:$C$1048576),"",INDEX(Main!J$4:J$1048576,MATCH(ROW(D128),Main!$C$4:$C$1048576,0))))</f>
        <v/>
      </c>
      <c r="H130" s="10" t="str">
        <f>IF(ROW(G128)&gt;MAX(Main!$C$4:$C$1048576),"",INDEX(Main!K$4:K$1048576,MATCH(ROW(G128),Main!$C$4:$C$1048576,0)))</f>
        <v/>
      </c>
      <c r="I130" s="1" t="str">
        <f>IF(H130&lt;&gt;"",IF(ROW(G128)&gt;MAX(Main!$C$4:$C$1048576),"",INDEX(Main!N$4:N$1048576,MATCH(ROW(G128),Main!$C$4:$C$1048576,0))),"")</f>
        <v/>
      </c>
      <c r="J130" s="1" t="str">
        <f>IF(IF(ROW(H128)&gt;MAX(Main!$C$4:$C$1048576),"",INDEX(Main!O$4:O$1048576,MATCH(ROW(H128),Main!$C$4:$C$1048576,0)))="",IF(I130="","",J129),IF(ROW(H128)&gt;MAX(Main!$C$4:$C$1048576),"",INDEX(Main!O$4:O$1048576,MATCH(ROW(H128),Main!$C$4:$C$1048576,0))))</f>
        <v/>
      </c>
      <c r="K130" s="27" t="str">
        <f t="shared" si="4"/>
        <v>例目</v>
      </c>
      <c r="M130" s="4" t="str">
        <f>TEXT(IF(ROW(A128)&gt;MAX(Main!$D$4:$D$1048576),"",INDEX(Main!Q$4:Q$1048576,MATCH(ROW(A128),Main!$D$4:$D$1048576,0))), "yyyy/m/d")</f>
        <v/>
      </c>
      <c r="N130" s="1" t="str">
        <f>IF(IF(ROW(A128)&gt;MAX(Main!$D$4:$D$1048576),"",INDEX(Main!G$4:G$1048576,MATCH(ROW(A128),Main!$D$4:$D$1048576,0)))="",IF(M130="","",N129),IF(ROW(A128)&gt;MAX(Main!$D$4:$D$1048576),"",INDEX(Main!G$4:G$1048576,MATCH(ROW(A128),Main!$D$4:$D$1048576,0))))</f>
        <v/>
      </c>
      <c r="O130" s="1" t="str">
        <f>IF(IF(ROW(B128)&gt;MAX(Main!$D$4:$D$1048576),"",INDEX(Main!H$4:H$1048576,MATCH(ROW(B128),Main!$D$4:$D$1048576,0)))="",IF(N130="","",O129),IF(ROW(B128)&gt;MAX(Main!$D$4:$D$1048576),"",INDEX(Main!H$4:H$1048576,MATCH(ROW(B128),Main!$D$4:$D$1048576,0))))</f>
        <v/>
      </c>
      <c r="P130" s="1" t="str">
        <f>IF(IF(ROW(C128)&gt;MAX(Main!$D$4:$D$1048576),"",INDEX(Main!I$4:I$1048576,MATCH(ROW(C128),Main!$D$4:$D$1048576,0)))="",IF(O130="","",P129),IF(ROW(C128)&gt;MAX(Main!$D$4:$D$1048576),"",INDEX(Main!I$4:I$1048576,MATCH(ROW(C128),Main!$D$4:$D$1048576,0))))</f>
        <v/>
      </c>
      <c r="Q130" s="1" t="str">
        <f t="shared" si="5"/>
        <v/>
      </c>
      <c r="R130" s="1" t="str">
        <f>IF(IF(ROW(D128)&gt;MAX(Main!$D$4:$D$1048576),"",INDEX(Main!J$4:J$1048576,MATCH(ROW(D128),Main!$D$4:$D$1048576,0)))="",IF(P130="","",R129),IF(ROW(D128)&gt;MAX(Main!$D$4:$D$1048576),"",INDEX(Main!J$4:J$1048576,MATCH(ROW(D128),Main!$D$4:$D$1048576,0))))</f>
        <v/>
      </c>
      <c r="S130" s="9" t="str">
        <f>IF(ROW(G128)&gt;MAX(Main!$D$4:$D$1048576),"",INDEX(Main!K$4:K$1048576,MATCH(ROW(G128),Main!$D$4:$D$1048576,0)))</f>
        <v/>
      </c>
      <c r="T130" s="1" t="str">
        <f>IF(S130&lt;&gt;"",IF(ROW(G128)&gt;MAX(Main!$D$4:$D$1048576),"",INDEX(Main!N$4:N$1048576,MATCH(ROW(G128),Main!$D$4:$D$1048576,0))),"")</f>
        <v/>
      </c>
      <c r="U130" s="1" t="str">
        <f>IF(IF(ROW(H128)&gt;MAX(Main!$D$4:$D$1048576),"",INDEX(Main!O$4:O$1048576,MATCH(ROW(H128),Main!$D$4:$D$1048576,0)))="",IF(T130="","",U129),IF(ROW(H128)&gt;MAX(Main!$D$4:$D$1048576),"",INDEX(Main!O$4:O$1048576,MATCH(ROW(H128),Main!$D$4:$D$1048576,0))))</f>
        <v/>
      </c>
    </row>
    <row r="131" spans="1:21" x14ac:dyDescent="0.4">
      <c r="A131" t="s">
        <v>21</v>
      </c>
      <c r="B131" s="4" t="str">
        <f>TEXT(IF(ROW(A129)&gt;MAX(Main!$C$4:$C$1048576),"",INDEX(Main!Q$4:Q$1048576,MATCH(ROW(A129),Main!$C$4:$C$1048576,0))), "yyyy/m/d")</f>
        <v/>
      </c>
      <c r="C131" s="1" t="str">
        <f>IF(IF(ROW(A129)&gt;MAX(Main!$C$4:$C$1048576),"",INDEX(Main!G$4:G$1048576,MATCH(ROW(A129),Main!$C$4:$C$1048576,0)))="",IF(B131="","",C130),IF(ROW(A129)&gt;MAX(Main!$C$4:$C$1048576),"",INDEX(Main!G$4:G$1048576,MATCH(ROW(A129),Main!$C$4:$C$1048576,0))))</f>
        <v/>
      </c>
      <c r="D131" s="1" t="str">
        <f>IF(IF(ROW(B129)&gt;MAX(Main!$C$4:$C$1048576),"",INDEX(Main!H$4:H$1048576,MATCH(ROW(B129),Main!$C$4:$C$1048576,0)))="",IF(C131="","",D130),IF(ROW(B129)&gt;MAX(Main!$C$4:$C$1048576),"",INDEX(Main!H$4:H$1048576,MATCH(ROW(B129),Main!$C$4:$C$1048576,0))))</f>
        <v/>
      </c>
      <c r="E131" s="1" t="str">
        <f>IF(IF(ROW(C129)&gt;MAX(Main!$C$4:$C$1048576),"",INDEX(Main!I$4:I$1048576,MATCH(ROW(C129),Main!$C$4:$C$1048576,0)))="",IF(D131="","",E130),IF(ROW(C129)&gt;MAX(Main!$C$4:$C$1048576),"",INDEX(Main!I$4:I$1048576,MATCH(ROW(C129),Main!$C$4:$C$1048576,0))))</f>
        <v/>
      </c>
      <c r="F131" s="1" t="str">
        <f t="shared" ref="F131:F194" si="6">IF(E131&lt;&gt;"",IF(E131="男性","male",IF(E131="女性","female","else")),"")</f>
        <v/>
      </c>
      <c r="G131" s="1" t="str">
        <f>IF(IF(ROW(D129)&gt;MAX(Main!$C$4:$C$1048576),"",INDEX(Main!J$4:J$1048576,MATCH(ROW(D129),Main!$C$4:$C$1048576,0)))="",IF(E131="","",G130),IF(ROW(D129)&gt;MAX(Main!$C$4:$C$1048576),"",INDEX(Main!J$4:J$1048576,MATCH(ROW(D129),Main!$C$4:$C$1048576,0))))</f>
        <v/>
      </c>
      <c r="H131" s="10" t="str">
        <f>IF(ROW(G129)&gt;MAX(Main!$C$4:$C$1048576),"",INDEX(Main!K$4:K$1048576,MATCH(ROW(G129),Main!$C$4:$C$1048576,0)))</f>
        <v/>
      </c>
      <c r="I131" s="1" t="str">
        <f>IF(H131&lt;&gt;"",IF(ROW(G129)&gt;MAX(Main!$C$4:$C$1048576),"",INDEX(Main!N$4:N$1048576,MATCH(ROW(G129),Main!$C$4:$C$1048576,0))),"")</f>
        <v/>
      </c>
      <c r="J131" s="1" t="str">
        <f>IF(IF(ROW(H129)&gt;MAX(Main!$C$4:$C$1048576),"",INDEX(Main!O$4:O$1048576,MATCH(ROW(H129),Main!$C$4:$C$1048576,0)))="",IF(I131="","",J130),IF(ROW(H129)&gt;MAX(Main!$C$4:$C$1048576),"",INDEX(Main!O$4:O$1048576,MATCH(ROW(H129),Main!$C$4:$C$1048576,0))))</f>
        <v/>
      </c>
      <c r="K131" s="27" t="str">
        <f t="shared" ref="K131:K194" si="7">IF(ISERROR(FIND($Y$1, $C131)), $C131&amp;
"例目",
"クラスターNo."&amp;LEFT(REPLACE($C131, 1, LEN($Y$1), ""), LEN($C131)-3-LEN($Y$1)))</f>
        <v>例目</v>
      </c>
      <c r="M131" s="4" t="str">
        <f>TEXT(IF(ROW(A129)&gt;MAX(Main!$D$4:$D$1048576),"",INDEX(Main!Q$4:Q$1048576,MATCH(ROW(A129),Main!$D$4:$D$1048576,0))), "yyyy/m/d")</f>
        <v/>
      </c>
      <c r="N131" s="1" t="str">
        <f>IF(IF(ROW(A129)&gt;MAX(Main!$D$4:$D$1048576),"",INDEX(Main!G$4:G$1048576,MATCH(ROW(A129),Main!$D$4:$D$1048576,0)))="",IF(M131="","",N130),IF(ROW(A129)&gt;MAX(Main!$D$4:$D$1048576),"",INDEX(Main!G$4:G$1048576,MATCH(ROW(A129),Main!$D$4:$D$1048576,0))))</f>
        <v/>
      </c>
      <c r="O131" s="1" t="str">
        <f>IF(IF(ROW(B129)&gt;MAX(Main!$D$4:$D$1048576),"",INDEX(Main!H$4:H$1048576,MATCH(ROW(B129),Main!$D$4:$D$1048576,0)))="",IF(N131="","",O130),IF(ROW(B129)&gt;MAX(Main!$D$4:$D$1048576),"",INDEX(Main!H$4:H$1048576,MATCH(ROW(B129),Main!$D$4:$D$1048576,0))))</f>
        <v/>
      </c>
      <c r="P131" s="1" t="str">
        <f>IF(IF(ROW(C129)&gt;MAX(Main!$D$4:$D$1048576),"",INDEX(Main!I$4:I$1048576,MATCH(ROW(C129),Main!$D$4:$D$1048576,0)))="",IF(O131="","",P130),IF(ROW(C129)&gt;MAX(Main!$D$4:$D$1048576),"",INDEX(Main!I$4:I$1048576,MATCH(ROW(C129),Main!$D$4:$D$1048576,0))))</f>
        <v/>
      </c>
      <c r="Q131" s="1" t="str">
        <f t="shared" ref="Q131:Q194" si="8">IF(P131&lt;&gt;"",IF(P131="男性","male",IF(P131="女性","female","else")),"")</f>
        <v/>
      </c>
      <c r="R131" s="1" t="str">
        <f>IF(IF(ROW(D129)&gt;MAX(Main!$D$4:$D$1048576),"",INDEX(Main!J$4:J$1048576,MATCH(ROW(D129),Main!$D$4:$D$1048576,0)))="",IF(P131="","",R130),IF(ROW(D129)&gt;MAX(Main!$D$4:$D$1048576),"",INDEX(Main!J$4:J$1048576,MATCH(ROW(D129),Main!$D$4:$D$1048576,0))))</f>
        <v/>
      </c>
      <c r="S131" s="9" t="str">
        <f>IF(ROW(G129)&gt;MAX(Main!$D$4:$D$1048576),"",INDEX(Main!K$4:K$1048576,MATCH(ROW(G129),Main!$D$4:$D$1048576,0)))</f>
        <v/>
      </c>
      <c r="T131" s="1" t="str">
        <f>IF(S131&lt;&gt;"",IF(ROW(G129)&gt;MAX(Main!$D$4:$D$1048576),"",INDEX(Main!N$4:N$1048576,MATCH(ROW(G129),Main!$D$4:$D$1048576,0))),"")</f>
        <v/>
      </c>
      <c r="U131" s="1" t="str">
        <f>IF(IF(ROW(H129)&gt;MAX(Main!$D$4:$D$1048576),"",INDEX(Main!O$4:O$1048576,MATCH(ROW(H129),Main!$D$4:$D$1048576,0)))="",IF(T131="","",U130),IF(ROW(H129)&gt;MAX(Main!$D$4:$D$1048576),"",INDEX(Main!O$4:O$1048576,MATCH(ROW(H129),Main!$D$4:$D$1048576,0))))</f>
        <v/>
      </c>
    </row>
    <row r="132" spans="1:21" x14ac:dyDescent="0.4">
      <c r="A132" t="s">
        <v>21</v>
      </c>
      <c r="B132" s="4" t="str">
        <f>TEXT(IF(ROW(A130)&gt;MAX(Main!$C$4:$C$1048576),"",INDEX(Main!Q$4:Q$1048576,MATCH(ROW(A130),Main!$C$4:$C$1048576,0))), "yyyy/m/d")</f>
        <v/>
      </c>
      <c r="C132" s="1" t="str">
        <f>IF(IF(ROW(A130)&gt;MAX(Main!$C$4:$C$1048576),"",INDEX(Main!G$4:G$1048576,MATCH(ROW(A130),Main!$C$4:$C$1048576,0)))="",IF(B132="","",C131),IF(ROW(A130)&gt;MAX(Main!$C$4:$C$1048576),"",INDEX(Main!G$4:G$1048576,MATCH(ROW(A130),Main!$C$4:$C$1048576,0))))</f>
        <v/>
      </c>
      <c r="D132" s="1" t="str">
        <f>IF(IF(ROW(B130)&gt;MAX(Main!$C$4:$C$1048576),"",INDEX(Main!H$4:H$1048576,MATCH(ROW(B130),Main!$C$4:$C$1048576,0)))="",IF(C132="","",D131),IF(ROW(B130)&gt;MAX(Main!$C$4:$C$1048576),"",INDEX(Main!H$4:H$1048576,MATCH(ROW(B130),Main!$C$4:$C$1048576,0))))</f>
        <v/>
      </c>
      <c r="E132" s="1" t="str">
        <f>IF(IF(ROW(C130)&gt;MAX(Main!$C$4:$C$1048576),"",INDEX(Main!I$4:I$1048576,MATCH(ROW(C130),Main!$C$4:$C$1048576,0)))="",IF(D132="","",E131),IF(ROW(C130)&gt;MAX(Main!$C$4:$C$1048576),"",INDEX(Main!I$4:I$1048576,MATCH(ROW(C130),Main!$C$4:$C$1048576,0))))</f>
        <v/>
      </c>
      <c r="F132" s="1" t="str">
        <f t="shared" si="6"/>
        <v/>
      </c>
      <c r="G132" s="1" t="str">
        <f>IF(IF(ROW(D130)&gt;MAX(Main!$C$4:$C$1048576),"",INDEX(Main!J$4:J$1048576,MATCH(ROW(D130),Main!$C$4:$C$1048576,0)))="",IF(E132="","",G131),IF(ROW(D130)&gt;MAX(Main!$C$4:$C$1048576),"",INDEX(Main!J$4:J$1048576,MATCH(ROW(D130),Main!$C$4:$C$1048576,0))))</f>
        <v/>
      </c>
      <c r="H132" s="10" t="str">
        <f>IF(ROW(G130)&gt;MAX(Main!$C$4:$C$1048576),"",INDEX(Main!K$4:K$1048576,MATCH(ROW(G130),Main!$C$4:$C$1048576,0)))</f>
        <v/>
      </c>
      <c r="I132" s="1" t="str">
        <f>IF(H132&lt;&gt;"",IF(ROW(G130)&gt;MAX(Main!$C$4:$C$1048576),"",INDEX(Main!N$4:N$1048576,MATCH(ROW(G130),Main!$C$4:$C$1048576,0))),"")</f>
        <v/>
      </c>
      <c r="J132" s="1" t="str">
        <f>IF(IF(ROW(H130)&gt;MAX(Main!$C$4:$C$1048576),"",INDEX(Main!O$4:O$1048576,MATCH(ROW(H130),Main!$C$4:$C$1048576,0)))="",IF(I132="","",J131),IF(ROW(H130)&gt;MAX(Main!$C$4:$C$1048576),"",INDEX(Main!O$4:O$1048576,MATCH(ROW(H130),Main!$C$4:$C$1048576,0))))</f>
        <v/>
      </c>
      <c r="K132" s="27" t="str">
        <f t="shared" si="7"/>
        <v>例目</v>
      </c>
      <c r="M132" s="4" t="str">
        <f>TEXT(IF(ROW(A130)&gt;MAX(Main!$D$4:$D$1048576),"",INDEX(Main!Q$4:Q$1048576,MATCH(ROW(A130),Main!$D$4:$D$1048576,0))), "yyyy/m/d")</f>
        <v/>
      </c>
      <c r="N132" s="1" t="str">
        <f>IF(IF(ROW(A130)&gt;MAX(Main!$D$4:$D$1048576),"",INDEX(Main!G$4:G$1048576,MATCH(ROW(A130),Main!$D$4:$D$1048576,0)))="",IF(M132="","",N131),IF(ROW(A130)&gt;MAX(Main!$D$4:$D$1048576),"",INDEX(Main!G$4:G$1048576,MATCH(ROW(A130),Main!$D$4:$D$1048576,0))))</f>
        <v/>
      </c>
      <c r="O132" s="1" t="str">
        <f>IF(IF(ROW(B130)&gt;MAX(Main!$D$4:$D$1048576),"",INDEX(Main!H$4:H$1048576,MATCH(ROW(B130),Main!$D$4:$D$1048576,0)))="",IF(N132="","",O131),IF(ROW(B130)&gt;MAX(Main!$D$4:$D$1048576),"",INDEX(Main!H$4:H$1048576,MATCH(ROW(B130),Main!$D$4:$D$1048576,0))))</f>
        <v/>
      </c>
      <c r="P132" s="1" t="str">
        <f>IF(IF(ROW(C130)&gt;MAX(Main!$D$4:$D$1048576),"",INDEX(Main!I$4:I$1048576,MATCH(ROW(C130),Main!$D$4:$D$1048576,0)))="",IF(O132="","",P131),IF(ROW(C130)&gt;MAX(Main!$D$4:$D$1048576),"",INDEX(Main!I$4:I$1048576,MATCH(ROW(C130),Main!$D$4:$D$1048576,0))))</f>
        <v/>
      </c>
      <c r="Q132" s="1" t="str">
        <f t="shared" si="8"/>
        <v/>
      </c>
      <c r="R132" s="1" t="str">
        <f>IF(IF(ROW(D130)&gt;MAX(Main!$D$4:$D$1048576),"",INDEX(Main!J$4:J$1048576,MATCH(ROW(D130),Main!$D$4:$D$1048576,0)))="",IF(P132="","",R131),IF(ROW(D130)&gt;MAX(Main!$D$4:$D$1048576),"",INDEX(Main!J$4:J$1048576,MATCH(ROW(D130),Main!$D$4:$D$1048576,0))))</f>
        <v/>
      </c>
      <c r="S132" s="9" t="str">
        <f>IF(ROW(G130)&gt;MAX(Main!$D$4:$D$1048576),"",INDEX(Main!K$4:K$1048576,MATCH(ROW(G130),Main!$D$4:$D$1048576,0)))</f>
        <v/>
      </c>
      <c r="T132" s="1" t="str">
        <f>IF(S132&lt;&gt;"",IF(ROW(G130)&gt;MAX(Main!$D$4:$D$1048576),"",INDEX(Main!N$4:N$1048576,MATCH(ROW(G130),Main!$D$4:$D$1048576,0))),"")</f>
        <v/>
      </c>
      <c r="U132" s="1" t="str">
        <f>IF(IF(ROW(H130)&gt;MAX(Main!$D$4:$D$1048576),"",INDEX(Main!O$4:O$1048576,MATCH(ROW(H130),Main!$D$4:$D$1048576,0)))="",IF(T132="","",U131),IF(ROW(H130)&gt;MAX(Main!$D$4:$D$1048576),"",INDEX(Main!O$4:O$1048576,MATCH(ROW(H130),Main!$D$4:$D$1048576,0))))</f>
        <v/>
      </c>
    </row>
    <row r="133" spans="1:21" x14ac:dyDescent="0.4">
      <c r="A133" t="s">
        <v>21</v>
      </c>
      <c r="B133" s="4" t="str">
        <f>TEXT(IF(ROW(A131)&gt;MAX(Main!$C$4:$C$1048576),"",INDEX(Main!Q$4:Q$1048576,MATCH(ROW(A131),Main!$C$4:$C$1048576,0))), "yyyy/m/d")</f>
        <v/>
      </c>
      <c r="C133" s="1" t="str">
        <f>IF(IF(ROW(A131)&gt;MAX(Main!$C$4:$C$1048576),"",INDEX(Main!G$4:G$1048576,MATCH(ROW(A131),Main!$C$4:$C$1048576,0)))="",IF(B133="","",C132),IF(ROW(A131)&gt;MAX(Main!$C$4:$C$1048576),"",INDEX(Main!G$4:G$1048576,MATCH(ROW(A131),Main!$C$4:$C$1048576,0))))</f>
        <v/>
      </c>
      <c r="D133" s="1" t="str">
        <f>IF(IF(ROW(B131)&gt;MAX(Main!$C$4:$C$1048576),"",INDEX(Main!H$4:H$1048576,MATCH(ROW(B131),Main!$C$4:$C$1048576,0)))="",IF(C133="","",D132),IF(ROW(B131)&gt;MAX(Main!$C$4:$C$1048576),"",INDEX(Main!H$4:H$1048576,MATCH(ROW(B131),Main!$C$4:$C$1048576,0))))</f>
        <v/>
      </c>
      <c r="E133" s="1" t="str">
        <f>IF(IF(ROW(C131)&gt;MAX(Main!$C$4:$C$1048576),"",INDEX(Main!I$4:I$1048576,MATCH(ROW(C131),Main!$C$4:$C$1048576,0)))="",IF(D133="","",E132),IF(ROW(C131)&gt;MAX(Main!$C$4:$C$1048576),"",INDEX(Main!I$4:I$1048576,MATCH(ROW(C131),Main!$C$4:$C$1048576,0))))</f>
        <v/>
      </c>
      <c r="F133" s="1" t="str">
        <f t="shared" si="6"/>
        <v/>
      </c>
      <c r="G133" s="1" t="str">
        <f>IF(IF(ROW(D131)&gt;MAX(Main!$C$4:$C$1048576),"",INDEX(Main!J$4:J$1048576,MATCH(ROW(D131),Main!$C$4:$C$1048576,0)))="",IF(E133="","",G132),IF(ROW(D131)&gt;MAX(Main!$C$4:$C$1048576),"",INDEX(Main!J$4:J$1048576,MATCH(ROW(D131),Main!$C$4:$C$1048576,0))))</f>
        <v/>
      </c>
      <c r="H133" s="10" t="str">
        <f>IF(ROW(G131)&gt;MAX(Main!$C$4:$C$1048576),"",INDEX(Main!K$4:K$1048576,MATCH(ROW(G131),Main!$C$4:$C$1048576,0)))</f>
        <v/>
      </c>
      <c r="I133" s="1" t="str">
        <f>IF(H133&lt;&gt;"",IF(ROW(G131)&gt;MAX(Main!$C$4:$C$1048576),"",INDEX(Main!N$4:N$1048576,MATCH(ROW(G131),Main!$C$4:$C$1048576,0))),"")</f>
        <v/>
      </c>
      <c r="J133" s="1" t="str">
        <f>IF(IF(ROW(H131)&gt;MAX(Main!$C$4:$C$1048576),"",INDEX(Main!O$4:O$1048576,MATCH(ROW(H131),Main!$C$4:$C$1048576,0)))="",IF(I133="","",J132),IF(ROW(H131)&gt;MAX(Main!$C$4:$C$1048576),"",INDEX(Main!O$4:O$1048576,MATCH(ROW(H131),Main!$C$4:$C$1048576,0))))</f>
        <v/>
      </c>
      <c r="K133" s="27" t="str">
        <f t="shared" si="7"/>
        <v>例目</v>
      </c>
      <c r="M133" s="4" t="str">
        <f>TEXT(IF(ROW(A131)&gt;MAX(Main!$D$4:$D$1048576),"",INDEX(Main!Q$4:Q$1048576,MATCH(ROW(A131),Main!$D$4:$D$1048576,0))), "yyyy/m/d")</f>
        <v/>
      </c>
      <c r="N133" s="1" t="str">
        <f>IF(IF(ROW(A131)&gt;MAX(Main!$D$4:$D$1048576),"",INDEX(Main!G$4:G$1048576,MATCH(ROW(A131),Main!$D$4:$D$1048576,0)))="",IF(M133="","",N132),IF(ROW(A131)&gt;MAX(Main!$D$4:$D$1048576),"",INDEX(Main!G$4:G$1048576,MATCH(ROW(A131),Main!$D$4:$D$1048576,0))))</f>
        <v/>
      </c>
      <c r="O133" s="1" t="str">
        <f>IF(IF(ROW(B131)&gt;MAX(Main!$D$4:$D$1048576),"",INDEX(Main!H$4:H$1048576,MATCH(ROW(B131),Main!$D$4:$D$1048576,0)))="",IF(N133="","",O132),IF(ROW(B131)&gt;MAX(Main!$D$4:$D$1048576),"",INDEX(Main!H$4:H$1048576,MATCH(ROW(B131),Main!$D$4:$D$1048576,0))))</f>
        <v/>
      </c>
      <c r="P133" s="1" t="str">
        <f>IF(IF(ROW(C131)&gt;MAX(Main!$D$4:$D$1048576),"",INDEX(Main!I$4:I$1048576,MATCH(ROW(C131),Main!$D$4:$D$1048576,0)))="",IF(O133="","",P132),IF(ROW(C131)&gt;MAX(Main!$D$4:$D$1048576),"",INDEX(Main!I$4:I$1048576,MATCH(ROW(C131),Main!$D$4:$D$1048576,0))))</f>
        <v/>
      </c>
      <c r="Q133" s="1" t="str">
        <f t="shared" si="8"/>
        <v/>
      </c>
      <c r="R133" s="1" t="str">
        <f>IF(IF(ROW(D131)&gt;MAX(Main!$D$4:$D$1048576),"",INDEX(Main!J$4:J$1048576,MATCH(ROW(D131),Main!$D$4:$D$1048576,0)))="",IF(P133="","",R132),IF(ROW(D131)&gt;MAX(Main!$D$4:$D$1048576),"",INDEX(Main!J$4:J$1048576,MATCH(ROW(D131),Main!$D$4:$D$1048576,0))))</f>
        <v/>
      </c>
      <c r="S133" s="9" t="str">
        <f>IF(ROW(G131)&gt;MAX(Main!$D$4:$D$1048576),"",INDEX(Main!K$4:K$1048576,MATCH(ROW(G131),Main!$D$4:$D$1048576,0)))</f>
        <v/>
      </c>
      <c r="T133" s="1" t="str">
        <f>IF(S133&lt;&gt;"",IF(ROW(G131)&gt;MAX(Main!$D$4:$D$1048576),"",INDEX(Main!N$4:N$1048576,MATCH(ROW(G131),Main!$D$4:$D$1048576,0))),"")</f>
        <v/>
      </c>
      <c r="U133" s="1" t="str">
        <f>IF(IF(ROW(H131)&gt;MAX(Main!$D$4:$D$1048576),"",INDEX(Main!O$4:O$1048576,MATCH(ROW(H131),Main!$D$4:$D$1048576,0)))="",IF(T133="","",U132),IF(ROW(H131)&gt;MAX(Main!$D$4:$D$1048576),"",INDEX(Main!O$4:O$1048576,MATCH(ROW(H131),Main!$D$4:$D$1048576,0))))</f>
        <v/>
      </c>
    </row>
    <row r="134" spans="1:21" x14ac:dyDescent="0.4">
      <c r="A134" t="s">
        <v>21</v>
      </c>
      <c r="B134" s="4" t="str">
        <f>TEXT(IF(ROW(A132)&gt;MAX(Main!$C$4:$C$1048576),"",INDEX(Main!Q$4:Q$1048576,MATCH(ROW(A132),Main!$C$4:$C$1048576,0))), "yyyy/m/d")</f>
        <v/>
      </c>
      <c r="C134" s="1" t="str">
        <f>IF(IF(ROW(A132)&gt;MAX(Main!$C$4:$C$1048576),"",INDEX(Main!G$4:G$1048576,MATCH(ROW(A132),Main!$C$4:$C$1048576,0)))="",IF(B134="","",C133),IF(ROW(A132)&gt;MAX(Main!$C$4:$C$1048576),"",INDEX(Main!G$4:G$1048576,MATCH(ROW(A132),Main!$C$4:$C$1048576,0))))</f>
        <v/>
      </c>
      <c r="D134" s="1" t="str">
        <f>IF(IF(ROW(B132)&gt;MAX(Main!$C$4:$C$1048576),"",INDEX(Main!H$4:H$1048576,MATCH(ROW(B132),Main!$C$4:$C$1048576,0)))="",IF(C134="","",D133),IF(ROW(B132)&gt;MAX(Main!$C$4:$C$1048576),"",INDEX(Main!H$4:H$1048576,MATCH(ROW(B132),Main!$C$4:$C$1048576,0))))</f>
        <v/>
      </c>
      <c r="E134" s="1" t="str">
        <f>IF(IF(ROW(C132)&gt;MAX(Main!$C$4:$C$1048576),"",INDEX(Main!I$4:I$1048576,MATCH(ROW(C132),Main!$C$4:$C$1048576,0)))="",IF(D134="","",E133),IF(ROW(C132)&gt;MAX(Main!$C$4:$C$1048576),"",INDEX(Main!I$4:I$1048576,MATCH(ROW(C132),Main!$C$4:$C$1048576,0))))</f>
        <v/>
      </c>
      <c r="F134" s="1" t="str">
        <f t="shared" si="6"/>
        <v/>
      </c>
      <c r="G134" s="1" t="str">
        <f>IF(IF(ROW(D132)&gt;MAX(Main!$C$4:$C$1048576),"",INDEX(Main!J$4:J$1048576,MATCH(ROW(D132),Main!$C$4:$C$1048576,0)))="",IF(E134="","",G133),IF(ROW(D132)&gt;MAX(Main!$C$4:$C$1048576),"",INDEX(Main!J$4:J$1048576,MATCH(ROW(D132),Main!$C$4:$C$1048576,0))))</f>
        <v/>
      </c>
      <c r="H134" s="10" t="str">
        <f>IF(ROW(G132)&gt;MAX(Main!$C$4:$C$1048576),"",INDEX(Main!K$4:K$1048576,MATCH(ROW(G132),Main!$C$4:$C$1048576,0)))</f>
        <v/>
      </c>
      <c r="I134" s="1" t="str">
        <f>IF(H134&lt;&gt;"",IF(ROW(G132)&gt;MAX(Main!$C$4:$C$1048576),"",INDEX(Main!N$4:N$1048576,MATCH(ROW(G132),Main!$C$4:$C$1048576,0))),"")</f>
        <v/>
      </c>
      <c r="J134" s="1" t="str">
        <f>IF(IF(ROW(H132)&gt;MAX(Main!$C$4:$C$1048576),"",INDEX(Main!O$4:O$1048576,MATCH(ROW(H132),Main!$C$4:$C$1048576,0)))="",IF(I134="","",J133),IF(ROW(H132)&gt;MAX(Main!$C$4:$C$1048576),"",INDEX(Main!O$4:O$1048576,MATCH(ROW(H132),Main!$C$4:$C$1048576,0))))</f>
        <v/>
      </c>
      <c r="K134" s="27" t="str">
        <f t="shared" si="7"/>
        <v>例目</v>
      </c>
      <c r="M134" s="4" t="str">
        <f>TEXT(IF(ROW(A132)&gt;MAX(Main!$D$4:$D$1048576),"",INDEX(Main!Q$4:Q$1048576,MATCH(ROW(A132),Main!$D$4:$D$1048576,0))), "yyyy/m/d")</f>
        <v/>
      </c>
      <c r="N134" s="1" t="str">
        <f>IF(IF(ROW(A132)&gt;MAX(Main!$D$4:$D$1048576),"",INDEX(Main!G$4:G$1048576,MATCH(ROW(A132),Main!$D$4:$D$1048576,0)))="",IF(M134="","",N133),IF(ROW(A132)&gt;MAX(Main!$D$4:$D$1048576),"",INDEX(Main!G$4:G$1048576,MATCH(ROW(A132),Main!$D$4:$D$1048576,0))))</f>
        <v/>
      </c>
      <c r="O134" s="1" t="str">
        <f>IF(IF(ROW(B132)&gt;MAX(Main!$D$4:$D$1048576),"",INDEX(Main!H$4:H$1048576,MATCH(ROW(B132),Main!$D$4:$D$1048576,0)))="",IF(N134="","",O133),IF(ROW(B132)&gt;MAX(Main!$D$4:$D$1048576),"",INDEX(Main!H$4:H$1048576,MATCH(ROW(B132),Main!$D$4:$D$1048576,0))))</f>
        <v/>
      </c>
      <c r="P134" s="1" t="str">
        <f>IF(IF(ROW(C132)&gt;MAX(Main!$D$4:$D$1048576),"",INDEX(Main!I$4:I$1048576,MATCH(ROW(C132),Main!$D$4:$D$1048576,0)))="",IF(O134="","",P133),IF(ROW(C132)&gt;MAX(Main!$D$4:$D$1048576),"",INDEX(Main!I$4:I$1048576,MATCH(ROW(C132),Main!$D$4:$D$1048576,0))))</f>
        <v/>
      </c>
      <c r="Q134" s="1" t="str">
        <f t="shared" si="8"/>
        <v/>
      </c>
      <c r="R134" s="1" t="str">
        <f>IF(IF(ROW(D132)&gt;MAX(Main!$D$4:$D$1048576),"",INDEX(Main!J$4:J$1048576,MATCH(ROW(D132),Main!$D$4:$D$1048576,0)))="",IF(P134="","",R133),IF(ROW(D132)&gt;MAX(Main!$D$4:$D$1048576),"",INDEX(Main!J$4:J$1048576,MATCH(ROW(D132),Main!$D$4:$D$1048576,0))))</f>
        <v/>
      </c>
      <c r="S134" s="9" t="str">
        <f>IF(ROW(G132)&gt;MAX(Main!$D$4:$D$1048576),"",INDEX(Main!K$4:K$1048576,MATCH(ROW(G132),Main!$D$4:$D$1048576,0)))</f>
        <v/>
      </c>
      <c r="T134" s="1" t="str">
        <f>IF(S134&lt;&gt;"",IF(ROW(G132)&gt;MAX(Main!$D$4:$D$1048576),"",INDEX(Main!N$4:N$1048576,MATCH(ROW(G132),Main!$D$4:$D$1048576,0))),"")</f>
        <v/>
      </c>
      <c r="U134" s="1" t="str">
        <f>IF(IF(ROW(H132)&gt;MAX(Main!$D$4:$D$1048576),"",INDEX(Main!O$4:O$1048576,MATCH(ROW(H132),Main!$D$4:$D$1048576,0)))="",IF(T134="","",U133),IF(ROW(H132)&gt;MAX(Main!$D$4:$D$1048576),"",INDEX(Main!O$4:O$1048576,MATCH(ROW(H132),Main!$D$4:$D$1048576,0))))</f>
        <v/>
      </c>
    </row>
    <row r="135" spans="1:21" x14ac:dyDescent="0.4">
      <c r="A135" t="s">
        <v>21</v>
      </c>
      <c r="B135" s="4" t="str">
        <f>TEXT(IF(ROW(A133)&gt;MAX(Main!$C$4:$C$1048576),"",INDEX(Main!Q$4:Q$1048576,MATCH(ROW(A133),Main!$C$4:$C$1048576,0))), "yyyy/m/d")</f>
        <v/>
      </c>
      <c r="C135" s="1" t="str">
        <f>IF(IF(ROW(A133)&gt;MAX(Main!$C$4:$C$1048576),"",INDEX(Main!G$4:G$1048576,MATCH(ROW(A133),Main!$C$4:$C$1048576,0)))="",IF(B135="","",C134),IF(ROW(A133)&gt;MAX(Main!$C$4:$C$1048576),"",INDEX(Main!G$4:G$1048576,MATCH(ROW(A133),Main!$C$4:$C$1048576,0))))</f>
        <v/>
      </c>
      <c r="D135" s="1" t="str">
        <f>IF(IF(ROW(B133)&gt;MAX(Main!$C$4:$C$1048576),"",INDEX(Main!H$4:H$1048576,MATCH(ROW(B133),Main!$C$4:$C$1048576,0)))="",IF(C135="","",D134),IF(ROW(B133)&gt;MAX(Main!$C$4:$C$1048576),"",INDEX(Main!H$4:H$1048576,MATCH(ROW(B133),Main!$C$4:$C$1048576,0))))</f>
        <v/>
      </c>
      <c r="E135" s="1" t="str">
        <f>IF(IF(ROW(C133)&gt;MAX(Main!$C$4:$C$1048576),"",INDEX(Main!I$4:I$1048576,MATCH(ROW(C133),Main!$C$4:$C$1048576,0)))="",IF(D135="","",E134),IF(ROW(C133)&gt;MAX(Main!$C$4:$C$1048576),"",INDEX(Main!I$4:I$1048576,MATCH(ROW(C133),Main!$C$4:$C$1048576,0))))</f>
        <v/>
      </c>
      <c r="F135" s="1" t="str">
        <f t="shared" si="6"/>
        <v/>
      </c>
      <c r="G135" s="1" t="str">
        <f>IF(IF(ROW(D133)&gt;MAX(Main!$C$4:$C$1048576),"",INDEX(Main!J$4:J$1048576,MATCH(ROW(D133),Main!$C$4:$C$1048576,0)))="",IF(E135="","",G134),IF(ROW(D133)&gt;MAX(Main!$C$4:$C$1048576),"",INDEX(Main!J$4:J$1048576,MATCH(ROW(D133),Main!$C$4:$C$1048576,0))))</f>
        <v/>
      </c>
      <c r="H135" s="10" t="str">
        <f>IF(ROW(G133)&gt;MAX(Main!$C$4:$C$1048576),"",INDEX(Main!K$4:K$1048576,MATCH(ROW(G133),Main!$C$4:$C$1048576,0)))</f>
        <v/>
      </c>
      <c r="I135" s="1" t="str">
        <f>IF(H135&lt;&gt;"",IF(ROW(G133)&gt;MAX(Main!$C$4:$C$1048576),"",INDEX(Main!N$4:N$1048576,MATCH(ROW(G133),Main!$C$4:$C$1048576,0))),"")</f>
        <v/>
      </c>
      <c r="J135" s="1" t="str">
        <f>IF(IF(ROW(H133)&gt;MAX(Main!$C$4:$C$1048576),"",INDEX(Main!O$4:O$1048576,MATCH(ROW(H133),Main!$C$4:$C$1048576,0)))="",IF(I135="","",J134),IF(ROW(H133)&gt;MAX(Main!$C$4:$C$1048576),"",INDEX(Main!O$4:O$1048576,MATCH(ROW(H133),Main!$C$4:$C$1048576,0))))</f>
        <v/>
      </c>
      <c r="K135" s="27" t="str">
        <f t="shared" si="7"/>
        <v>例目</v>
      </c>
      <c r="M135" s="4" t="str">
        <f>TEXT(IF(ROW(A133)&gt;MAX(Main!$D$4:$D$1048576),"",INDEX(Main!Q$4:Q$1048576,MATCH(ROW(A133),Main!$D$4:$D$1048576,0))), "yyyy/m/d")</f>
        <v/>
      </c>
      <c r="N135" s="1" t="str">
        <f>IF(IF(ROW(A133)&gt;MAX(Main!$D$4:$D$1048576),"",INDEX(Main!G$4:G$1048576,MATCH(ROW(A133),Main!$D$4:$D$1048576,0)))="",IF(M135="","",N134),IF(ROW(A133)&gt;MAX(Main!$D$4:$D$1048576),"",INDEX(Main!G$4:G$1048576,MATCH(ROW(A133),Main!$D$4:$D$1048576,0))))</f>
        <v/>
      </c>
      <c r="O135" s="1" t="str">
        <f>IF(IF(ROW(B133)&gt;MAX(Main!$D$4:$D$1048576),"",INDEX(Main!H$4:H$1048576,MATCH(ROW(B133),Main!$D$4:$D$1048576,0)))="",IF(N135="","",O134),IF(ROW(B133)&gt;MAX(Main!$D$4:$D$1048576),"",INDEX(Main!H$4:H$1048576,MATCH(ROW(B133),Main!$D$4:$D$1048576,0))))</f>
        <v/>
      </c>
      <c r="P135" s="1" t="str">
        <f>IF(IF(ROW(C133)&gt;MAX(Main!$D$4:$D$1048576),"",INDEX(Main!I$4:I$1048576,MATCH(ROW(C133),Main!$D$4:$D$1048576,0)))="",IF(O135="","",P134),IF(ROW(C133)&gt;MAX(Main!$D$4:$D$1048576),"",INDEX(Main!I$4:I$1048576,MATCH(ROW(C133),Main!$D$4:$D$1048576,0))))</f>
        <v/>
      </c>
      <c r="Q135" s="1" t="str">
        <f t="shared" si="8"/>
        <v/>
      </c>
      <c r="R135" s="1" t="str">
        <f>IF(IF(ROW(D133)&gt;MAX(Main!$D$4:$D$1048576),"",INDEX(Main!J$4:J$1048576,MATCH(ROW(D133),Main!$D$4:$D$1048576,0)))="",IF(P135="","",R134),IF(ROW(D133)&gt;MAX(Main!$D$4:$D$1048576),"",INDEX(Main!J$4:J$1048576,MATCH(ROW(D133),Main!$D$4:$D$1048576,0))))</f>
        <v/>
      </c>
      <c r="S135" s="9" t="str">
        <f>IF(ROW(G133)&gt;MAX(Main!$D$4:$D$1048576),"",INDEX(Main!K$4:K$1048576,MATCH(ROW(G133),Main!$D$4:$D$1048576,0)))</f>
        <v/>
      </c>
      <c r="T135" s="1" t="str">
        <f>IF(S135&lt;&gt;"",IF(ROW(G133)&gt;MAX(Main!$D$4:$D$1048576),"",INDEX(Main!N$4:N$1048576,MATCH(ROW(G133),Main!$D$4:$D$1048576,0))),"")</f>
        <v/>
      </c>
      <c r="U135" s="1" t="str">
        <f>IF(IF(ROW(H133)&gt;MAX(Main!$D$4:$D$1048576),"",INDEX(Main!O$4:O$1048576,MATCH(ROW(H133),Main!$D$4:$D$1048576,0)))="",IF(T135="","",U134),IF(ROW(H133)&gt;MAX(Main!$D$4:$D$1048576),"",INDEX(Main!O$4:O$1048576,MATCH(ROW(H133),Main!$D$4:$D$1048576,0))))</f>
        <v/>
      </c>
    </row>
    <row r="136" spans="1:21" x14ac:dyDescent="0.4">
      <c r="A136" t="s">
        <v>21</v>
      </c>
      <c r="B136" s="4" t="str">
        <f>TEXT(IF(ROW(A134)&gt;MAX(Main!$C$4:$C$1048576),"",INDEX(Main!Q$4:Q$1048576,MATCH(ROW(A134),Main!$C$4:$C$1048576,0))), "yyyy/m/d")</f>
        <v/>
      </c>
      <c r="C136" s="1" t="str">
        <f>IF(IF(ROW(A134)&gt;MAX(Main!$C$4:$C$1048576),"",INDEX(Main!G$4:G$1048576,MATCH(ROW(A134),Main!$C$4:$C$1048576,0)))="",IF(B136="","",C135),IF(ROW(A134)&gt;MAX(Main!$C$4:$C$1048576),"",INDEX(Main!G$4:G$1048576,MATCH(ROW(A134),Main!$C$4:$C$1048576,0))))</f>
        <v/>
      </c>
      <c r="D136" s="1" t="str">
        <f>IF(IF(ROW(B134)&gt;MAX(Main!$C$4:$C$1048576),"",INDEX(Main!H$4:H$1048576,MATCH(ROW(B134),Main!$C$4:$C$1048576,0)))="",IF(C136="","",D135),IF(ROW(B134)&gt;MAX(Main!$C$4:$C$1048576),"",INDEX(Main!H$4:H$1048576,MATCH(ROW(B134),Main!$C$4:$C$1048576,0))))</f>
        <v/>
      </c>
      <c r="E136" s="1" t="str">
        <f>IF(IF(ROW(C134)&gt;MAX(Main!$C$4:$C$1048576),"",INDEX(Main!I$4:I$1048576,MATCH(ROW(C134),Main!$C$4:$C$1048576,0)))="",IF(D136="","",E135),IF(ROW(C134)&gt;MAX(Main!$C$4:$C$1048576),"",INDEX(Main!I$4:I$1048576,MATCH(ROW(C134),Main!$C$4:$C$1048576,0))))</f>
        <v/>
      </c>
      <c r="F136" s="1" t="str">
        <f t="shared" si="6"/>
        <v/>
      </c>
      <c r="G136" s="1" t="str">
        <f>IF(IF(ROW(D134)&gt;MAX(Main!$C$4:$C$1048576),"",INDEX(Main!J$4:J$1048576,MATCH(ROW(D134),Main!$C$4:$C$1048576,0)))="",IF(E136="","",G135),IF(ROW(D134)&gt;MAX(Main!$C$4:$C$1048576),"",INDEX(Main!J$4:J$1048576,MATCH(ROW(D134),Main!$C$4:$C$1048576,0))))</f>
        <v/>
      </c>
      <c r="H136" s="10" t="str">
        <f>IF(ROW(G134)&gt;MAX(Main!$C$4:$C$1048576),"",INDEX(Main!K$4:K$1048576,MATCH(ROW(G134),Main!$C$4:$C$1048576,0)))</f>
        <v/>
      </c>
      <c r="I136" s="1" t="str">
        <f>IF(H136&lt;&gt;"",IF(ROW(G134)&gt;MAX(Main!$C$4:$C$1048576),"",INDEX(Main!N$4:N$1048576,MATCH(ROW(G134),Main!$C$4:$C$1048576,0))),"")</f>
        <v/>
      </c>
      <c r="J136" s="1" t="str">
        <f>IF(IF(ROW(H134)&gt;MAX(Main!$C$4:$C$1048576),"",INDEX(Main!O$4:O$1048576,MATCH(ROW(H134),Main!$C$4:$C$1048576,0)))="",IF(I136="","",J135),IF(ROW(H134)&gt;MAX(Main!$C$4:$C$1048576),"",INDEX(Main!O$4:O$1048576,MATCH(ROW(H134),Main!$C$4:$C$1048576,0))))</f>
        <v/>
      </c>
      <c r="K136" s="27" t="str">
        <f t="shared" si="7"/>
        <v>例目</v>
      </c>
      <c r="M136" s="4" t="str">
        <f>TEXT(IF(ROW(A134)&gt;MAX(Main!$D$4:$D$1048576),"",INDEX(Main!Q$4:Q$1048576,MATCH(ROW(A134),Main!$D$4:$D$1048576,0))), "yyyy/m/d")</f>
        <v/>
      </c>
      <c r="N136" s="1" t="str">
        <f>IF(IF(ROW(A134)&gt;MAX(Main!$D$4:$D$1048576),"",INDEX(Main!G$4:G$1048576,MATCH(ROW(A134),Main!$D$4:$D$1048576,0)))="",IF(M136="","",N135),IF(ROW(A134)&gt;MAX(Main!$D$4:$D$1048576),"",INDEX(Main!G$4:G$1048576,MATCH(ROW(A134),Main!$D$4:$D$1048576,0))))</f>
        <v/>
      </c>
      <c r="O136" s="1" t="str">
        <f>IF(IF(ROW(B134)&gt;MAX(Main!$D$4:$D$1048576),"",INDEX(Main!H$4:H$1048576,MATCH(ROW(B134),Main!$D$4:$D$1048576,0)))="",IF(N136="","",O135),IF(ROW(B134)&gt;MAX(Main!$D$4:$D$1048576),"",INDEX(Main!H$4:H$1048576,MATCH(ROW(B134),Main!$D$4:$D$1048576,0))))</f>
        <v/>
      </c>
      <c r="P136" s="1" t="str">
        <f>IF(IF(ROW(C134)&gt;MAX(Main!$D$4:$D$1048576),"",INDEX(Main!I$4:I$1048576,MATCH(ROW(C134),Main!$D$4:$D$1048576,0)))="",IF(O136="","",P135),IF(ROW(C134)&gt;MAX(Main!$D$4:$D$1048576),"",INDEX(Main!I$4:I$1048576,MATCH(ROW(C134),Main!$D$4:$D$1048576,0))))</f>
        <v/>
      </c>
      <c r="Q136" s="1" t="str">
        <f t="shared" si="8"/>
        <v/>
      </c>
      <c r="R136" s="1" t="str">
        <f>IF(IF(ROW(D134)&gt;MAX(Main!$D$4:$D$1048576),"",INDEX(Main!J$4:J$1048576,MATCH(ROW(D134),Main!$D$4:$D$1048576,0)))="",IF(P136="","",R135),IF(ROW(D134)&gt;MAX(Main!$D$4:$D$1048576),"",INDEX(Main!J$4:J$1048576,MATCH(ROW(D134),Main!$D$4:$D$1048576,0))))</f>
        <v/>
      </c>
      <c r="S136" s="9" t="str">
        <f>IF(ROW(G134)&gt;MAX(Main!$D$4:$D$1048576),"",INDEX(Main!K$4:K$1048576,MATCH(ROW(G134),Main!$D$4:$D$1048576,0)))</f>
        <v/>
      </c>
      <c r="T136" s="1" t="str">
        <f>IF(S136&lt;&gt;"",IF(ROW(G134)&gt;MAX(Main!$D$4:$D$1048576),"",INDEX(Main!N$4:N$1048576,MATCH(ROW(G134),Main!$D$4:$D$1048576,0))),"")</f>
        <v/>
      </c>
      <c r="U136" s="1" t="str">
        <f>IF(IF(ROW(H134)&gt;MAX(Main!$D$4:$D$1048576),"",INDEX(Main!O$4:O$1048576,MATCH(ROW(H134),Main!$D$4:$D$1048576,0)))="",IF(T136="","",U135),IF(ROW(H134)&gt;MAX(Main!$D$4:$D$1048576),"",INDEX(Main!O$4:O$1048576,MATCH(ROW(H134),Main!$D$4:$D$1048576,0))))</f>
        <v/>
      </c>
    </row>
    <row r="137" spans="1:21" x14ac:dyDescent="0.4">
      <c r="A137" t="s">
        <v>21</v>
      </c>
      <c r="B137" s="4" t="str">
        <f>TEXT(IF(ROW(A135)&gt;MAX(Main!$C$4:$C$1048576),"",INDEX(Main!Q$4:Q$1048576,MATCH(ROW(A135),Main!$C$4:$C$1048576,0))), "yyyy/m/d")</f>
        <v/>
      </c>
      <c r="C137" s="1" t="str">
        <f>IF(IF(ROW(A135)&gt;MAX(Main!$C$4:$C$1048576),"",INDEX(Main!G$4:G$1048576,MATCH(ROW(A135),Main!$C$4:$C$1048576,0)))="",IF(B137="","",C136),IF(ROW(A135)&gt;MAX(Main!$C$4:$C$1048576),"",INDEX(Main!G$4:G$1048576,MATCH(ROW(A135),Main!$C$4:$C$1048576,0))))</f>
        <v/>
      </c>
      <c r="D137" s="1" t="str">
        <f>IF(IF(ROW(B135)&gt;MAX(Main!$C$4:$C$1048576),"",INDEX(Main!H$4:H$1048576,MATCH(ROW(B135),Main!$C$4:$C$1048576,0)))="",IF(C137="","",D136),IF(ROW(B135)&gt;MAX(Main!$C$4:$C$1048576),"",INDEX(Main!H$4:H$1048576,MATCH(ROW(B135),Main!$C$4:$C$1048576,0))))</f>
        <v/>
      </c>
      <c r="E137" s="1" t="str">
        <f>IF(IF(ROW(C135)&gt;MAX(Main!$C$4:$C$1048576),"",INDEX(Main!I$4:I$1048576,MATCH(ROW(C135),Main!$C$4:$C$1048576,0)))="",IF(D137="","",E136),IF(ROW(C135)&gt;MAX(Main!$C$4:$C$1048576),"",INDEX(Main!I$4:I$1048576,MATCH(ROW(C135),Main!$C$4:$C$1048576,0))))</f>
        <v/>
      </c>
      <c r="F137" s="1" t="str">
        <f t="shared" si="6"/>
        <v/>
      </c>
      <c r="G137" s="1" t="str">
        <f>IF(IF(ROW(D135)&gt;MAX(Main!$C$4:$C$1048576),"",INDEX(Main!J$4:J$1048576,MATCH(ROW(D135),Main!$C$4:$C$1048576,0)))="",IF(E137="","",G136),IF(ROW(D135)&gt;MAX(Main!$C$4:$C$1048576),"",INDEX(Main!J$4:J$1048576,MATCH(ROW(D135),Main!$C$4:$C$1048576,0))))</f>
        <v/>
      </c>
      <c r="H137" s="10" t="str">
        <f>IF(ROW(G135)&gt;MAX(Main!$C$4:$C$1048576),"",INDEX(Main!K$4:K$1048576,MATCH(ROW(G135),Main!$C$4:$C$1048576,0)))</f>
        <v/>
      </c>
      <c r="I137" s="1" t="str">
        <f>IF(H137&lt;&gt;"",IF(ROW(G135)&gt;MAX(Main!$C$4:$C$1048576),"",INDEX(Main!N$4:N$1048576,MATCH(ROW(G135),Main!$C$4:$C$1048576,0))),"")</f>
        <v/>
      </c>
      <c r="J137" s="1" t="str">
        <f>IF(IF(ROW(H135)&gt;MAX(Main!$C$4:$C$1048576),"",INDEX(Main!O$4:O$1048576,MATCH(ROW(H135),Main!$C$4:$C$1048576,0)))="",IF(I137="","",J136),IF(ROW(H135)&gt;MAX(Main!$C$4:$C$1048576),"",INDEX(Main!O$4:O$1048576,MATCH(ROW(H135),Main!$C$4:$C$1048576,0))))</f>
        <v/>
      </c>
      <c r="K137" s="27" t="str">
        <f t="shared" si="7"/>
        <v>例目</v>
      </c>
      <c r="M137" s="4" t="str">
        <f>TEXT(IF(ROW(A135)&gt;MAX(Main!$D$4:$D$1048576),"",INDEX(Main!Q$4:Q$1048576,MATCH(ROW(A135),Main!$D$4:$D$1048576,0))), "yyyy/m/d")</f>
        <v/>
      </c>
      <c r="N137" s="1" t="str">
        <f>IF(IF(ROW(A135)&gt;MAX(Main!$D$4:$D$1048576),"",INDEX(Main!G$4:G$1048576,MATCH(ROW(A135),Main!$D$4:$D$1048576,0)))="",IF(M137="","",N136),IF(ROW(A135)&gt;MAX(Main!$D$4:$D$1048576),"",INDEX(Main!G$4:G$1048576,MATCH(ROW(A135),Main!$D$4:$D$1048576,0))))</f>
        <v/>
      </c>
      <c r="O137" s="1" t="str">
        <f>IF(IF(ROW(B135)&gt;MAX(Main!$D$4:$D$1048576),"",INDEX(Main!H$4:H$1048576,MATCH(ROW(B135),Main!$D$4:$D$1048576,0)))="",IF(N137="","",O136),IF(ROW(B135)&gt;MAX(Main!$D$4:$D$1048576),"",INDEX(Main!H$4:H$1048576,MATCH(ROW(B135),Main!$D$4:$D$1048576,0))))</f>
        <v/>
      </c>
      <c r="P137" s="1" t="str">
        <f>IF(IF(ROW(C135)&gt;MAX(Main!$D$4:$D$1048576),"",INDEX(Main!I$4:I$1048576,MATCH(ROW(C135),Main!$D$4:$D$1048576,0)))="",IF(O137="","",P136),IF(ROW(C135)&gt;MAX(Main!$D$4:$D$1048576),"",INDEX(Main!I$4:I$1048576,MATCH(ROW(C135),Main!$D$4:$D$1048576,0))))</f>
        <v/>
      </c>
      <c r="Q137" s="1" t="str">
        <f t="shared" si="8"/>
        <v/>
      </c>
      <c r="R137" s="1" t="str">
        <f>IF(IF(ROW(D135)&gt;MAX(Main!$D$4:$D$1048576),"",INDEX(Main!J$4:J$1048576,MATCH(ROW(D135),Main!$D$4:$D$1048576,0)))="",IF(P137="","",R136),IF(ROW(D135)&gt;MAX(Main!$D$4:$D$1048576),"",INDEX(Main!J$4:J$1048576,MATCH(ROW(D135),Main!$D$4:$D$1048576,0))))</f>
        <v/>
      </c>
      <c r="S137" s="9" t="str">
        <f>IF(ROW(G135)&gt;MAX(Main!$D$4:$D$1048576),"",INDEX(Main!K$4:K$1048576,MATCH(ROW(G135),Main!$D$4:$D$1048576,0)))</f>
        <v/>
      </c>
      <c r="T137" s="1" t="str">
        <f>IF(S137&lt;&gt;"",IF(ROW(G135)&gt;MAX(Main!$D$4:$D$1048576),"",INDEX(Main!N$4:N$1048576,MATCH(ROW(G135),Main!$D$4:$D$1048576,0))),"")</f>
        <v/>
      </c>
      <c r="U137" s="1" t="str">
        <f>IF(IF(ROW(H135)&gt;MAX(Main!$D$4:$D$1048576),"",INDEX(Main!O$4:O$1048576,MATCH(ROW(H135),Main!$D$4:$D$1048576,0)))="",IF(T137="","",U136),IF(ROW(H135)&gt;MAX(Main!$D$4:$D$1048576),"",INDEX(Main!O$4:O$1048576,MATCH(ROW(H135),Main!$D$4:$D$1048576,0))))</f>
        <v/>
      </c>
    </row>
    <row r="138" spans="1:21" x14ac:dyDescent="0.4">
      <c r="A138" t="s">
        <v>21</v>
      </c>
      <c r="B138" s="4" t="str">
        <f>TEXT(IF(ROW(A136)&gt;MAX(Main!$C$4:$C$1048576),"",INDEX(Main!Q$4:Q$1048576,MATCH(ROW(A136),Main!$C$4:$C$1048576,0))), "yyyy/m/d")</f>
        <v/>
      </c>
      <c r="C138" s="1" t="str">
        <f>IF(IF(ROW(A136)&gt;MAX(Main!$C$4:$C$1048576),"",INDEX(Main!G$4:G$1048576,MATCH(ROW(A136),Main!$C$4:$C$1048576,0)))="",IF(B138="","",C137),IF(ROW(A136)&gt;MAX(Main!$C$4:$C$1048576),"",INDEX(Main!G$4:G$1048576,MATCH(ROW(A136),Main!$C$4:$C$1048576,0))))</f>
        <v/>
      </c>
      <c r="D138" s="1" t="str">
        <f>IF(IF(ROW(B136)&gt;MAX(Main!$C$4:$C$1048576),"",INDEX(Main!H$4:H$1048576,MATCH(ROW(B136),Main!$C$4:$C$1048576,0)))="",IF(C138="","",D137),IF(ROW(B136)&gt;MAX(Main!$C$4:$C$1048576),"",INDEX(Main!H$4:H$1048576,MATCH(ROW(B136),Main!$C$4:$C$1048576,0))))</f>
        <v/>
      </c>
      <c r="E138" s="1" t="str">
        <f>IF(IF(ROW(C136)&gt;MAX(Main!$C$4:$C$1048576),"",INDEX(Main!I$4:I$1048576,MATCH(ROW(C136),Main!$C$4:$C$1048576,0)))="",IF(D138="","",E137),IF(ROW(C136)&gt;MAX(Main!$C$4:$C$1048576),"",INDEX(Main!I$4:I$1048576,MATCH(ROW(C136),Main!$C$4:$C$1048576,0))))</f>
        <v/>
      </c>
      <c r="F138" s="1" t="str">
        <f t="shared" si="6"/>
        <v/>
      </c>
      <c r="G138" s="1" t="str">
        <f>IF(IF(ROW(D136)&gt;MAX(Main!$C$4:$C$1048576),"",INDEX(Main!J$4:J$1048576,MATCH(ROW(D136),Main!$C$4:$C$1048576,0)))="",IF(E138="","",G137),IF(ROW(D136)&gt;MAX(Main!$C$4:$C$1048576),"",INDEX(Main!J$4:J$1048576,MATCH(ROW(D136),Main!$C$4:$C$1048576,0))))</f>
        <v/>
      </c>
      <c r="H138" s="10" t="str">
        <f>IF(ROW(G136)&gt;MAX(Main!$C$4:$C$1048576),"",INDEX(Main!K$4:K$1048576,MATCH(ROW(G136),Main!$C$4:$C$1048576,0)))</f>
        <v/>
      </c>
      <c r="I138" s="1" t="str">
        <f>IF(H138&lt;&gt;"",IF(ROW(G136)&gt;MAX(Main!$C$4:$C$1048576),"",INDEX(Main!N$4:N$1048576,MATCH(ROW(G136),Main!$C$4:$C$1048576,0))),"")</f>
        <v/>
      </c>
      <c r="J138" s="1" t="str">
        <f>IF(IF(ROW(H136)&gt;MAX(Main!$C$4:$C$1048576),"",INDEX(Main!O$4:O$1048576,MATCH(ROW(H136),Main!$C$4:$C$1048576,0)))="",IF(I138="","",J137),IF(ROW(H136)&gt;MAX(Main!$C$4:$C$1048576),"",INDEX(Main!O$4:O$1048576,MATCH(ROW(H136),Main!$C$4:$C$1048576,0))))</f>
        <v/>
      </c>
      <c r="K138" s="27" t="str">
        <f t="shared" si="7"/>
        <v>例目</v>
      </c>
      <c r="M138" s="4" t="str">
        <f>TEXT(IF(ROW(A136)&gt;MAX(Main!$D$4:$D$1048576),"",INDEX(Main!Q$4:Q$1048576,MATCH(ROW(A136),Main!$D$4:$D$1048576,0))), "yyyy/m/d")</f>
        <v/>
      </c>
      <c r="N138" s="1" t="str">
        <f>IF(IF(ROW(A136)&gt;MAX(Main!$D$4:$D$1048576),"",INDEX(Main!G$4:G$1048576,MATCH(ROW(A136),Main!$D$4:$D$1048576,0)))="",IF(M138="","",N137),IF(ROW(A136)&gt;MAX(Main!$D$4:$D$1048576),"",INDEX(Main!G$4:G$1048576,MATCH(ROW(A136),Main!$D$4:$D$1048576,0))))</f>
        <v/>
      </c>
      <c r="O138" s="1" t="str">
        <f>IF(IF(ROW(B136)&gt;MAX(Main!$D$4:$D$1048576),"",INDEX(Main!H$4:H$1048576,MATCH(ROW(B136),Main!$D$4:$D$1048576,0)))="",IF(N138="","",O137),IF(ROW(B136)&gt;MAX(Main!$D$4:$D$1048576),"",INDEX(Main!H$4:H$1048576,MATCH(ROW(B136),Main!$D$4:$D$1048576,0))))</f>
        <v/>
      </c>
      <c r="P138" s="1" t="str">
        <f>IF(IF(ROW(C136)&gt;MAX(Main!$D$4:$D$1048576),"",INDEX(Main!I$4:I$1048576,MATCH(ROW(C136),Main!$D$4:$D$1048576,0)))="",IF(O138="","",P137),IF(ROW(C136)&gt;MAX(Main!$D$4:$D$1048576),"",INDEX(Main!I$4:I$1048576,MATCH(ROW(C136),Main!$D$4:$D$1048576,0))))</f>
        <v/>
      </c>
      <c r="Q138" s="1" t="str">
        <f t="shared" si="8"/>
        <v/>
      </c>
      <c r="R138" s="1" t="str">
        <f>IF(IF(ROW(D136)&gt;MAX(Main!$D$4:$D$1048576),"",INDEX(Main!J$4:J$1048576,MATCH(ROW(D136),Main!$D$4:$D$1048576,0)))="",IF(P138="","",R137),IF(ROW(D136)&gt;MAX(Main!$D$4:$D$1048576),"",INDEX(Main!J$4:J$1048576,MATCH(ROW(D136),Main!$D$4:$D$1048576,0))))</f>
        <v/>
      </c>
      <c r="S138" s="9" t="str">
        <f>IF(ROW(G136)&gt;MAX(Main!$D$4:$D$1048576),"",INDEX(Main!K$4:K$1048576,MATCH(ROW(G136),Main!$D$4:$D$1048576,0)))</f>
        <v/>
      </c>
      <c r="T138" s="1" t="str">
        <f>IF(S138&lt;&gt;"",IF(ROW(G136)&gt;MAX(Main!$D$4:$D$1048576),"",INDEX(Main!N$4:N$1048576,MATCH(ROW(G136),Main!$D$4:$D$1048576,0))),"")</f>
        <v/>
      </c>
      <c r="U138" s="1" t="str">
        <f>IF(IF(ROW(H136)&gt;MAX(Main!$D$4:$D$1048576),"",INDEX(Main!O$4:O$1048576,MATCH(ROW(H136),Main!$D$4:$D$1048576,0)))="",IF(T138="","",U137),IF(ROW(H136)&gt;MAX(Main!$D$4:$D$1048576),"",INDEX(Main!O$4:O$1048576,MATCH(ROW(H136),Main!$D$4:$D$1048576,0))))</f>
        <v/>
      </c>
    </row>
    <row r="139" spans="1:21" x14ac:dyDescent="0.4">
      <c r="A139" t="s">
        <v>21</v>
      </c>
      <c r="B139" s="4" t="str">
        <f>TEXT(IF(ROW(A137)&gt;MAX(Main!$C$4:$C$1048576),"",INDEX(Main!Q$4:Q$1048576,MATCH(ROW(A137),Main!$C$4:$C$1048576,0))), "yyyy/m/d")</f>
        <v/>
      </c>
      <c r="C139" s="1" t="str">
        <f>IF(IF(ROW(A137)&gt;MAX(Main!$C$4:$C$1048576),"",INDEX(Main!G$4:G$1048576,MATCH(ROW(A137),Main!$C$4:$C$1048576,0)))="",IF(B139="","",C138),IF(ROW(A137)&gt;MAX(Main!$C$4:$C$1048576),"",INDEX(Main!G$4:G$1048576,MATCH(ROW(A137),Main!$C$4:$C$1048576,0))))</f>
        <v/>
      </c>
      <c r="D139" s="1" t="str">
        <f>IF(IF(ROW(B137)&gt;MAX(Main!$C$4:$C$1048576),"",INDEX(Main!H$4:H$1048576,MATCH(ROW(B137),Main!$C$4:$C$1048576,0)))="",IF(C139="","",D138),IF(ROW(B137)&gt;MAX(Main!$C$4:$C$1048576),"",INDEX(Main!H$4:H$1048576,MATCH(ROW(B137),Main!$C$4:$C$1048576,0))))</f>
        <v/>
      </c>
      <c r="E139" s="1" t="str">
        <f>IF(IF(ROW(C137)&gt;MAX(Main!$C$4:$C$1048576),"",INDEX(Main!I$4:I$1048576,MATCH(ROW(C137),Main!$C$4:$C$1048576,0)))="",IF(D139="","",E138),IF(ROW(C137)&gt;MAX(Main!$C$4:$C$1048576),"",INDEX(Main!I$4:I$1048576,MATCH(ROW(C137),Main!$C$4:$C$1048576,0))))</f>
        <v/>
      </c>
      <c r="F139" s="1" t="str">
        <f t="shared" si="6"/>
        <v/>
      </c>
      <c r="G139" s="1" t="str">
        <f>IF(IF(ROW(D137)&gt;MAX(Main!$C$4:$C$1048576),"",INDEX(Main!J$4:J$1048576,MATCH(ROW(D137),Main!$C$4:$C$1048576,0)))="",IF(E139="","",G138),IF(ROW(D137)&gt;MAX(Main!$C$4:$C$1048576),"",INDEX(Main!J$4:J$1048576,MATCH(ROW(D137),Main!$C$4:$C$1048576,0))))</f>
        <v/>
      </c>
      <c r="H139" s="10" t="str">
        <f>IF(ROW(G137)&gt;MAX(Main!$C$4:$C$1048576),"",INDEX(Main!K$4:K$1048576,MATCH(ROW(G137),Main!$C$4:$C$1048576,0)))</f>
        <v/>
      </c>
      <c r="I139" s="1" t="str">
        <f>IF(H139&lt;&gt;"",IF(ROW(G137)&gt;MAX(Main!$C$4:$C$1048576),"",INDEX(Main!N$4:N$1048576,MATCH(ROW(G137),Main!$C$4:$C$1048576,0))),"")</f>
        <v/>
      </c>
      <c r="J139" s="1" t="str">
        <f>IF(IF(ROW(H137)&gt;MAX(Main!$C$4:$C$1048576),"",INDEX(Main!O$4:O$1048576,MATCH(ROW(H137),Main!$C$4:$C$1048576,0)))="",IF(I139="","",J138),IF(ROW(H137)&gt;MAX(Main!$C$4:$C$1048576),"",INDEX(Main!O$4:O$1048576,MATCH(ROW(H137),Main!$C$4:$C$1048576,0))))</f>
        <v/>
      </c>
      <c r="K139" s="27" t="str">
        <f t="shared" si="7"/>
        <v>例目</v>
      </c>
      <c r="M139" s="4" t="str">
        <f>TEXT(IF(ROW(A137)&gt;MAX(Main!$D$4:$D$1048576),"",INDEX(Main!Q$4:Q$1048576,MATCH(ROW(A137),Main!$D$4:$D$1048576,0))), "yyyy/m/d")</f>
        <v/>
      </c>
      <c r="N139" s="1" t="str">
        <f>IF(IF(ROW(A137)&gt;MAX(Main!$D$4:$D$1048576),"",INDEX(Main!G$4:G$1048576,MATCH(ROW(A137),Main!$D$4:$D$1048576,0)))="",IF(M139="","",N138),IF(ROW(A137)&gt;MAX(Main!$D$4:$D$1048576),"",INDEX(Main!G$4:G$1048576,MATCH(ROW(A137),Main!$D$4:$D$1048576,0))))</f>
        <v/>
      </c>
      <c r="O139" s="1" t="str">
        <f>IF(IF(ROW(B137)&gt;MAX(Main!$D$4:$D$1048576),"",INDEX(Main!H$4:H$1048576,MATCH(ROW(B137),Main!$D$4:$D$1048576,0)))="",IF(N139="","",O138),IF(ROW(B137)&gt;MAX(Main!$D$4:$D$1048576),"",INDEX(Main!H$4:H$1048576,MATCH(ROW(B137),Main!$D$4:$D$1048576,0))))</f>
        <v/>
      </c>
      <c r="P139" s="1" t="str">
        <f>IF(IF(ROW(C137)&gt;MAX(Main!$D$4:$D$1048576),"",INDEX(Main!I$4:I$1048576,MATCH(ROW(C137),Main!$D$4:$D$1048576,0)))="",IF(O139="","",P138),IF(ROW(C137)&gt;MAX(Main!$D$4:$D$1048576),"",INDEX(Main!I$4:I$1048576,MATCH(ROW(C137),Main!$D$4:$D$1048576,0))))</f>
        <v/>
      </c>
      <c r="Q139" s="1" t="str">
        <f t="shared" si="8"/>
        <v/>
      </c>
      <c r="R139" s="1" t="str">
        <f>IF(IF(ROW(D137)&gt;MAX(Main!$D$4:$D$1048576),"",INDEX(Main!J$4:J$1048576,MATCH(ROW(D137),Main!$D$4:$D$1048576,0)))="",IF(P139="","",R138),IF(ROW(D137)&gt;MAX(Main!$D$4:$D$1048576),"",INDEX(Main!J$4:J$1048576,MATCH(ROW(D137),Main!$D$4:$D$1048576,0))))</f>
        <v/>
      </c>
      <c r="S139" s="9" t="str">
        <f>IF(ROW(G137)&gt;MAX(Main!$D$4:$D$1048576),"",INDEX(Main!K$4:K$1048576,MATCH(ROW(G137),Main!$D$4:$D$1048576,0)))</f>
        <v/>
      </c>
      <c r="T139" s="1" t="str">
        <f>IF(S139&lt;&gt;"",IF(ROW(G137)&gt;MAX(Main!$D$4:$D$1048576),"",INDEX(Main!N$4:N$1048576,MATCH(ROW(G137),Main!$D$4:$D$1048576,0))),"")</f>
        <v/>
      </c>
      <c r="U139" s="1" t="str">
        <f>IF(IF(ROW(H137)&gt;MAX(Main!$D$4:$D$1048576),"",INDEX(Main!O$4:O$1048576,MATCH(ROW(H137),Main!$D$4:$D$1048576,0)))="",IF(T139="","",U138),IF(ROW(H137)&gt;MAX(Main!$D$4:$D$1048576),"",INDEX(Main!O$4:O$1048576,MATCH(ROW(H137),Main!$D$4:$D$1048576,0))))</f>
        <v/>
      </c>
    </row>
    <row r="140" spans="1:21" x14ac:dyDescent="0.4">
      <c r="A140" t="s">
        <v>21</v>
      </c>
      <c r="B140" s="4" t="str">
        <f>TEXT(IF(ROW(A138)&gt;MAX(Main!$C$4:$C$1048576),"",INDEX(Main!Q$4:Q$1048576,MATCH(ROW(A138),Main!$C$4:$C$1048576,0))), "yyyy/m/d")</f>
        <v/>
      </c>
      <c r="C140" s="1" t="str">
        <f>IF(IF(ROW(A138)&gt;MAX(Main!$C$4:$C$1048576),"",INDEX(Main!G$4:G$1048576,MATCH(ROW(A138),Main!$C$4:$C$1048576,0)))="",IF(B140="","",C139),IF(ROW(A138)&gt;MAX(Main!$C$4:$C$1048576),"",INDEX(Main!G$4:G$1048576,MATCH(ROW(A138),Main!$C$4:$C$1048576,0))))</f>
        <v/>
      </c>
      <c r="D140" s="1" t="str">
        <f>IF(IF(ROW(B138)&gt;MAX(Main!$C$4:$C$1048576),"",INDEX(Main!H$4:H$1048576,MATCH(ROW(B138),Main!$C$4:$C$1048576,0)))="",IF(C140="","",D139),IF(ROW(B138)&gt;MAX(Main!$C$4:$C$1048576),"",INDEX(Main!H$4:H$1048576,MATCH(ROW(B138),Main!$C$4:$C$1048576,0))))</f>
        <v/>
      </c>
      <c r="E140" s="1" t="str">
        <f>IF(IF(ROW(C138)&gt;MAX(Main!$C$4:$C$1048576),"",INDEX(Main!I$4:I$1048576,MATCH(ROW(C138),Main!$C$4:$C$1048576,0)))="",IF(D140="","",E139),IF(ROW(C138)&gt;MAX(Main!$C$4:$C$1048576),"",INDEX(Main!I$4:I$1048576,MATCH(ROW(C138),Main!$C$4:$C$1048576,0))))</f>
        <v/>
      </c>
      <c r="F140" s="1" t="str">
        <f t="shared" si="6"/>
        <v/>
      </c>
      <c r="G140" s="1" t="str">
        <f>IF(IF(ROW(D138)&gt;MAX(Main!$C$4:$C$1048576),"",INDEX(Main!J$4:J$1048576,MATCH(ROW(D138),Main!$C$4:$C$1048576,0)))="",IF(E140="","",G139),IF(ROW(D138)&gt;MAX(Main!$C$4:$C$1048576),"",INDEX(Main!J$4:J$1048576,MATCH(ROW(D138),Main!$C$4:$C$1048576,0))))</f>
        <v/>
      </c>
      <c r="H140" s="10" t="str">
        <f>IF(ROW(G138)&gt;MAX(Main!$C$4:$C$1048576),"",INDEX(Main!K$4:K$1048576,MATCH(ROW(G138),Main!$C$4:$C$1048576,0)))</f>
        <v/>
      </c>
      <c r="I140" s="1" t="str">
        <f>IF(H140&lt;&gt;"",IF(ROW(G138)&gt;MAX(Main!$C$4:$C$1048576),"",INDEX(Main!N$4:N$1048576,MATCH(ROW(G138),Main!$C$4:$C$1048576,0))),"")</f>
        <v/>
      </c>
      <c r="J140" s="1" t="str">
        <f>IF(IF(ROW(H138)&gt;MAX(Main!$C$4:$C$1048576),"",INDEX(Main!O$4:O$1048576,MATCH(ROW(H138),Main!$C$4:$C$1048576,0)))="",IF(I140="","",J139),IF(ROW(H138)&gt;MAX(Main!$C$4:$C$1048576),"",INDEX(Main!O$4:O$1048576,MATCH(ROW(H138),Main!$C$4:$C$1048576,0))))</f>
        <v/>
      </c>
      <c r="K140" s="27" t="str">
        <f t="shared" si="7"/>
        <v>例目</v>
      </c>
      <c r="M140" s="4" t="str">
        <f>TEXT(IF(ROW(A138)&gt;MAX(Main!$D$4:$D$1048576),"",INDEX(Main!Q$4:Q$1048576,MATCH(ROW(A138),Main!$D$4:$D$1048576,0))), "yyyy/m/d")</f>
        <v/>
      </c>
      <c r="N140" s="1" t="str">
        <f>IF(IF(ROW(A138)&gt;MAX(Main!$D$4:$D$1048576),"",INDEX(Main!G$4:G$1048576,MATCH(ROW(A138),Main!$D$4:$D$1048576,0)))="",IF(M140="","",N139),IF(ROW(A138)&gt;MAX(Main!$D$4:$D$1048576),"",INDEX(Main!G$4:G$1048576,MATCH(ROW(A138),Main!$D$4:$D$1048576,0))))</f>
        <v/>
      </c>
      <c r="O140" s="1" t="str">
        <f>IF(IF(ROW(B138)&gt;MAX(Main!$D$4:$D$1048576),"",INDEX(Main!H$4:H$1048576,MATCH(ROW(B138),Main!$D$4:$D$1048576,0)))="",IF(N140="","",O139),IF(ROW(B138)&gt;MAX(Main!$D$4:$D$1048576),"",INDEX(Main!H$4:H$1048576,MATCH(ROW(B138),Main!$D$4:$D$1048576,0))))</f>
        <v/>
      </c>
      <c r="P140" s="1" t="str">
        <f>IF(IF(ROW(C138)&gt;MAX(Main!$D$4:$D$1048576),"",INDEX(Main!I$4:I$1048576,MATCH(ROW(C138),Main!$D$4:$D$1048576,0)))="",IF(O140="","",P139),IF(ROW(C138)&gt;MAX(Main!$D$4:$D$1048576),"",INDEX(Main!I$4:I$1048576,MATCH(ROW(C138),Main!$D$4:$D$1048576,0))))</f>
        <v/>
      </c>
      <c r="Q140" s="1" t="str">
        <f t="shared" si="8"/>
        <v/>
      </c>
      <c r="R140" s="1" t="str">
        <f>IF(IF(ROW(D138)&gt;MAX(Main!$D$4:$D$1048576),"",INDEX(Main!J$4:J$1048576,MATCH(ROW(D138),Main!$D$4:$D$1048576,0)))="",IF(P140="","",R139),IF(ROW(D138)&gt;MAX(Main!$D$4:$D$1048576),"",INDEX(Main!J$4:J$1048576,MATCH(ROW(D138),Main!$D$4:$D$1048576,0))))</f>
        <v/>
      </c>
      <c r="S140" s="9" t="str">
        <f>IF(ROW(G138)&gt;MAX(Main!$D$4:$D$1048576),"",INDEX(Main!K$4:K$1048576,MATCH(ROW(G138),Main!$D$4:$D$1048576,0)))</f>
        <v/>
      </c>
      <c r="T140" s="1" t="str">
        <f>IF(S140&lt;&gt;"",IF(ROW(G138)&gt;MAX(Main!$D$4:$D$1048576),"",INDEX(Main!N$4:N$1048576,MATCH(ROW(G138),Main!$D$4:$D$1048576,0))),"")</f>
        <v/>
      </c>
      <c r="U140" s="1" t="str">
        <f>IF(IF(ROW(H138)&gt;MAX(Main!$D$4:$D$1048576),"",INDEX(Main!O$4:O$1048576,MATCH(ROW(H138),Main!$D$4:$D$1048576,0)))="",IF(T140="","",U139),IF(ROW(H138)&gt;MAX(Main!$D$4:$D$1048576),"",INDEX(Main!O$4:O$1048576,MATCH(ROW(H138),Main!$D$4:$D$1048576,0))))</f>
        <v/>
      </c>
    </row>
    <row r="141" spans="1:21" x14ac:dyDescent="0.4">
      <c r="A141" t="s">
        <v>21</v>
      </c>
      <c r="B141" s="4" t="str">
        <f>TEXT(IF(ROW(A139)&gt;MAX(Main!$C$4:$C$1048576),"",INDEX(Main!Q$4:Q$1048576,MATCH(ROW(A139),Main!$C$4:$C$1048576,0))), "yyyy/m/d")</f>
        <v/>
      </c>
      <c r="C141" s="1" t="str">
        <f>IF(IF(ROW(A139)&gt;MAX(Main!$C$4:$C$1048576),"",INDEX(Main!G$4:G$1048576,MATCH(ROW(A139),Main!$C$4:$C$1048576,0)))="",IF(B141="","",C140),IF(ROW(A139)&gt;MAX(Main!$C$4:$C$1048576),"",INDEX(Main!G$4:G$1048576,MATCH(ROW(A139),Main!$C$4:$C$1048576,0))))</f>
        <v/>
      </c>
      <c r="D141" s="1" t="str">
        <f>IF(IF(ROW(B139)&gt;MAX(Main!$C$4:$C$1048576),"",INDEX(Main!H$4:H$1048576,MATCH(ROW(B139),Main!$C$4:$C$1048576,0)))="",IF(C141="","",D140),IF(ROW(B139)&gt;MAX(Main!$C$4:$C$1048576),"",INDEX(Main!H$4:H$1048576,MATCH(ROW(B139),Main!$C$4:$C$1048576,0))))</f>
        <v/>
      </c>
      <c r="E141" s="1" t="str">
        <f>IF(IF(ROW(C139)&gt;MAX(Main!$C$4:$C$1048576),"",INDEX(Main!I$4:I$1048576,MATCH(ROW(C139),Main!$C$4:$C$1048576,0)))="",IF(D141="","",E140),IF(ROW(C139)&gt;MAX(Main!$C$4:$C$1048576),"",INDEX(Main!I$4:I$1048576,MATCH(ROW(C139),Main!$C$4:$C$1048576,0))))</f>
        <v/>
      </c>
      <c r="F141" s="1" t="str">
        <f t="shared" si="6"/>
        <v/>
      </c>
      <c r="G141" s="1" t="str">
        <f>IF(IF(ROW(D139)&gt;MAX(Main!$C$4:$C$1048576),"",INDEX(Main!J$4:J$1048576,MATCH(ROW(D139),Main!$C$4:$C$1048576,0)))="",IF(E141="","",G140),IF(ROW(D139)&gt;MAX(Main!$C$4:$C$1048576),"",INDEX(Main!J$4:J$1048576,MATCH(ROW(D139),Main!$C$4:$C$1048576,0))))</f>
        <v/>
      </c>
      <c r="H141" s="10" t="str">
        <f>IF(ROW(G139)&gt;MAX(Main!$C$4:$C$1048576),"",INDEX(Main!K$4:K$1048576,MATCH(ROW(G139),Main!$C$4:$C$1048576,0)))</f>
        <v/>
      </c>
      <c r="I141" s="1" t="str">
        <f>IF(H141&lt;&gt;"",IF(ROW(G139)&gt;MAX(Main!$C$4:$C$1048576),"",INDEX(Main!N$4:N$1048576,MATCH(ROW(G139),Main!$C$4:$C$1048576,0))),"")</f>
        <v/>
      </c>
      <c r="J141" s="1" t="str">
        <f>IF(IF(ROW(H139)&gt;MAX(Main!$C$4:$C$1048576),"",INDEX(Main!O$4:O$1048576,MATCH(ROW(H139),Main!$C$4:$C$1048576,0)))="",IF(I141="","",J140),IF(ROW(H139)&gt;MAX(Main!$C$4:$C$1048576),"",INDEX(Main!O$4:O$1048576,MATCH(ROW(H139),Main!$C$4:$C$1048576,0))))</f>
        <v/>
      </c>
      <c r="K141" s="27" t="str">
        <f t="shared" si="7"/>
        <v>例目</v>
      </c>
      <c r="M141" s="4" t="str">
        <f>TEXT(IF(ROW(A139)&gt;MAX(Main!$D$4:$D$1048576),"",INDEX(Main!Q$4:Q$1048576,MATCH(ROW(A139),Main!$D$4:$D$1048576,0))), "yyyy/m/d")</f>
        <v/>
      </c>
      <c r="N141" s="1" t="str">
        <f>IF(IF(ROW(A139)&gt;MAX(Main!$D$4:$D$1048576),"",INDEX(Main!G$4:G$1048576,MATCH(ROW(A139),Main!$D$4:$D$1048576,0)))="",IF(M141="","",N140),IF(ROW(A139)&gt;MAX(Main!$D$4:$D$1048576),"",INDEX(Main!G$4:G$1048576,MATCH(ROW(A139),Main!$D$4:$D$1048576,0))))</f>
        <v/>
      </c>
      <c r="O141" s="1" t="str">
        <f>IF(IF(ROW(B139)&gt;MAX(Main!$D$4:$D$1048576),"",INDEX(Main!H$4:H$1048576,MATCH(ROW(B139),Main!$D$4:$D$1048576,0)))="",IF(N141="","",O140),IF(ROW(B139)&gt;MAX(Main!$D$4:$D$1048576),"",INDEX(Main!H$4:H$1048576,MATCH(ROW(B139),Main!$D$4:$D$1048576,0))))</f>
        <v/>
      </c>
      <c r="P141" s="1" t="str">
        <f>IF(IF(ROW(C139)&gt;MAX(Main!$D$4:$D$1048576),"",INDEX(Main!I$4:I$1048576,MATCH(ROW(C139),Main!$D$4:$D$1048576,0)))="",IF(O141="","",P140),IF(ROW(C139)&gt;MAX(Main!$D$4:$D$1048576),"",INDEX(Main!I$4:I$1048576,MATCH(ROW(C139),Main!$D$4:$D$1048576,0))))</f>
        <v/>
      </c>
      <c r="Q141" s="1" t="str">
        <f t="shared" si="8"/>
        <v/>
      </c>
      <c r="R141" s="1" t="str">
        <f>IF(IF(ROW(D139)&gt;MAX(Main!$D$4:$D$1048576),"",INDEX(Main!J$4:J$1048576,MATCH(ROW(D139),Main!$D$4:$D$1048576,0)))="",IF(P141="","",R140),IF(ROW(D139)&gt;MAX(Main!$D$4:$D$1048576),"",INDEX(Main!J$4:J$1048576,MATCH(ROW(D139),Main!$D$4:$D$1048576,0))))</f>
        <v/>
      </c>
      <c r="S141" s="9" t="str">
        <f>IF(ROW(G139)&gt;MAX(Main!$D$4:$D$1048576),"",INDEX(Main!K$4:K$1048576,MATCH(ROW(G139),Main!$D$4:$D$1048576,0)))</f>
        <v/>
      </c>
      <c r="T141" s="1" t="str">
        <f>IF(S141&lt;&gt;"",IF(ROW(G139)&gt;MAX(Main!$D$4:$D$1048576),"",INDEX(Main!N$4:N$1048576,MATCH(ROW(G139),Main!$D$4:$D$1048576,0))),"")</f>
        <v/>
      </c>
      <c r="U141" s="1" t="str">
        <f>IF(IF(ROW(H139)&gt;MAX(Main!$D$4:$D$1048576),"",INDEX(Main!O$4:O$1048576,MATCH(ROW(H139),Main!$D$4:$D$1048576,0)))="",IF(T141="","",U140),IF(ROW(H139)&gt;MAX(Main!$D$4:$D$1048576),"",INDEX(Main!O$4:O$1048576,MATCH(ROW(H139),Main!$D$4:$D$1048576,0))))</f>
        <v/>
      </c>
    </row>
    <row r="142" spans="1:21" x14ac:dyDescent="0.4">
      <c r="A142" t="s">
        <v>21</v>
      </c>
      <c r="B142" s="4" t="str">
        <f>TEXT(IF(ROW(A140)&gt;MAX(Main!$C$4:$C$1048576),"",INDEX(Main!Q$4:Q$1048576,MATCH(ROW(A140),Main!$C$4:$C$1048576,0))), "yyyy/m/d")</f>
        <v/>
      </c>
      <c r="C142" s="1" t="str">
        <f>IF(IF(ROW(A140)&gt;MAX(Main!$C$4:$C$1048576),"",INDEX(Main!G$4:G$1048576,MATCH(ROW(A140),Main!$C$4:$C$1048576,0)))="",IF(B142="","",C141),IF(ROW(A140)&gt;MAX(Main!$C$4:$C$1048576),"",INDEX(Main!G$4:G$1048576,MATCH(ROW(A140),Main!$C$4:$C$1048576,0))))</f>
        <v/>
      </c>
      <c r="D142" s="1" t="str">
        <f>IF(IF(ROW(B140)&gt;MAX(Main!$C$4:$C$1048576),"",INDEX(Main!H$4:H$1048576,MATCH(ROW(B140),Main!$C$4:$C$1048576,0)))="",IF(C142="","",D141),IF(ROW(B140)&gt;MAX(Main!$C$4:$C$1048576),"",INDEX(Main!H$4:H$1048576,MATCH(ROW(B140),Main!$C$4:$C$1048576,0))))</f>
        <v/>
      </c>
      <c r="E142" s="1" t="str">
        <f>IF(IF(ROW(C140)&gt;MAX(Main!$C$4:$C$1048576),"",INDEX(Main!I$4:I$1048576,MATCH(ROW(C140),Main!$C$4:$C$1048576,0)))="",IF(D142="","",E141),IF(ROW(C140)&gt;MAX(Main!$C$4:$C$1048576),"",INDEX(Main!I$4:I$1048576,MATCH(ROW(C140),Main!$C$4:$C$1048576,0))))</f>
        <v/>
      </c>
      <c r="F142" s="1" t="str">
        <f t="shared" si="6"/>
        <v/>
      </c>
      <c r="G142" s="1" t="str">
        <f>IF(IF(ROW(D140)&gt;MAX(Main!$C$4:$C$1048576),"",INDEX(Main!J$4:J$1048576,MATCH(ROW(D140),Main!$C$4:$C$1048576,0)))="",IF(E142="","",G141),IF(ROW(D140)&gt;MAX(Main!$C$4:$C$1048576),"",INDEX(Main!J$4:J$1048576,MATCH(ROW(D140),Main!$C$4:$C$1048576,0))))</f>
        <v/>
      </c>
      <c r="H142" s="10" t="str">
        <f>IF(ROW(G140)&gt;MAX(Main!$C$4:$C$1048576),"",INDEX(Main!K$4:K$1048576,MATCH(ROW(G140),Main!$C$4:$C$1048576,0)))</f>
        <v/>
      </c>
      <c r="I142" s="1" t="str">
        <f>IF(H142&lt;&gt;"",IF(ROW(G140)&gt;MAX(Main!$C$4:$C$1048576),"",INDEX(Main!N$4:N$1048576,MATCH(ROW(G140),Main!$C$4:$C$1048576,0))),"")</f>
        <v/>
      </c>
      <c r="J142" s="1" t="str">
        <f>IF(IF(ROW(H140)&gt;MAX(Main!$C$4:$C$1048576),"",INDEX(Main!O$4:O$1048576,MATCH(ROW(H140),Main!$C$4:$C$1048576,0)))="",IF(I142="","",J141),IF(ROW(H140)&gt;MAX(Main!$C$4:$C$1048576),"",INDEX(Main!O$4:O$1048576,MATCH(ROW(H140),Main!$C$4:$C$1048576,0))))</f>
        <v/>
      </c>
      <c r="K142" s="27" t="str">
        <f t="shared" si="7"/>
        <v>例目</v>
      </c>
      <c r="M142" s="4" t="str">
        <f>TEXT(IF(ROW(A140)&gt;MAX(Main!$D$4:$D$1048576),"",INDEX(Main!Q$4:Q$1048576,MATCH(ROW(A140),Main!$D$4:$D$1048576,0))), "yyyy/m/d")</f>
        <v/>
      </c>
      <c r="N142" s="1" t="str">
        <f>IF(IF(ROW(A140)&gt;MAX(Main!$D$4:$D$1048576),"",INDEX(Main!G$4:G$1048576,MATCH(ROW(A140),Main!$D$4:$D$1048576,0)))="",IF(M142="","",N141),IF(ROW(A140)&gt;MAX(Main!$D$4:$D$1048576),"",INDEX(Main!G$4:G$1048576,MATCH(ROW(A140),Main!$D$4:$D$1048576,0))))</f>
        <v/>
      </c>
      <c r="O142" s="1" t="str">
        <f>IF(IF(ROW(B140)&gt;MAX(Main!$D$4:$D$1048576),"",INDEX(Main!H$4:H$1048576,MATCH(ROW(B140),Main!$D$4:$D$1048576,0)))="",IF(N142="","",O141),IF(ROW(B140)&gt;MAX(Main!$D$4:$D$1048576),"",INDEX(Main!H$4:H$1048576,MATCH(ROW(B140),Main!$D$4:$D$1048576,0))))</f>
        <v/>
      </c>
      <c r="P142" s="1" t="str">
        <f>IF(IF(ROW(C140)&gt;MAX(Main!$D$4:$D$1048576),"",INDEX(Main!I$4:I$1048576,MATCH(ROW(C140),Main!$D$4:$D$1048576,0)))="",IF(O142="","",P141),IF(ROW(C140)&gt;MAX(Main!$D$4:$D$1048576),"",INDEX(Main!I$4:I$1048576,MATCH(ROW(C140),Main!$D$4:$D$1048576,0))))</f>
        <v/>
      </c>
      <c r="Q142" s="1" t="str">
        <f t="shared" si="8"/>
        <v/>
      </c>
      <c r="R142" s="1" t="str">
        <f>IF(IF(ROW(D140)&gt;MAX(Main!$D$4:$D$1048576),"",INDEX(Main!J$4:J$1048576,MATCH(ROW(D140),Main!$D$4:$D$1048576,0)))="",IF(P142="","",R141),IF(ROW(D140)&gt;MAX(Main!$D$4:$D$1048576),"",INDEX(Main!J$4:J$1048576,MATCH(ROW(D140),Main!$D$4:$D$1048576,0))))</f>
        <v/>
      </c>
      <c r="S142" s="9" t="str">
        <f>IF(ROW(G140)&gt;MAX(Main!$D$4:$D$1048576),"",INDEX(Main!K$4:K$1048576,MATCH(ROW(G140),Main!$D$4:$D$1048576,0)))</f>
        <v/>
      </c>
      <c r="T142" s="1" t="str">
        <f>IF(S142&lt;&gt;"",IF(ROW(G140)&gt;MAX(Main!$D$4:$D$1048576),"",INDEX(Main!N$4:N$1048576,MATCH(ROW(G140),Main!$D$4:$D$1048576,0))),"")</f>
        <v/>
      </c>
      <c r="U142" s="1" t="str">
        <f>IF(IF(ROW(H140)&gt;MAX(Main!$D$4:$D$1048576),"",INDEX(Main!O$4:O$1048576,MATCH(ROW(H140),Main!$D$4:$D$1048576,0)))="",IF(T142="","",U141),IF(ROW(H140)&gt;MAX(Main!$D$4:$D$1048576),"",INDEX(Main!O$4:O$1048576,MATCH(ROW(H140),Main!$D$4:$D$1048576,0))))</f>
        <v/>
      </c>
    </row>
    <row r="143" spans="1:21" x14ac:dyDescent="0.4">
      <c r="A143" t="s">
        <v>21</v>
      </c>
      <c r="B143" s="4" t="str">
        <f>TEXT(IF(ROW(A141)&gt;MAX(Main!$C$4:$C$1048576),"",INDEX(Main!Q$4:Q$1048576,MATCH(ROW(A141),Main!$C$4:$C$1048576,0))), "yyyy/m/d")</f>
        <v/>
      </c>
      <c r="C143" s="1" t="str">
        <f>IF(IF(ROW(A141)&gt;MAX(Main!$C$4:$C$1048576),"",INDEX(Main!G$4:G$1048576,MATCH(ROW(A141),Main!$C$4:$C$1048576,0)))="",IF(B143="","",C142),IF(ROW(A141)&gt;MAX(Main!$C$4:$C$1048576),"",INDEX(Main!G$4:G$1048576,MATCH(ROW(A141),Main!$C$4:$C$1048576,0))))</f>
        <v/>
      </c>
      <c r="D143" s="1" t="str">
        <f>IF(IF(ROW(B141)&gt;MAX(Main!$C$4:$C$1048576),"",INDEX(Main!H$4:H$1048576,MATCH(ROW(B141),Main!$C$4:$C$1048576,0)))="",IF(C143="","",D142),IF(ROW(B141)&gt;MAX(Main!$C$4:$C$1048576),"",INDEX(Main!H$4:H$1048576,MATCH(ROW(B141),Main!$C$4:$C$1048576,0))))</f>
        <v/>
      </c>
      <c r="E143" s="1" t="str">
        <f>IF(IF(ROW(C141)&gt;MAX(Main!$C$4:$C$1048576),"",INDEX(Main!I$4:I$1048576,MATCH(ROW(C141),Main!$C$4:$C$1048576,0)))="",IF(D143="","",E142),IF(ROW(C141)&gt;MAX(Main!$C$4:$C$1048576),"",INDEX(Main!I$4:I$1048576,MATCH(ROW(C141),Main!$C$4:$C$1048576,0))))</f>
        <v/>
      </c>
      <c r="F143" s="1" t="str">
        <f t="shared" si="6"/>
        <v/>
      </c>
      <c r="G143" s="1" t="str">
        <f>IF(IF(ROW(D141)&gt;MAX(Main!$C$4:$C$1048576),"",INDEX(Main!J$4:J$1048576,MATCH(ROW(D141),Main!$C$4:$C$1048576,0)))="",IF(E143="","",G142),IF(ROW(D141)&gt;MAX(Main!$C$4:$C$1048576),"",INDEX(Main!J$4:J$1048576,MATCH(ROW(D141),Main!$C$4:$C$1048576,0))))</f>
        <v/>
      </c>
      <c r="H143" s="10" t="str">
        <f>IF(ROW(G141)&gt;MAX(Main!$C$4:$C$1048576),"",INDEX(Main!K$4:K$1048576,MATCH(ROW(G141),Main!$C$4:$C$1048576,0)))</f>
        <v/>
      </c>
      <c r="I143" s="1" t="str">
        <f>IF(H143&lt;&gt;"",IF(ROW(G141)&gt;MAX(Main!$C$4:$C$1048576),"",INDEX(Main!N$4:N$1048576,MATCH(ROW(G141),Main!$C$4:$C$1048576,0))),"")</f>
        <v/>
      </c>
      <c r="J143" s="1" t="str">
        <f>IF(IF(ROW(H141)&gt;MAX(Main!$C$4:$C$1048576),"",INDEX(Main!O$4:O$1048576,MATCH(ROW(H141),Main!$C$4:$C$1048576,0)))="",IF(I143="","",J142),IF(ROW(H141)&gt;MAX(Main!$C$4:$C$1048576),"",INDEX(Main!O$4:O$1048576,MATCH(ROW(H141),Main!$C$4:$C$1048576,0))))</f>
        <v/>
      </c>
      <c r="K143" s="27" t="str">
        <f t="shared" si="7"/>
        <v>例目</v>
      </c>
      <c r="M143" s="4" t="str">
        <f>TEXT(IF(ROW(A141)&gt;MAX(Main!$D$4:$D$1048576),"",INDEX(Main!Q$4:Q$1048576,MATCH(ROW(A141),Main!$D$4:$D$1048576,0))), "yyyy/m/d")</f>
        <v/>
      </c>
      <c r="N143" s="1" t="str">
        <f>IF(IF(ROW(A141)&gt;MAX(Main!$D$4:$D$1048576),"",INDEX(Main!G$4:G$1048576,MATCH(ROW(A141),Main!$D$4:$D$1048576,0)))="",IF(M143="","",N142),IF(ROW(A141)&gt;MAX(Main!$D$4:$D$1048576),"",INDEX(Main!G$4:G$1048576,MATCH(ROW(A141),Main!$D$4:$D$1048576,0))))</f>
        <v/>
      </c>
      <c r="O143" s="1" t="str">
        <f>IF(IF(ROW(B141)&gt;MAX(Main!$D$4:$D$1048576),"",INDEX(Main!H$4:H$1048576,MATCH(ROW(B141),Main!$D$4:$D$1048576,0)))="",IF(N143="","",O142),IF(ROW(B141)&gt;MAX(Main!$D$4:$D$1048576),"",INDEX(Main!H$4:H$1048576,MATCH(ROW(B141),Main!$D$4:$D$1048576,0))))</f>
        <v/>
      </c>
      <c r="P143" s="1" t="str">
        <f>IF(IF(ROW(C141)&gt;MAX(Main!$D$4:$D$1048576),"",INDEX(Main!I$4:I$1048576,MATCH(ROW(C141),Main!$D$4:$D$1048576,0)))="",IF(O143="","",P142),IF(ROW(C141)&gt;MAX(Main!$D$4:$D$1048576),"",INDEX(Main!I$4:I$1048576,MATCH(ROW(C141),Main!$D$4:$D$1048576,0))))</f>
        <v/>
      </c>
      <c r="Q143" s="1" t="str">
        <f t="shared" si="8"/>
        <v/>
      </c>
      <c r="R143" s="1" t="str">
        <f>IF(IF(ROW(D141)&gt;MAX(Main!$D$4:$D$1048576),"",INDEX(Main!J$4:J$1048576,MATCH(ROW(D141),Main!$D$4:$D$1048576,0)))="",IF(P143="","",R142),IF(ROW(D141)&gt;MAX(Main!$D$4:$D$1048576),"",INDEX(Main!J$4:J$1048576,MATCH(ROW(D141),Main!$D$4:$D$1048576,0))))</f>
        <v/>
      </c>
      <c r="S143" s="9" t="str">
        <f>IF(ROW(G141)&gt;MAX(Main!$D$4:$D$1048576),"",INDEX(Main!K$4:K$1048576,MATCH(ROW(G141),Main!$D$4:$D$1048576,0)))</f>
        <v/>
      </c>
      <c r="T143" s="1" t="str">
        <f>IF(S143&lt;&gt;"",IF(ROW(G141)&gt;MAX(Main!$D$4:$D$1048576),"",INDEX(Main!N$4:N$1048576,MATCH(ROW(G141),Main!$D$4:$D$1048576,0))),"")</f>
        <v/>
      </c>
      <c r="U143" s="1" t="str">
        <f>IF(IF(ROW(H141)&gt;MAX(Main!$D$4:$D$1048576),"",INDEX(Main!O$4:O$1048576,MATCH(ROW(H141),Main!$D$4:$D$1048576,0)))="",IF(T143="","",U142),IF(ROW(H141)&gt;MAX(Main!$D$4:$D$1048576),"",INDEX(Main!O$4:O$1048576,MATCH(ROW(H141),Main!$D$4:$D$1048576,0))))</f>
        <v/>
      </c>
    </row>
    <row r="144" spans="1:21" x14ac:dyDescent="0.4">
      <c r="A144" t="s">
        <v>21</v>
      </c>
      <c r="B144" s="4" t="str">
        <f>TEXT(IF(ROW(A142)&gt;MAX(Main!$C$4:$C$1048576),"",INDEX(Main!Q$4:Q$1048576,MATCH(ROW(A142),Main!$C$4:$C$1048576,0))), "yyyy/m/d")</f>
        <v/>
      </c>
      <c r="C144" s="1" t="str">
        <f>IF(IF(ROW(A142)&gt;MAX(Main!$C$4:$C$1048576),"",INDEX(Main!G$4:G$1048576,MATCH(ROW(A142),Main!$C$4:$C$1048576,0)))="",IF(B144="","",C143),IF(ROW(A142)&gt;MAX(Main!$C$4:$C$1048576),"",INDEX(Main!G$4:G$1048576,MATCH(ROW(A142),Main!$C$4:$C$1048576,0))))</f>
        <v/>
      </c>
      <c r="D144" s="1" t="str">
        <f>IF(IF(ROW(B142)&gt;MAX(Main!$C$4:$C$1048576),"",INDEX(Main!H$4:H$1048576,MATCH(ROW(B142),Main!$C$4:$C$1048576,0)))="",IF(C144="","",D143),IF(ROW(B142)&gt;MAX(Main!$C$4:$C$1048576),"",INDEX(Main!H$4:H$1048576,MATCH(ROW(B142),Main!$C$4:$C$1048576,0))))</f>
        <v/>
      </c>
      <c r="E144" s="1" t="str">
        <f>IF(IF(ROW(C142)&gt;MAX(Main!$C$4:$C$1048576),"",INDEX(Main!I$4:I$1048576,MATCH(ROW(C142),Main!$C$4:$C$1048576,0)))="",IF(D144="","",E143),IF(ROW(C142)&gt;MAX(Main!$C$4:$C$1048576),"",INDEX(Main!I$4:I$1048576,MATCH(ROW(C142),Main!$C$4:$C$1048576,0))))</f>
        <v/>
      </c>
      <c r="F144" s="1" t="str">
        <f t="shared" si="6"/>
        <v/>
      </c>
      <c r="G144" s="1" t="str">
        <f>IF(IF(ROW(D142)&gt;MAX(Main!$C$4:$C$1048576),"",INDEX(Main!J$4:J$1048576,MATCH(ROW(D142),Main!$C$4:$C$1048576,0)))="",IF(E144="","",G143),IF(ROW(D142)&gt;MAX(Main!$C$4:$C$1048576),"",INDEX(Main!J$4:J$1048576,MATCH(ROW(D142),Main!$C$4:$C$1048576,0))))</f>
        <v/>
      </c>
      <c r="H144" s="10" t="str">
        <f>IF(ROW(G142)&gt;MAX(Main!$C$4:$C$1048576),"",INDEX(Main!K$4:K$1048576,MATCH(ROW(G142),Main!$C$4:$C$1048576,0)))</f>
        <v/>
      </c>
      <c r="I144" s="1" t="str">
        <f>IF(H144&lt;&gt;"",IF(ROW(G142)&gt;MAX(Main!$C$4:$C$1048576),"",INDEX(Main!N$4:N$1048576,MATCH(ROW(G142),Main!$C$4:$C$1048576,0))),"")</f>
        <v/>
      </c>
      <c r="J144" s="1" t="str">
        <f>IF(IF(ROW(H142)&gt;MAX(Main!$C$4:$C$1048576),"",INDEX(Main!O$4:O$1048576,MATCH(ROW(H142),Main!$C$4:$C$1048576,0)))="",IF(I144="","",J143),IF(ROW(H142)&gt;MAX(Main!$C$4:$C$1048576),"",INDEX(Main!O$4:O$1048576,MATCH(ROW(H142),Main!$C$4:$C$1048576,0))))</f>
        <v/>
      </c>
      <c r="K144" s="27" t="str">
        <f t="shared" si="7"/>
        <v>例目</v>
      </c>
      <c r="M144" s="4" t="str">
        <f>TEXT(IF(ROW(A142)&gt;MAX(Main!$D$4:$D$1048576),"",INDEX(Main!Q$4:Q$1048576,MATCH(ROW(A142),Main!$D$4:$D$1048576,0))), "yyyy/m/d")</f>
        <v/>
      </c>
      <c r="N144" s="1" t="str">
        <f>IF(IF(ROW(A142)&gt;MAX(Main!$D$4:$D$1048576),"",INDEX(Main!G$4:G$1048576,MATCH(ROW(A142),Main!$D$4:$D$1048576,0)))="",IF(M144="","",N143),IF(ROW(A142)&gt;MAX(Main!$D$4:$D$1048576),"",INDEX(Main!G$4:G$1048576,MATCH(ROW(A142),Main!$D$4:$D$1048576,0))))</f>
        <v/>
      </c>
      <c r="O144" s="1" t="str">
        <f>IF(IF(ROW(B142)&gt;MAX(Main!$D$4:$D$1048576),"",INDEX(Main!H$4:H$1048576,MATCH(ROW(B142),Main!$D$4:$D$1048576,0)))="",IF(N144="","",O143),IF(ROW(B142)&gt;MAX(Main!$D$4:$D$1048576),"",INDEX(Main!H$4:H$1048576,MATCH(ROW(B142),Main!$D$4:$D$1048576,0))))</f>
        <v/>
      </c>
      <c r="P144" s="1" t="str">
        <f>IF(IF(ROW(C142)&gt;MAX(Main!$D$4:$D$1048576),"",INDEX(Main!I$4:I$1048576,MATCH(ROW(C142),Main!$D$4:$D$1048576,0)))="",IF(O144="","",P143),IF(ROW(C142)&gt;MAX(Main!$D$4:$D$1048576),"",INDEX(Main!I$4:I$1048576,MATCH(ROW(C142),Main!$D$4:$D$1048576,0))))</f>
        <v/>
      </c>
      <c r="Q144" s="1" t="str">
        <f t="shared" si="8"/>
        <v/>
      </c>
      <c r="R144" s="1" t="str">
        <f>IF(IF(ROW(D142)&gt;MAX(Main!$D$4:$D$1048576),"",INDEX(Main!J$4:J$1048576,MATCH(ROW(D142),Main!$D$4:$D$1048576,0)))="",IF(P144="","",R143),IF(ROW(D142)&gt;MAX(Main!$D$4:$D$1048576),"",INDEX(Main!J$4:J$1048576,MATCH(ROW(D142),Main!$D$4:$D$1048576,0))))</f>
        <v/>
      </c>
      <c r="S144" s="9" t="str">
        <f>IF(ROW(G142)&gt;MAX(Main!$D$4:$D$1048576),"",INDEX(Main!K$4:K$1048576,MATCH(ROW(G142),Main!$D$4:$D$1048576,0)))</f>
        <v/>
      </c>
      <c r="T144" s="1" t="str">
        <f>IF(S144&lt;&gt;"",IF(ROW(G142)&gt;MAX(Main!$D$4:$D$1048576),"",INDEX(Main!N$4:N$1048576,MATCH(ROW(G142),Main!$D$4:$D$1048576,0))),"")</f>
        <v/>
      </c>
      <c r="U144" s="1" t="str">
        <f>IF(IF(ROW(H142)&gt;MAX(Main!$D$4:$D$1048576),"",INDEX(Main!O$4:O$1048576,MATCH(ROW(H142),Main!$D$4:$D$1048576,0)))="",IF(T144="","",U143),IF(ROW(H142)&gt;MAX(Main!$D$4:$D$1048576),"",INDEX(Main!O$4:O$1048576,MATCH(ROW(H142),Main!$D$4:$D$1048576,0))))</f>
        <v/>
      </c>
    </row>
    <row r="145" spans="1:21" x14ac:dyDescent="0.4">
      <c r="A145" t="s">
        <v>21</v>
      </c>
      <c r="B145" s="4" t="str">
        <f>TEXT(IF(ROW(A143)&gt;MAX(Main!$C$4:$C$1048576),"",INDEX(Main!Q$4:Q$1048576,MATCH(ROW(A143),Main!$C$4:$C$1048576,0))), "yyyy/m/d")</f>
        <v/>
      </c>
      <c r="C145" s="1" t="str">
        <f>IF(IF(ROW(A143)&gt;MAX(Main!$C$4:$C$1048576),"",INDEX(Main!G$4:G$1048576,MATCH(ROW(A143),Main!$C$4:$C$1048576,0)))="",IF(B145="","",C144),IF(ROW(A143)&gt;MAX(Main!$C$4:$C$1048576),"",INDEX(Main!G$4:G$1048576,MATCH(ROW(A143),Main!$C$4:$C$1048576,0))))</f>
        <v/>
      </c>
      <c r="D145" s="1" t="str">
        <f>IF(IF(ROW(B143)&gt;MAX(Main!$C$4:$C$1048576),"",INDEX(Main!H$4:H$1048576,MATCH(ROW(B143),Main!$C$4:$C$1048576,0)))="",IF(C145="","",D144),IF(ROW(B143)&gt;MAX(Main!$C$4:$C$1048576),"",INDEX(Main!H$4:H$1048576,MATCH(ROW(B143),Main!$C$4:$C$1048576,0))))</f>
        <v/>
      </c>
      <c r="E145" s="1" t="str">
        <f>IF(IF(ROW(C143)&gt;MAX(Main!$C$4:$C$1048576),"",INDEX(Main!I$4:I$1048576,MATCH(ROW(C143),Main!$C$4:$C$1048576,0)))="",IF(D145="","",E144),IF(ROW(C143)&gt;MAX(Main!$C$4:$C$1048576),"",INDEX(Main!I$4:I$1048576,MATCH(ROW(C143),Main!$C$4:$C$1048576,0))))</f>
        <v/>
      </c>
      <c r="F145" s="1" t="str">
        <f t="shared" si="6"/>
        <v/>
      </c>
      <c r="G145" s="1" t="str">
        <f>IF(IF(ROW(D143)&gt;MAX(Main!$C$4:$C$1048576),"",INDEX(Main!J$4:J$1048576,MATCH(ROW(D143),Main!$C$4:$C$1048576,0)))="",IF(E145="","",G144),IF(ROW(D143)&gt;MAX(Main!$C$4:$C$1048576),"",INDEX(Main!J$4:J$1048576,MATCH(ROW(D143),Main!$C$4:$C$1048576,0))))</f>
        <v/>
      </c>
      <c r="H145" s="10" t="str">
        <f>IF(ROW(G143)&gt;MAX(Main!$C$4:$C$1048576),"",INDEX(Main!K$4:K$1048576,MATCH(ROW(G143),Main!$C$4:$C$1048576,0)))</f>
        <v/>
      </c>
      <c r="I145" s="1" t="str">
        <f>IF(H145&lt;&gt;"",IF(ROW(G143)&gt;MAX(Main!$C$4:$C$1048576),"",INDEX(Main!N$4:N$1048576,MATCH(ROW(G143),Main!$C$4:$C$1048576,0))),"")</f>
        <v/>
      </c>
      <c r="J145" s="1" t="str">
        <f>IF(IF(ROW(H143)&gt;MAX(Main!$C$4:$C$1048576),"",INDEX(Main!O$4:O$1048576,MATCH(ROW(H143),Main!$C$4:$C$1048576,0)))="",IF(I145="","",J144),IF(ROW(H143)&gt;MAX(Main!$C$4:$C$1048576),"",INDEX(Main!O$4:O$1048576,MATCH(ROW(H143),Main!$C$4:$C$1048576,0))))</f>
        <v/>
      </c>
      <c r="K145" s="27" t="str">
        <f t="shared" si="7"/>
        <v>例目</v>
      </c>
      <c r="M145" s="4" t="str">
        <f>TEXT(IF(ROW(A143)&gt;MAX(Main!$D$4:$D$1048576),"",INDEX(Main!Q$4:Q$1048576,MATCH(ROW(A143),Main!$D$4:$D$1048576,0))), "yyyy/m/d")</f>
        <v/>
      </c>
      <c r="N145" s="1" t="str">
        <f>IF(IF(ROW(A143)&gt;MAX(Main!$D$4:$D$1048576),"",INDEX(Main!G$4:G$1048576,MATCH(ROW(A143),Main!$D$4:$D$1048576,0)))="",IF(M145="","",N144),IF(ROW(A143)&gt;MAX(Main!$D$4:$D$1048576),"",INDEX(Main!G$4:G$1048576,MATCH(ROW(A143),Main!$D$4:$D$1048576,0))))</f>
        <v/>
      </c>
      <c r="O145" s="1" t="str">
        <f>IF(IF(ROW(B143)&gt;MAX(Main!$D$4:$D$1048576),"",INDEX(Main!H$4:H$1048576,MATCH(ROW(B143),Main!$D$4:$D$1048576,0)))="",IF(N145="","",O144),IF(ROW(B143)&gt;MAX(Main!$D$4:$D$1048576),"",INDEX(Main!H$4:H$1048576,MATCH(ROW(B143),Main!$D$4:$D$1048576,0))))</f>
        <v/>
      </c>
      <c r="P145" s="1" t="str">
        <f>IF(IF(ROW(C143)&gt;MAX(Main!$D$4:$D$1048576),"",INDEX(Main!I$4:I$1048576,MATCH(ROW(C143),Main!$D$4:$D$1048576,0)))="",IF(O145="","",P144),IF(ROW(C143)&gt;MAX(Main!$D$4:$D$1048576),"",INDEX(Main!I$4:I$1048576,MATCH(ROW(C143),Main!$D$4:$D$1048576,0))))</f>
        <v/>
      </c>
      <c r="Q145" s="1" t="str">
        <f t="shared" si="8"/>
        <v/>
      </c>
      <c r="R145" s="1" t="str">
        <f>IF(IF(ROW(D143)&gt;MAX(Main!$D$4:$D$1048576),"",INDEX(Main!J$4:J$1048576,MATCH(ROW(D143),Main!$D$4:$D$1048576,0)))="",IF(P145="","",R144),IF(ROW(D143)&gt;MAX(Main!$D$4:$D$1048576),"",INDEX(Main!J$4:J$1048576,MATCH(ROW(D143),Main!$D$4:$D$1048576,0))))</f>
        <v/>
      </c>
      <c r="S145" s="9" t="str">
        <f>IF(ROW(G143)&gt;MAX(Main!$D$4:$D$1048576),"",INDEX(Main!K$4:K$1048576,MATCH(ROW(G143),Main!$D$4:$D$1048576,0)))</f>
        <v/>
      </c>
      <c r="T145" s="1" t="str">
        <f>IF(S145&lt;&gt;"",IF(ROW(G143)&gt;MAX(Main!$D$4:$D$1048576),"",INDEX(Main!N$4:N$1048576,MATCH(ROW(G143),Main!$D$4:$D$1048576,0))),"")</f>
        <v/>
      </c>
      <c r="U145" s="1" t="str">
        <f>IF(IF(ROW(H143)&gt;MAX(Main!$D$4:$D$1048576),"",INDEX(Main!O$4:O$1048576,MATCH(ROW(H143),Main!$D$4:$D$1048576,0)))="",IF(T145="","",U144),IF(ROW(H143)&gt;MAX(Main!$D$4:$D$1048576),"",INDEX(Main!O$4:O$1048576,MATCH(ROW(H143),Main!$D$4:$D$1048576,0))))</f>
        <v/>
      </c>
    </row>
    <row r="146" spans="1:21" x14ac:dyDescent="0.4">
      <c r="A146" t="s">
        <v>21</v>
      </c>
      <c r="B146" s="4" t="str">
        <f>TEXT(IF(ROW(A144)&gt;MAX(Main!$C$4:$C$1048576),"",INDEX(Main!Q$4:Q$1048576,MATCH(ROW(A144),Main!$C$4:$C$1048576,0))), "yyyy/m/d")</f>
        <v/>
      </c>
      <c r="C146" s="1" t="str">
        <f>IF(IF(ROW(A144)&gt;MAX(Main!$C$4:$C$1048576),"",INDEX(Main!G$4:G$1048576,MATCH(ROW(A144),Main!$C$4:$C$1048576,0)))="",IF(B146="","",C145),IF(ROW(A144)&gt;MAX(Main!$C$4:$C$1048576),"",INDEX(Main!G$4:G$1048576,MATCH(ROW(A144),Main!$C$4:$C$1048576,0))))</f>
        <v/>
      </c>
      <c r="D146" s="1" t="str">
        <f>IF(IF(ROW(B144)&gt;MAX(Main!$C$4:$C$1048576),"",INDEX(Main!H$4:H$1048576,MATCH(ROW(B144),Main!$C$4:$C$1048576,0)))="",IF(C146="","",D145),IF(ROW(B144)&gt;MAX(Main!$C$4:$C$1048576),"",INDEX(Main!H$4:H$1048576,MATCH(ROW(B144),Main!$C$4:$C$1048576,0))))</f>
        <v/>
      </c>
      <c r="E146" s="1" t="str">
        <f>IF(IF(ROW(C144)&gt;MAX(Main!$C$4:$C$1048576),"",INDEX(Main!I$4:I$1048576,MATCH(ROW(C144),Main!$C$4:$C$1048576,0)))="",IF(D146="","",E145),IF(ROW(C144)&gt;MAX(Main!$C$4:$C$1048576),"",INDEX(Main!I$4:I$1048576,MATCH(ROW(C144),Main!$C$4:$C$1048576,0))))</f>
        <v/>
      </c>
      <c r="F146" s="1" t="str">
        <f t="shared" si="6"/>
        <v/>
      </c>
      <c r="G146" s="1" t="str">
        <f>IF(IF(ROW(D144)&gt;MAX(Main!$C$4:$C$1048576),"",INDEX(Main!J$4:J$1048576,MATCH(ROW(D144),Main!$C$4:$C$1048576,0)))="",IF(E146="","",G145),IF(ROW(D144)&gt;MAX(Main!$C$4:$C$1048576),"",INDEX(Main!J$4:J$1048576,MATCH(ROW(D144),Main!$C$4:$C$1048576,0))))</f>
        <v/>
      </c>
      <c r="H146" s="10" t="str">
        <f>IF(ROW(G144)&gt;MAX(Main!$C$4:$C$1048576),"",INDEX(Main!K$4:K$1048576,MATCH(ROW(G144),Main!$C$4:$C$1048576,0)))</f>
        <v/>
      </c>
      <c r="I146" s="1" t="str">
        <f>IF(H146&lt;&gt;"",IF(ROW(G144)&gt;MAX(Main!$C$4:$C$1048576),"",INDEX(Main!N$4:N$1048576,MATCH(ROW(G144),Main!$C$4:$C$1048576,0))),"")</f>
        <v/>
      </c>
      <c r="J146" s="1" t="str">
        <f>IF(IF(ROW(H144)&gt;MAX(Main!$C$4:$C$1048576),"",INDEX(Main!O$4:O$1048576,MATCH(ROW(H144),Main!$C$4:$C$1048576,0)))="",IF(I146="","",J145),IF(ROW(H144)&gt;MAX(Main!$C$4:$C$1048576),"",INDEX(Main!O$4:O$1048576,MATCH(ROW(H144),Main!$C$4:$C$1048576,0))))</f>
        <v/>
      </c>
      <c r="K146" s="27" t="str">
        <f t="shared" si="7"/>
        <v>例目</v>
      </c>
      <c r="M146" s="4" t="str">
        <f>TEXT(IF(ROW(A144)&gt;MAX(Main!$D$4:$D$1048576),"",INDEX(Main!Q$4:Q$1048576,MATCH(ROW(A144),Main!$D$4:$D$1048576,0))), "yyyy/m/d")</f>
        <v/>
      </c>
      <c r="N146" s="1" t="str">
        <f>IF(IF(ROW(A144)&gt;MAX(Main!$D$4:$D$1048576),"",INDEX(Main!G$4:G$1048576,MATCH(ROW(A144),Main!$D$4:$D$1048576,0)))="",IF(M146="","",N145),IF(ROW(A144)&gt;MAX(Main!$D$4:$D$1048576),"",INDEX(Main!G$4:G$1048576,MATCH(ROW(A144),Main!$D$4:$D$1048576,0))))</f>
        <v/>
      </c>
      <c r="O146" s="1" t="str">
        <f>IF(IF(ROW(B144)&gt;MAX(Main!$D$4:$D$1048576),"",INDEX(Main!H$4:H$1048576,MATCH(ROW(B144),Main!$D$4:$D$1048576,0)))="",IF(N146="","",O145),IF(ROW(B144)&gt;MAX(Main!$D$4:$D$1048576),"",INDEX(Main!H$4:H$1048576,MATCH(ROW(B144),Main!$D$4:$D$1048576,0))))</f>
        <v/>
      </c>
      <c r="P146" s="1" t="str">
        <f>IF(IF(ROW(C144)&gt;MAX(Main!$D$4:$D$1048576),"",INDEX(Main!I$4:I$1048576,MATCH(ROW(C144),Main!$D$4:$D$1048576,0)))="",IF(O146="","",P145),IF(ROW(C144)&gt;MAX(Main!$D$4:$D$1048576),"",INDEX(Main!I$4:I$1048576,MATCH(ROW(C144),Main!$D$4:$D$1048576,0))))</f>
        <v/>
      </c>
      <c r="Q146" s="1" t="str">
        <f t="shared" si="8"/>
        <v/>
      </c>
      <c r="R146" s="1" t="str">
        <f>IF(IF(ROW(D144)&gt;MAX(Main!$D$4:$D$1048576),"",INDEX(Main!J$4:J$1048576,MATCH(ROW(D144),Main!$D$4:$D$1048576,0)))="",IF(P146="","",R145),IF(ROW(D144)&gt;MAX(Main!$D$4:$D$1048576),"",INDEX(Main!J$4:J$1048576,MATCH(ROW(D144),Main!$D$4:$D$1048576,0))))</f>
        <v/>
      </c>
      <c r="S146" s="9" t="str">
        <f>IF(ROW(G144)&gt;MAX(Main!$D$4:$D$1048576),"",INDEX(Main!K$4:K$1048576,MATCH(ROW(G144),Main!$D$4:$D$1048576,0)))</f>
        <v/>
      </c>
      <c r="T146" s="1" t="str">
        <f>IF(S146&lt;&gt;"",IF(ROW(G144)&gt;MAX(Main!$D$4:$D$1048576),"",INDEX(Main!N$4:N$1048576,MATCH(ROW(G144),Main!$D$4:$D$1048576,0))),"")</f>
        <v/>
      </c>
      <c r="U146" s="1" t="str">
        <f>IF(IF(ROW(H144)&gt;MAX(Main!$D$4:$D$1048576),"",INDEX(Main!O$4:O$1048576,MATCH(ROW(H144),Main!$D$4:$D$1048576,0)))="",IF(T146="","",U145),IF(ROW(H144)&gt;MAX(Main!$D$4:$D$1048576),"",INDEX(Main!O$4:O$1048576,MATCH(ROW(H144),Main!$D$4:$D$1048576,0))))</f>
        <v/>
      </c>
    </row>
    <row r="147" spans="1:21" x14ac:dyDescent="0.4">
      <c r="A147" t="s">
        <v>21</v>
      </c>
      <c r="B147" s="4" t="str">
        <f>TEXT(IF(ROW(A145)&gt;MAX(Main!$C$4:$C$1048576),"",INDEX(Main!Q$4:Q$1048576,MATCH(ROW(A145),Main!$C$4:$C$1048576,0))), "yyyy/m/d")</f>
        <v/>
      </c>
      <c r="C147" s="1" t="str">
        <f>IF(IF(ROW(A145)&gt;MAX(Main!$C$4:$C$1048576),"",INDEX(Main!G$4:G$1048576,MATCH(ROW(A145),Main!$C$4:$C$1048576,0)))="",IF(B147="","",C146),IF(ROW(A145)&gt;MAX(Main!$C$4:$C$1048576),"",INDEX(Main!G$4:G$1048576,MATCH(ROW(A145),Main!$C$4:$C$1048576,0))))</f>
        <v/>
      </c>
      <c r="D147" s="1" t="str">
        <f>IF(IF(ROW(B145)&gt;MAX(Main!$C$4:$C$1048576),"",INDEX(Main!H$4:H$1048576,MATCH(ROW(B145),Main!$C$4:$C$1048576,0)))="",IF(C147="","",D146),IF(ROW(B145)&gt;MAX(Main!$C$4:$C$1048576),"",INDEX(Main!H$4:H$1048576,MATCH(ROW(B145),Main!$C$4:$C$1048576,0))))</f>
        <v/>
      </c>
      <c r="E147" s="1" t="str">
        <f>IF(IF(ROW(C145)&gt;MAX(Main!$C$4:$C$1048576),"",INDEX(Main!I$4:I$1048576,MATCH(ROW(C145),Main!$C$4:$C$1048576,0)))="",IF(D147="","",E146),IF(ROW(C145)&gt;MAX(Main!$C$4:$C$1048576),"",INDEX(Main!I$4:I$1048576,MATCH(ROW(C145),Main!$C$4:$C$1048576,0))))</f>
        <v/>
      </c>
      <c r="F147" s="1" t="str">
        <f t="shared" si="6"/>
        <v/>
      </c>
      <c r="G147" s="1" t="str">
        <f>IF(IF(ROW(D145)&gt;MAX(Main!$C$4:$C$1048576),"",INDEX(Main!J$4:J$1048576,MATCH(ROW(D145),Main!$C$4:$C$1048576,0)))="",IF(E147="","",G146),IF(ROW(D145)&gt;MAX(Main!$C$4:$C$1048576),"",INDEX(Main!J$4:J$1048576,MATCH(ROW(D145),Main!$C$4:$C$1048576,0))))</f>
        <v/>
      </c>
      <c r="H147" s="10" t="str">
        <f>IF(ROW(G145)&gt;MAX(Main!$C$4:$C$1048576),"",INDEX(Main!K$4:K$1048576,MATCH(ROW(G145),Main!$C$4:$C$1048576,0)))</f>
        <v/>
      </c>
      <c r="I147" s="1" t="str">
        <f>IF(H147&lt;&gt;"",IF(ROW(G145)&gt;MAX(Main!$C$4:$C$1048576),"",INDEX(Main!N$4:N$1048576,MATCH(ROW(G145),Main!$C$4:$C$1048576,0))),"")</f>
        <v/>
      </c>
      <c r="J147" s="1" t="str">
        <f>IF(IF(ROW(H145)&gt;MAX(Main!$C$4:$C$1048576),"",INDEX(Main!O$4:O$1048576,MATCH(ROW(H145),Main!$C$4:$C$1048576,0)))="",IF(I147="","",J146),IF(ROW(H145)&gt;MAX(Main!$C$4:$C$1048576),"",INDEX(Main!O$4:O$1048576,MATCH(ROW(H145),Main!$C$4:$C$1048576,0))))</f>
        <v/>
      </c>
      <c r="K147" s="27" t="str">
        <f t="shared" si="7"/>
        <v>例目</v>
      </c>
      <c r="M147" s="4" t="str">
        <f>TEXT(IF(ROW(A145)&gt;MAX(Main!$D$4:$D$1048576),"",INDEX(Main!Q$4:Q$1048576,MATCH(ROW(A145),Main!$D$4:$D$1048576,0))), "yyyy/m/d")</f>
        <v/>
      </c>
      <c r="N147" s="1" t="str">
        <f>IF(IF(ROW(A145)&gt;MAX(Main!$D$4:$D$1048576),"",INDEX(Main!G$4:G$1048576,MATCH(ROW(A145),Main!$D$4:$D$1048576,0)))="",IF(M147="","",N146),IF(ROW(A145)&gt;MAX(Main!$D$4:$D$1048576),"",INDEX(Main!G$4:G$1048576,MATCH(ROW(A145),Main!$D$4:$D$1048576,0))))</f>
        <v/>
      </c>
      <c r="O147" s="1" t="str">
        <f>IF(IF(ROW(B145)&gt;MAX(Main!$D$4:$D$1048576),"",INDEX(Main!H$4:H$1048576,MATCH(ROW(B145),Main!$D$4:$D$1048576,0)))="",IF(N147="","",O146),IF(ROW(B145)&gt;MAX(Main!$D$4:$D$1048576),"",INDEX(Main!H$4:H$1048576,MATCH(ROW(B145),Main!$D$4:$D$1048576,0))))</f>
        <v/>
      </c>
      <c r="P147" s="1" t="str">
        <f>IF(IF(ROW(C145)&gt;MAX(Main!$D$4:$D$1048576),"",INDEX(Main!I$4:I$1048576,MATCH(ROW(C145),Main!$D$4:$D$1048576,0)))="",IF(O147="","",P146),IF(ROW(C145)&gt;MAX(Main!$D$4:$D$1048576),"",INDEX(Main!I$4:I$1048576,MATCH(ROW(C145),Main!$D$4:$D$1048576,0))))</f>
        <v/>
      </c>
      <c r="Q147" s="1" t="str">
        <f t="shared" si="8"/>
        <v/>
      </c>
      <c r="R147" s="1" t="str">
        <f>IF(IF(ROW(D145)&gt;MAX(Main!$D$4:$D$1048576),"",INDEX(Main!J$4:J$1048576,MATCH(ROW(D145),Main!$D$4:$D$1048576,0)))="",IF(P147="","",R146),IF(ROW(D145)&gt;MAX(Main!$D$4:$D$1048576),"",INDEX(Main!J$4:J$1048576,MATCH(ROW(D145),Main!$D$4:$D$1048576,0))))</f>
        <v/>
      </c>
      <c r="S147" s="9" t="str">
        <f>IF(ROW(G145)&gt;MAX(Main!$D$4:$D$1048576),"",INDEX(Main!K$4:K$1048576,MATCH(ROW(G145),Main!$D$4:$D$1048576,0)))</f>
        <v/>
      </c>
      <c r="T147" s="1" t="str">
        <f>IF(S147&lt;&gt;"",IF(ROW(G145)&gt;MAX(Main!$D$4:$D$1048576),"",INDEX(Main!N$4:N$1048576,MATCH(ROW(G145),Main!$D$4:$D$1048576,0))),"")</f>
        <v/>
      </c>
      <c r="U147" s="1" t="str">
        <f>IF(IF(ROW(H145)&gt;MAX(Main!$D$4:$D$1048576),"",INDEX(Main!O$4:O$1048576,MATCH(ROW(H145),Main!$D$4:$D$1048576,0)))="",IF(T147="","",U146),IF(ROW(H145)&gt;MAX(Main!$D$4:$D$1048576),"",INDEX(Main!O$4:O$1048576,MATCH(ROW(H145),Main!$D$4:$D$1048576,0))))</f>
        <v/>
      </c>
    </row>
    <row r="148" spans="1:21" x14ac:dyDescent="0.4">
      <c r="A148" t="s">
        <v>21</v>
      </c>
      <c r="B148" s="4" t="str">
        <f>TEXT(IF(ROW(A146)&gt;MAX(Main!$C$4:$C$1048576),"",INDEX(Main!Q$4:Q$1048576,MATCH(ROW(A146),Main!$C$4:$C$1048576,0))), "yyyy/m/d")</f>
        <v/>
      </c>
      <c r="C148" s="1" t="str">
        <f>IF(IF(ROW(A146)&gt;MAX(Main!$C$4:$C$1048576),"",INDEX(Main!G$4:G$1048576,MATCH(ROW(A146),Main!$C$4:$C$1048576,0)))="",IF(B148="","",C147),IF(ROW(A146)&gt;MAX(Main!$C$4:$C$1048576),"",INDEX(Main!G$4:G$1048576,MATCH(ROW(A146),Main!$C$4:$C$1048576,0))))</f>
        <v/>
      </c>
      <c r="D148" s="1" t="str">
        <f>IF(IF(ROW(B146)&gt;MAX(Main!$C$4:$C$1048576),"",INDEX(Main!H$4:H$1048576,MATCH(ROW(B146),Main!$C$4:$C$1048576,0)))="",IF(C148="","",D147),IF(ROW(B146)&gt;MAX(Main!$C$4:$C$1048576),"",INDEX(Main!H$4:H$1048576,MATCH(ROW(B146),Main!$C$4:$C$1048576,0))))</f>
        <v/>
      </c>
      <c r="E148" s="1" t="str">
        <f>IF(IF(ROW(C146)&gt;MAX(Main!$C$4:$C$1048576),"",INDEX(Main!I$4:I$1048576,MATCH(ROW(C146),Main!$C$4:$C$1048576,0)))="",IF(D148="","",E147),IF(ROW(C146)&gt;MAX(Main!$C$4:$C$1048576),"",INDEX(Main!I$4:I$1048576,MATCH(ROW(C146),Main!$C$4:$C$1048576,0))))</f>
        <v/>
      </c>
      <c r="F148" s="1" t="str">
        <f t="shared" si="6"/>
        <v/>
      </c>
      <c r="G148" s="1" t="str">
        <f>IF(IF(ROW(D146)&gt;MAX(Main!$C$4:$C$1048576),"",INDEX(Main!J$4:J$1048576,MATCH(ROW(D146),Main!$C$4:$C$1048576,0)))="",IF(E148="","",G147),IF(ROW(D146)&gt;MAX(Main!$C$4:$C$1048576),"",INDEX(Main!J$4:J$1048576,MATCH(ROW(D146),Main!$C$4:$C$1048576,0))))</f>
        <v/>
      </c>
      <c r="H148" s="10" t="str">
        <f>IF(ROW(G146)&gt;MAX(Main!$C$4:$C$1048576),"",INDEX(Main!K$4:K$1048576,MATCH(ROW(G146),Main!$C$4:$C$1048576,0)))</f>
        <v/>
      </c>
      <c r="I148" s="1" t="str">
        <f>IF(H148&lt;&gt;"",IF(ROW(G146)&gt;MAX(Main!$C$4:$C$1048576),"",INDEX(Main!N$4:N$1048576,MATCH(ROW(G146),Main!$C$4:$C$1048576,0))),"")</f>
        <v/>
      </c>
      <c r="J148" s="1" t="str">
        <f>IF(IF(ROW(H146)&gt;MAX(Main!$C$4:$C$1048576),"",INDEX(Main!O$4:O$1048576,MATCH(ROW(H146),Main!$C$4:$C$1048576,0)))="",IF(I148="","",J147),IF(ROW(H146)&gt;MAX(Main!$C$4:$C$1048576),"",INDEX(Main!O$4:O$1048576,MATCH(ROW(H146),Main!$C$4:$C$1048576,0))))</f>
        <v/>
      </c>
      <c r="K148" s="27" t="str">
        <f t="shared" si="7"/>
        <v>例目</v>
      </c>
      <c r="M148" s="4" t="str">
        <f>TEXT(IF(ROW(A146)&gt;MAX(Main!$D$4:$D$1048576),"",INDEX(Main!Q$4:Q$1048576,MATCH(ROW(A146),Main!$D$4:$D$1048576,0))), "yyyy/m/d")</f>
        <v/>
      </c>
      <c r="N148" s="1" t="str">
        <f>IF(IF(ROW(A146)&gt;MAX(Main!$D$4:$D$1048576),"",INDEX(Main!G$4:G$1048576,MATCH(ROW(A146),Main!$D$4:$D$1048576,0)))="",IF(M148="","",N147),IF(ROW(A146)&gt;MAX(Main!$D$4:$D$1048576),"",INDEX(Main!G$4:G$1048576,MATCH(ROW(A146),Main!$D$4:$D$1048576,0))))</f>
        <v/>
      </c>
      <c r="O148" s="1" t="str">
        <f>IF(IF(ROW(B146)&gt;MAX(Main!$D$4:$D$1048576),"",INDEX(Main!H$4:H$1048576,MATCH(ROW(B146),Main!$D$4:$D$1048576,0)))="",IF(N148="","",O147),IF(ROW(B146)&gt;MAX(Main!$D$4:$D$1048576),"",INDEX(Main!H$4:H$1048576,MATCH(ROW(B146),Main!$D$4:$D$1048576,0))))</f>
        <v/>
      </c>
      <c r="P148" s="1" t="str">
        <f>IF(IF(ROW(C146)&gt;MAX(Main!$D$4:$D$1048576),"",INDEX(Main!I$4:I$1048576,MATCH(ROW(C146),Main!$D$4:$D$1048576,0)))="",IF(O148="","",P147),IF(ROW(C146)&gt;MAX(Main!$D$4:$D$1048576),"",INDEX(Main!I$4:I$1048576,MATCH(ROW(C146),Main!$D$4:$D$1048576,0))))</f>
        <v/>
      </c>
      <c r="Q148" s="1" t="str">
        <f t="shared" si="8"/>
        <v/>
      </c>
      <c r="R148" s="1" t="str">
        <f>IF(IF(ROW(D146)&gt;MAX(Main!$D$4:$D$1048576),"",INDEX(Main!J$4:J$1048576,MATCH(ROW(D146),Main!$D$4:$D$1048576,0)))="",IF(P148="","",R147),IF(ROW(D146)&gt;MAX(Main!$D$4:$D$1048576),"",INDEX(Main!J$4:J$1048576,MATCH(ROW(D146),Main!$D$4:$D$1048576,0))))</f>
        <v/>
      </c>
      <c r="S148" s="9" t="str">
        <f>IF(ROW(G146)&gt;MAX(Main!$D$4:$D$1048576),"",INDEX(Main!K$4:K$1048576,MATCH(ROW(G146),Main!$D$4:$D$1048576,0)))</f>
        <v/>
      </c>
      <c r="T148" s="1" t="str">
        <f>IF(S148&lt;&gt;"",IF(ROW(G146)&gt;MAX(Main!$D$4:$D$1048576),"",INDEX(Main!N$4:N$1048576,MATCH(ROW(G146),Main!$D$4:$D$1048576,0))),"")</f>
        <v/>
      </c>
      <c r="U148" s="1" t="str">
        <f>IF(IF(ROW(H146)&gt;MAX(Main!$D$4:$D$1048576),"",INDEX(Main!O$4:O$1048576,MATCH(ROW(H146),Main!$D$4:$D$1048576,0)))="",IF(T148="","",U147),IF(ROW(H146)&gt;MAX(Main!$D$4:$D$1048576),"",INDEX(Main!O$4:O$1048576,MATCH(ROW(H146),Main!$D$4:$D$1048576,0))))</f>
        <v/>
      </c>
    </row>
    <row r="149" spans="1:21" x14ac:dyDescent="0.4">
      <c r="A149" t="s">
        <v>21</v>
      </c>
      <c r="B149" s="4" t="str">
        <f>TEXT(IF(ROW(A147)&gt;MAX(Main!$C$4:$C$1048576),"",INDEX(Main!Q$4:Q$1048576,MATCH(ROW(A147),Main!$C$4:$C$1048576,0))), "yyyy/m/d")</f>
        <v/>
      </c>
      <c r="C149" s="1" t="str">
        <f>IF(IF(ROW(A147)&gt;MAX(Main!$C$4:$C$1048576),"",INDEX(Main!G$4:G$1048576,MATCH(ROW(A147),Main!$C$4:$C$1048576,0)))="",IF(B149="","",C148),IF(ROW(A147)&gt;MAX(Main!$C$4:$C$1048576),"",INDEX(Main!G$4:G$1048576,MATCH(ROW(A147),Main!$C$4:$C$1048576,0))))</f>
        <v/>
      </c>
      <c r="D149" s="1" t="str">
        <f>IF(IF(ROW(B147)&gt;MAX(Main!$C$4:$C$1048576),"",INDEX(Main!H$4:H$1048576,MATCH(ROW(B147),Main!$C$4:$C$1048576,0)))="",IF(C149="","",D148),IF(ROW(B147)&gt;MAX(Main!$C$4:$C$1048576),"",INDEX(Main!H$4:H$1048576,MATCH(ROW(B147),Main!$C$4:$C$1048576,0))))</f>
        <v/>
      </c>
      <c r="E149" s="1" t="str">
        <f>IF(IF(ROW(C147)&gt;MAX(Main!$C$4:$C$1048576),"",INDEX(Main!I$4:I$1048576,MATCH(ROW(C147),Main!$C$4:$C$1048576,0)))="",IF(D149="","",E148),IF(ROW(C147)&gt;MAX(Main!$C$4:$C$1048576),"",INDEX(Main!I$4:I$1048576,MATCH(ROW(C147),Main!$C$4:$C$1048576,0))))</f>
        <v/>
      </c>
      <c r="F149" s="1" t="str">
        <f t="shared" si="6"/>
        <v/>
      </c>
      <c r="G149" s="1" t="str">
        <f>IF(IF(ROW(D147)&gt;MAX(Main!$C$4:$C$1048576),"",INDEX(Main!J$4:J$1048576,MATCH(ROW(D147),Main!$C$4:$C$1048576,0)))="",IF(E149="","",G148),IF(ROW(D147)&gt;MAX(Main!$C$4:$C$1048576),"",INDEX(Main!J$4:J$1048576,MATCH(ROW(D147),Main!$C$4:$C$1048576,0))))</f>
        <v/>
      </c>
      <c r="H149" s="10" t="str">
        <f>IF(ROW(G147)&gt;MAX(Main!$C$4:$C$1048576),"",INDEX(Main!K$4:K$1048576,MATCH(ROW(G147),Main!$C$4:$C$1048576,0)))</f>
        <v/>
      </c>
      <c r="I149" s="1" t="str">
        <f>IF(H149&lt;&gt;"",IF(ROW(G147)&gt;MAX(Main!$C$4:$C$1048576),"",INDEX(Main!N$4:N$1048576,MATCH(ROW(G147),Main!$C$4:$C$1048576,0))),"")</f>
        <v/>
      </c>
      <c r="J149" s="1" t="str">
        <f>IF(IF(ROW(H147)&gt;MAX(Main!$C$4:$C$1048576),"",INDEX(Main!O$4:O$1048576,MATCH(ROW(H147),Main!$C$4:$C$1048576,0)))="",IF(I149="","",J148),IF(ROW(H147)&gt;MAX(Main!$C$4:$C$1048576),"",INDEX(Main!O$4:O$1048576,MATCH(ROW(H147),Main!$C$4:$C$1048576,0))))</f>
        <v/>
      </c>
      <c r="K149" s="27" t="str">
        <f t="shared" si="7"/>
        <v>例目</v>
      </c>
      <c r="M149" s="4" t="str">
        <f>TEXT(IF(ROW(A147)&gt;MAX(Main!$D$4:$D$1048576),"",INDEX(Main!Q$4:Q$1048576,MATCH(ROW(A147),Main!$D$4:$D$1048576,0))), "yyyy/m/d")</f>
        <v/>
      </c>
      <c r="N149" s="1" t="str">
        <f>IF(IF(ROW(A147)&gt;MAX(Main!$D$4:$D$1048576),"",INDEX(Main!G$4:G$1048576,MATCH(ROW(A147),Main!$D$4:$D$1048576,0)))="",IF(M149="","",N148),IF(ROW(A147)&gt;MAX(Main!$D$4:$D$1048576),"",INDEX(Main!G$4:G$1048576,MATCH(ROW(A147),Main!$D$4:$D$1048576,0))))</f>
        <v/>
      </c>
      <c r="O149" s="1" t="str">
        <f>IF(IF(ROW(B147)&gt;MAX(Main!$D$4:$D$1048576),"",INDEX(Main!H$4:H$1048576,MATCH(ROW(B147),Main!$D$4:$D$1048576,0)))="",IF(N149="","",O148),IF(ROW(B147)&gt;MAX(Main!$D$4:$D$1048576),"",INDEX(Main!H$4:H$1048576,MATCH(ROW(B147),Main!$D$4:$D$1048576,0))))</f>
        <v/>
      </c>
      <c r="P149" s="1" t="str">
        <f>IF(IF(ROW(C147)&gt;MAX(Main!$D$4:$D$1048576),"",INDEX(Main!I$4:I$1048576,MATCH(ROW(C147),Main!$D$4:$D$1048576,0)))="",IF(O149="","",P148),IF(ROW(C147)&gt;MAX(Main!$D$4:$D$1048576),"",INDEX(Main!I$4:I$1048576,MATCH(ROW(C147),Main!$D$4:$D$1048576,0))))</f>
        <v/>
      </c>
      <c r="Q149" s="1" t="str">
        <f t="shared" si="8"/>
        <v/>
      </c>
      <c r="R149" s="1" t="str">
        <f>IF(IF(ROW(D147)&gt;MAX(Main!$D$4:$D$1048576),"",INDEX(Main!J$4:J$1048576,MATCH(ROW(D147),Main!$D$4:$D$1048576,0)))="",IF(P149="","",R148),IF(ROW(D147)&gt;MAX(Main!$D$4:$D$1048576),"",INDEX(Main!J$4:J$1048576,MATCH(ROW(D147),Main!$D$4:$D$1048576,0))))</f>
        <v/>
      </c>
      <c r="S149" s="9" t="str">
        <f>IF(ROW(G147)&gt;MAX(Main!$D$4:$D$1048576),"",INDEX(Main!K$4:K$1048576,MATCH(ROW(G147),Main!$D$4:$D$1048576,0)))</f>
        <v/>
      </c>
      <c r="T149" s="1" t="str">
        <f>IF(S149&lt;&gt;"",IF(ROW(G147)&gt;MAX(Main!$D$4:$D$1048576),"",INDEX(Main!N$4:N$1048576,MATCH(ROW(G147),Main!$D$4:$D$1048576,0))),"")</f>
        <v/>
      </c>
      <c r="U149" s="1" t="str">
        <f>IF(IF(ROW(H147)&gt;MAX(Main!$D$4:$D$1048576),"",INDEX(Main!O$4:O$1048576,MATCH(ROW(H147),Main!$D$4:$D$1048576,0)))="",IF(T149="","",U148),IF(ROW(H147)&gt;MAX(Main!$D$4:$D$1048576),"",INDEX(Main!O$4:O$1048576,MATCH(ROW(H147),Main!$D$4:$D$1048576,0))))</f>
        <v/>
      </c>
    </row>
    <row r="150" spans="1:21" x14ac:dyDescent="0.4">
      <c r="A150" t="s">
        <v>21</v>
      </c>
      <c r="B150" s="4" t="str">
        <f>TEXT(IF(ROW(A148)&gt;MAX(Main!$C$4:$C$1048576),"",INDEX(Main!Q$4:Q$1048576,MATCH(ROW(A148),Main!$C$4:$C$1048576,0))), "yyyy/m/d")</f>
        <v/>
      </c>
      <c r="C150" s="1" t="str">
        <f>IF(IF(ROW(A148)&gt;MAX(Main!$C$4:$C$1048576),"",INDEX(Main!G$4:G$1048576,MATCH(ROW(A148),Main!$C$4:$C$1048576,0)))="",IF(B150="","",C149),IF(ROW(A148)&gt;MAX(Main!$C$4:$C$1048576),"",INDEX(Main!G$4:G$1048576,MATCH(ROW(A148),Main!$C$4:$C$1048576,0))))</f>
        <v/>
      </c>
      <c r="D150" s="1" t="str">
        <f>IF(IF(ROW(B148)&gt;MAX(Main!$C$4:$C$1048576),"",INDEX(Main!H$4:H$1048576,MATCH(ROW(B148),Main!$C$4:$C$1048576,0)))="",IF(C150="","",D149),IF(ROW(B148)&gt;MAX(Main!$C$4:$C$1048576),"",INDEX(Main!H$4:H$1048576,MATCH(ROW(B148),Main!$C$4:$C$1048576,0))))</f>
        <v/>
      </c>
      <c r="E150" s="1" t="str">
        <f>IF(IF(ROW(C148)&gt;MAX(Main!$C$4:$C$1048576),"",INDEX(Main!I$4:I$1048576,MATCH(ROW(C148),Main!$C$4:$C$1048576,0)))="",IF(D150="","",E149),IF(ROW(C148)&gt;MAX(Main!$C$4:$C$1048576),"",INDEX(Main!I$4:I$1048576,MATCH(ROW(C148),Main!$C$4:$C$1048576,0))))</f>
        <v/>
      </c>
      <c r="F150" s="1" t="str">
        <f t="shared" si="6"/>
        <v/>
      </c>
      <c r="G150" s="1" t="str">
        <f>IF(IF(ROW(D148)&gt;MAX(Main!$C$4:$C$1048576),"",INDEX(Main!J$4:J$1048576,MATCH(ROW(D148),Main!$C$4:$C$1048576,0)))="",IF(E150="","",G149),IF(ROW(D148)&gt;MAX(Main!$C$4:$C$1048576),"",INDEX(Main!J$4:J$1048576,MATCH(ROW(D148),Main!$C$4:$C$1048576,0))))</f>
        <v/>
      </c>
      <c r="H150" s="10" t="str">
        <f>IF(ROW(G148)&gt;MAX(Main!$C$4:$C$1048576),"",INDEX(Main!K$4:K$1048576,MATCH(ROW(G148),Main!$C$4:$C$1048576,0)))</f>
        <v/>
      </c>
      <c r="I150" s="1" t="str">
        <f>IF(H150&lt;&gt;"",IF(ROW(G148)&gt;MAX(Main!$C$4:$C$1048576),"",INDEX(Main!N$4:N$1048576,MATCH(ROW(G148),Main!$C$4:$C$1048576,0))),"")</f>
        <v/>
      </c>
      <c r="J150" s="1" t="str">
        <f>IF(IF(ROW(H148)&gt;MAX(Main!$C$4:$C$1048576),"",INDEX(Main!O$4:O$1048576,MATCH(ROW(H148),Main!$C$4:$C$1048576,0)))="",IF(I150="","",J149),IF(ROW(H148)&gt;MAX(Main!$C$4:$C$1048576),"",INDEX(Main!O$4:O$1048576,MATCH(ROW(H148),Main!$C$4:$C$1048576,0))))</f>
        <v/>
      </c>
      <c r="K150" s="27" t="str">
        <f t="shared" si="7"/>
        <v>例目</v>
      </c>
      <c r="M150" s="4" t="str">
        <f>TEXT(IF(ROW(A148)&gt;MAX(Main!$D$4:$D$1048576),"",INDEX(Main!Q$4:Q$1048576,MATCH(ROW(A148),Main!$D$4:$D$1048576,0))), "yyyy/m/d")</f>
        <v/>
      </c>
      <c r="N150" s="1" t="str">
        <f>IF(IF(ROW(A148)&gt;MAX(Main!$D$4:$D$1048576),"",INDEX(Main!G$4:G$1048576,MATCH(ROW(A148),Main!$D$4:$D$1048576,0)))="",IF(M150="","",N149),IF(ROW(A148)&gt;MAX(Main!$D$4:$D$1048576),"",INDEX(Main!G$4:G$1048576,MATCH(ROW(A148),Main!$D$4:$D$1048576,0))))</f>
        <v/>
      </c>
      <c r="O150" s="1" t="str">
        <f>IF(IF(ROW(B148)&gt;MAX(Main!$D$4:$D$1048576),"",INDEX(Main!H$4:H$1048576,MATCH(ROW(B148),Main!$D$4:$D$1048576,0)))="",IF(N150="","",O149),IF(ROW(B148)&gt;MAX(Main!$D$4:$D$1048576),"",INDEX(Main!H$4:H$1048576,MATCH(ROW(B148),Main!$D$4:$D$1048576,0))))</f>
        <v/>
      </c>
      <c r="P150" s="1" t="str">
        <f>IF(IF(ROW(C148)&gt;MAX(Main!$D$4:$D$1048576),"",INDEX(Main!I$4:I$1048576,MATCH(ROW(C148),Main!$D$4:$D$1048576,0)))="",IF(O150="","",P149),IF(ROW(C148)&gt;MAX(Main!$D$4:$D$1048576),"",INDEX(Main!I$4:I$1048576,MATCH(ROW(C148),Main!$D$4:$D$1048576,0))))</f>
        <v/>
      </c>
      <c r="Q150" s="1" t="str">
        <f t="shared" si="8"/>
        <v/>
      </c>
      <c r="R150" s="1" t="str">
        <f>IF(IF(ROW(D148)&gt;MAX(Main!$D$4:$D$1048576),"",INDEX(Main!J$4:J$1048576,MATCH(ROW(D148),Main!$D$4:$D$1048576,0)))="",IF(P150="","",R149),IF(ROW(D148)&gt;MAX(Main!$D$4:$D$1048576),"",INDEX(Main!J$4:J$1048576,MATCH(ROW(D148),Main!$D$4:$D$1048576,0))))</f>
        <v/>
      </c>
      <c r="S150" s="9" t="str">
        <f>IF(ROW(G148)&gt;MAX(Main!$D$4:$D$1048576),"",INDEX(Main!K$4:K$1048576,MATCH(ROW(G148),Main!$D$4:$D$1048576,0)))</f>
        <v/>
      </c>
      <c r="T150" s="1" t="str">
        <f>IF(S150&lt;&gt;"",IF(ROW(G148)&gt;MAX(Main!$D$4:$D$1048576),"",INDEX(Main!N$4:N$1048576,MATCH(ROW(G148),Main!$D$4:$D$1048576,0))),"")</f>
        <v/>
      </c>
      <c r="U150" s="1" t="str">
        <f>IF(IF(ROW(H148)&gt;MAX(Main!$D$4:$D$1048576),"",INDEX(Main!O$4:O$1048576,MATCH(ROW(H148),Main!$D$4:$D$1048576,0)))="",IF(T150="","",U149),IF(ROW(H148)&gt;MAX(Main!$D$4:$D$1048576),"",INDEX(Main!O$4:O$1048576,MATCH(ROW(H148),Main!$D$4:$D$1048576,0))))</f>
        <v/>
      </c>
    </row>
    <row r="151" spans="1:21" x14ac:dyDescent="0.4">
      <c r="A151" t="s">
        <v>21</v>
      </c>
      <c r="B151" s="4" t="str">
        <f>TEXT(IF(ROW(A149)&gt;MAX(Main!$C$4:$C$1048576),"",INDEX(Main!Q$4:Q$1048576,MATCH(ROW(A149),Main!$C$4:$C$1048576,0))), "yyyy/m/d")</f>
        <v/>
      </c>
      <c r="C151" s="1" t="str">
        <f>IF(IF(ROW(A149)&gt;MAX(Main!$C$4:$C$1048576),"",INDEX(Main!G$4:G$1048576,MATCH(ROW(A149),Main!$C$4:$C$1048576,0)))="",IF(B151="","",C150),IF(ROW(A149)&gt;MAX(Main!$C$4:$C$1048576),"",INDEX(Main!G$4:G$1048576,MATCH(ROW(A149),Main!$C$4:$C$1048576,0))))</f>
        <v/>
      </c>
      <c r="D151" s="1" t="str">
        <f>IF(IF(ROW(B149)&gt;MAX(Main!$C$4:$C$1048576),"",INDEX(Main!H$4:H$1048576,MATCH(ROW(B149),Main!$C$4:$C$1048576,0)))="",IF(C151="","",D150),IF(ROW(B149)&gt;MAX(Main!$C$4:$C$1048576),"",INDEX(Main!H$4:H$1048576,MATCH(ROW(B149),Main!$C$4:$C$1048576,0))))</f>
        <v/>
      </c>
      <c r="E151" s="1" t="str">
        <f>IF(IF(ROW(C149)&gt;MAX(Main!$C$4:$C$1048576),"",INDEX(Main!I$4:I$1048576,MATCH(ROW(C149),Main!$C$4:$C$1048576,0)))="",IF(D151="","",E150),IF(ROW(C149)&gt;MAX(Main!$C$4:$C$1048576),"",INDEX(Main!I$4:I$1048576,MATCH(ROW(C149),Main!$C$4:$C$1048576,0))))</f>
        <v/>
      </c>
      <c r="F151" s="1" t="str">
        <f t="shared" si="6"/>
        <v/>
      </c>
      <c r="G151" s="1" t="str">
        <f>IF(IF(ROW(D149)&gt;MAX(Main!$C$4:$C$1048576),"",INDEX(Main!J$4:J$1048576,MATCH(ROW(D149),Main!$C$4:$C$1048576,0)))="",IF(E151="","",G150),IF(ROW(D149)&gt;MAX(Main!$C$4:$C$1048576),"",INDEX(Main!J$4:J$1048576,MATCH(ROW(D149),Main!$C$4:$C$1048576,0))))</f>
        <v/>
      </c>
      <c r="H151" s="10" t="str">
        <f>IF(ROW(G149)&gt;MAX(Main!$C$4:$C$1048576),"",INDEX(Main!K$4:K$1048576,MATCH(ROW(G149),Main!$C$4:$C$1048576,0)))</f>
        <v/>
      </c>
      <c r="I151" s="1" t="str">
        <f>IF(H151&lt;&gt;"",IF(ROW(G149)&gt;MAX(Main!$C$4:$C$1048576),"",INDEX(Main!N$4:N$1048576,MATCH(ROW(G149),Main!$C$4:$C$1048576,0))),"")</f>
        <v/>
      </c>
      <c r="J151" s="1" t="str">
        <f>IF(IF(ROW(H149)&gt;MAX(Main!$C$4:$C$1048576),"",INDEX(Main!O$4:O$1048576,MATCH(ROW(H149),Main!$C$4:$C$1048576,0)))="",IF(I151="","",J150),IF(ROW(H149)&gt;MAX(Main!$C$4:$C$1048576),"",INDEX(Main!O$4:O$1048576,MATCH(ROW(H149),Main!$C$4:$C$1048576,0))))</f>
        <v/>
      </c>
      <c r="K151" s="27" t="str">
        <f t="shared" si="7"/>
        <v>例目</v>
      </c>
      <c r="M151" s="4" t="str">
        <f>TEXT(IF(ROW(A149)&gt;MAX(Main!$D$4:$D$1048576),"",INDEX(Main!Q$4:Q$1048576,MATCH(ROW(A149),Main!$D$4:$D$1048576,0))), "yyyy/m/d")</f>
        <v/>
      </c>
      <c r="N151" s="1" t="str">
        <f>IF(IF(ROW(A149)&gt;MAX(Main!$D$4:$D$1048576),"",INDEX(Main!G$4:G$1048576,MATCH(ROW(A149),Main!$D$4:$D$1048576,0)))="",IF(M151="","",N150),IF(ROW(A149)&gt;MAX(Main!$D$4:$D$1048576),"",INDEX(Main!G$4:G$1048576,MATCH(ROW(A149),Main!$D$4:$D$1048576,0))))</f>
        <v/>
      </c>
      <c r="O151" s="1" t="str">
        <f>IF(IF(ROW(B149)&gt;MAX(Main!$D$4:$D$1048576),"",INDEX(Main!H$4:H$1048576,MATCH(ROW(B149),Main!$D$4:$D$1048576,0)))="",IF(N151="","",O150),IF(ROW(B149)&gt;MAX(Main!$D$4:$D$1048576),"",INDEX(Main!H$4:H$1048576,MATCH(ROW(B149),Main!$D$4:$D$1048576,0))))</f>
        <v/>
      </c>
      <c r="P151" s="1" t="str">
        <f>IF(IF(ROW(C149)&gt;MAX(Main!$D$4:$D$1048576),"",INDEX(Main!I$4:I$1048576,MATCH(ROW(C149),Main!$D$4:$D$1048576,0)))="",IF(O151="","",P150),IF(ROW(C149)&gt;MAX(Main!$D$4:$D$1048576),"",INDEX(Main!I$4:I$1048576,MATCH(ROW(C149),Main!$D$4:$D$1048576,0))))</f>
        <v/>
      </c>
      <c r="Q151" s="1" t="str">
        <f t="shared" si="8"/>
        <v/>
      </c>
      <c r="R151" s="1" t="str">
        <f>IF(IF(ROW(D149)&gt;MAX(Main!$D$4:$D$1048576),"",INDEX(Main!J$4:J$1048576,MATCH(ROW(D149),Main!$D$4:$D$1048576,0)))="",IF(P151="","",R150),IF(ROW(D149)&gt;MAX(Main!$D$4:$D$1048576),"",INDEX(Main!J$4:J$1048576,MATCH(ROW(D149),Main!$D$4:$D$1048576,0))))</f>
        <v/>
      </c>
      <c r="S151" s="9" t="str">
        <f>IF(ROW(G149)&gt;MAX(Main!$D$4:$D$1048576),"",INDEX(Main!K$4:K$1048576,MATCH(ROW(G149),Main!$D$4:$D$1048576,0)))</f>
        <v/>
      </c>
      <c r="T151" s="1" t="str">
        <f>IF(S151&lt;&gt;"",IF(ROW(G149)&gt;MAX(Main!$D$4:$D$1048576),"",INDEX(Main!N$4:N$1048576,MATCH(ROW(G149),Main!$D$4:$D$1048576,0))),"")</f>
        <v/>
      </c>
      <c r="U151" s="1" t="str">
        <f>IF(IF(ROW(H149)&gt;MAX(Main!$D$4:$D$1048576),"",INDEX(Main!O$4:O$1048576,MATCH(ROW(H149),Main!$D$4:$D$1048576,0)))="",IF(T151="","",U150),IF(ROW(H149)&gt;MAX(Main!$D$4:$D$1048576),"",INDEX(Main!O$4:O$1048576,MATCH(ROW(H149),Main!$D$4:$D$1048576,0))))</f>
        <v/>
      </c>
    </row>
    <row r="152" spans="1:21" x14ac:dyDescent="0.4">
      <c r="A152" t="s">
        <v>21</v>
      </c>
      <c r="B152" s="4" t="str">
        <f>TEXT(IF(ROW(A150)&gt;MAX(Main!$C$4:$C$1048576),"",INDEX(Main!Q$4:Q$1048576,MATCH(ROW(A150),Main!$C$4:$C$1048576,0))), "yyyy/m/d")</f>
        <v/>
      </c>
      <c r="C152" s="1" t="str">
        <f>IF(IF(ROW(A150)&gt;MAX(Main!$C$4:$C$1048576),"",INDEX(Main!G$4:G$1048576,MATCH(ROW(A150),Main!$C$4:$C$1048576,0)))="",IF(B152="","",C151),IF(ROW(A150)&gt;MAX(Main!$C$4:$C$1048576),"",INDEX(Main!G$4:G$1048576,MATCH(ROW(A150),Main!$C$4:$C$1048576,0))))</f>
        <v/>
      </c>
      <c r="D152" s="1" t="str">
        <f>IF(IF(ROW(B150)&gt;MAX(Main!$C$4:$C$1048576),"",INDEX(Main!H$4:H$1048576,MATCH(ROW(B150),Main!$C$4:$C$1048576,0)))="",IF(C152="","",D151),IF(ROW(B150)&gt;MAX(Main!$C$4:$C$1048576),"",INDEX(Main!H$4:H$1048576,MATCH(ROW(B150),Main!$C$4:$C$1048576,0))))</f>
        <v/>
      </c>
      <c r="E152" s="1" t="str">
        <f>IF(IF(ROW(C150)&gt;MAX(Main!$C$4:$C$1048576),"",INDEX(Main!I$4:I$1048576,MATCH(ROW(C150),Main!$C$4:$C$1048576,0)))="",IF(D152="","",E151),IF(ROW(C150)&gt;MAX(Main!$C$4:$C$1048576),"",INDEX(Main!I$4:I$1048576,MATCH(ROW(C150),Main!$C$4:$C$1048576,0))))</f>
        <v/>
      </c>
      <c r="F152" s="1" t="str">
        <f t="shared" si="6"/>
        <v/>
      </c>
      <c r="G152" s="1" t="str">
        <f>IF(IF(ROW(D150)&gt;MAX(Main!$C$4:$C$1048576),"",INDEX(Main!J$4:J$1048576,MATCH(ROW(D150),Main!$C$4:$C$1048576,0)))="",IF(E152="","",G151),IF(ROW(D150)&gt;MAX(Main!$C$4:$C$1048576),"",INDEX(Main!J$4:J$1048576,MATCH(ROW(D150),Main!$C$4:$C$1048576,0))))</f>
        <v/>
      </c>
      <c r="H152" s="10" t="str">
        <f>IF(ROW(G150)&gt;MAX(Main!$C$4:$C$1048576),"",INDEX(Main!K$4:K$1048576,MATCH(ROW(G150),Main!$C$4:$C$1048576,0)))</f>
        <v/>
      </c>
      <c r="I152" s="1" t="str">
        <f>IF(H152&lt;&gt;"",IF(ROW(G150)&gt;MAX(Main!$C$4:$C$1048576),"",INDEX(Main!N$4:N$1048576,MATCH(ROW(G150),Main!$C$4:$C$1048576,0))),"")</f>
        <v/>
      </c>
      <c r="J152" s="1" t="str">
        <f>IF(IF(ROW(H150)&gt;MAX(Main!$C$4:$C$1048576),"",INDEX(Main!O$4:O$1048576,MATCH(ROW(H150),Main!$C$4:$C$1048576,0)))="",IF(I152="","",J151),IF(ROW(H150)&gt;MAX(Main!$C$4:$C$1048576),"",INDEX(Main!O$4:O$1048576,MATCH(ROW(H150),Main!$C$4:$C$1048576,0))))</f>
        <v/>
      </c>
      <c r="K152" s="27" t="str">
        <f t="shared" si="7"/>
        <v>例目</v>
      </c>
      <c r="M152" s="4" t="str">
        <f>TEXT(IF(ROW(A150)&gt;MAX(Main!$D$4:$D$1048576),"",INDEX(Main!Q$4:Q$1048576,MATCH(ROW(A150),Main!$D$4:$D$1048576,0))), "yyyy/m/d")</f>
        <v/>
      </c>
      <c r="N152" s="1" t="str">
        <f>IF(IF(ROW(A150)&gt;MAX(Main!$D$4:$D$1048576),"",INDEX(Main!G$4:G$1048576,MATCH(ROW(A150),Main!$D$4:$D$1048576,0)))="",IF(M152="","",N151),IF(ROW(A150)&gt;MAX(Main!$D$4:$D$1048576),"",INDEX(Main!G$4:G$1048576,MATCH(ROW(A150),Main!$D$4:$D$1048576,0))))</f>
        <v/>
      </c>
      <c r="O152" s="1" t="str">
        <f>IF(IF(ROW(B150)&gt;MAX(Main!$D$4:$D$1048576),"",INDEX(Main!H$4:H$1048576,MATCH(ROW(B150),Main!$D$4:$D$1048576,0)))="",IF(N152="","",O151),IF(ROW(B150)&gt;MAX(Main!$D$4:$D$1048576),"",INDEX(Main!H$4:H$1048576,MATCH(ROW(B150),Main!$D$4:$D$1048576,0))))</f>
        <v/>
      </c>
      <c r="P152" s="1" t="str">
        <f>IF(IF(ROW(C150)&gt;MAX(Main!$D$4:$D$1048576),"",INDEX(Main!I$4:I$1048576,MATCH(ROW(C150),Main!$D$4:$D$1048576,0)))="",IF(O152="","",P151),IF(ROW(C150)&gt;MAX(Main!$D$4:$D$1048576),"",INDEX(Main!I$4:I$1048576,MATCH(ROW(C150),Main!$D$4:$D$1048576,0))))</f>
        <v/>
      </c>
      <c r="Q152" s="1" t="str">
        <f t="shared" si="8"/>
        <v/>
      </c>
      <c r="R152" s="1" t="str">
        <f>IF(IF(ROW(D150)&gt;MAX(Main!$D$4:$D$1048576),"",INDEX(Main!J$4:J$1048576,MATCH(ROW(D150),Main!$D$4:$D$1048576,0)))="",IF(P152="","",R151),IF(ROW(D150)&gt;MAX(Main!$D$4:$D$1048576),"",INDEX(Main!J$4:J$1048576,MATCH(ROW(D150),Main!$D$4:$D$1048576,0))))</f>
        <v/>
      </c>
      <c r="S152" s="9" t="str">
        <f>IF(ROW(G150)&gt;MAX(Main!$D$4:$D$1048576),"",INDEX(Main!K$4:K$1048576,MATCH(ROW(G150),Main!$D$4:$D$1048576,0)))</f>
        <v/>
      </c>
      <c r="T152" s="1" t="str">
        <f>IF(S152&lt;&gt;"",IF(ROW(G150)&gt;MAX(Main!$D$4:$D$1048576),"",INDEX(Main!N$4:N$1048576,MATCH(ROW(G150),Main!$D$4:$D$1048576,0))),"")</f>
        <v/>
      </c>
      <c r="U152" s="1" t="str">
        <f>IF(IF(ROW(H150)&gt;MAX(Main!$D$4:$D$1048576),"",INDEX(Main!O$4:O$1048576,MATCH(ROW(H150),Main!$D$4:$D$1048576,0)))="",IF(T152="","",U151),IF(ROW(H150)&gt;MAX(Main!$D$4:$D$1048576),"",INDEX(Main!O$4:O$1048576,MATCH(ROW(H150),Main!$D$4:$D$1048576,0))))</f>
        <v/>
      </c>
    </row>
    <row r="153" spans="1:21" x14ac:dyDescent="0.4">
      <c r="A153" t="s">
        <v>21</v>
      </c>
      <c r="B153" s="4" t="str">
        <f>TEXT(IF(ROW(A151)&gt;MAX(Main!$C$4:$C$1048576),"",INDEX(Main!Q$4:Q$1048576,MATCH(ROW(A151),Main!$C$4:$C$1048576,0))), "yyyy/m/d")</f>
        <v/>
      </c>
      <c r="C153" s="1" t="str">
        <f>IF(IF(ROW(A151)&gt;MAX(Main!$C$4:$C$1048576),"",INDEX(Main!G$4:G$1048576,MATCH(ROW(A151),Main!$C$4:$C$1048576,0)))="",IF(B153="","",C152),IF(ROW(A151)&gt;MAX(Main!$C$4:$C$1048576),"",INDEX(Main!G$4:G$1048576,MATCH(ROW(A151),Main!$C$4:$C$1048576,0))))</f>
        <v/>
      </c>
      <c r="D153" s="1" t="str">
        <f>IF(IF(ROW(B151)&gt;MAX(Main!$C$4:$C$1048576),"",INDEX(Main!H$4:H$1048576,MATCH(ROW(B151),Main!$C$4:$C$1048576,0)))="",IF(C153="","",D152),IF(ROW(B151)&gt;MAX(Main!$C$4:$C$1048576),"",INDEX(Main!H$4:H$1048576,MATCH(ROW(B151),Main!$C$4:$C$1048576,0))))</f>
        <v/>
      </c>
      <c r="E153" s="1" t="str">
        <f>IF(IF(ROW(C151)&gt;MAX(Main!$C$4:$C$1048576),"",INDEX(Main!I$4:I$1048576,MATCH(ROW(C151),Main!$C$4:$C$1048576,0)))="",IF(D153="","",E152),IF(ROW(C151)&gt;MAX(Main!$C$4:$C$1048576),"",INDEX(Main!I$4:I$1048576,MATCH(ROW(C151),Main!$C$4:$C$1048576,0))))</f>
        <v/>
      </c>
      <c r="F153" s="1" t="str">
        <f t="shared" si="6"/>
        <v/>
      </c>
      <c r="G153" s="1" t="str">
        <f>IF(IF(ROW(D151)&gt;MAX(Main!$C$4:$C$1048576),"",INDEX(Main!J$4:J$1048576,MATCH(ROW(D151),Main!$C$4:$C$1048576,0)))="",IF(E153="","",G152),IF(ROW(D151)&gt;MAX(Main!$C$4:$C$1048576),"",INDEX(Main!J$4:J$1048576,MATCH(ROW(D151),Main!$C$4:$C$1048576,0))))</f>
        <v/>
      </c>
      <c r="H153" s="10" t="str">
        <f>IF(ROW(G151)&gt;MAX(Main!$C$4:$C$1048576),"",INDEX(Main!K$4:K$1048576,MATCH(ROW(G151),Main!$C$4:$C$1048576,0)))</f>
        <v/>
      </c>
      <c r="I153" s="1" t="str">
        <f>IF(H153&lt;&gt;"",IF(ROW(G151)&gt;MAX(Main!$C$4:$C$1048576),"",INDEX(Main!N$4:N$1048576,MATCH(ROW(G151),Main!$C$4:$C$1048576,0))),"")</f>
        <v/>
      </c>
      <c r="J153" s="1" t="str">
        <f>IF(IF(ROW(H151)&gt;MAX(Main!$C$4:$C$1048576),"",INDEX(Main!O$4:O$1048576,MATCH(ROW(H151),Main!$C$4:$C$1048576,0)))="",IF(I153="","",J152),IF(ROW(H151)&gt;MAX(Main!$C$4:$C$1048576),"",INDEX(Main!O$4:O$1048576,MATCH(ROW(H151),Main!$C$4:$C$1048576,0))))</f>
        <v/>
      </c>
      <c r="K153" s="27" t="str">
        <f t="shared" si="7"/>
        <v>例目</v>
      </c>
      <c r="M153" s="4" t="str">
        <f>TEXT(IF(ROW(A151)&gt;MAX(Main!$D$4:$D$1048576),"",INDEX(Main!Q$4:Q$1048576,MATCH(ROW(A151),Main!$D$4:$D$1048576,0))), "yyyy/m/d")</f>
        <v/>
      </c>
      <c r="N153" s="1" t="str">
        <f>IF(IF(ROW(A151)&gt;MAX(Main!$D$4:$D$1048576),"",INDEX(Main!G$4:G$1048576,MATCH(ROW(A151),Main!$D$4:$D$1048576,0)))="",IF(M153="","",N152),IF(ROW(A151)&gt;MAX(Main!$D$4:$D$1048576),"",INDEX(Main!G$4:G$1048576,MATCH(ROW(A151),Main!$D$4:$D$1048576,0))))</f>
        <v/>
      </c>
      <c r="O153" s="1" t="str">
        <f>IF(IF(ROW(B151)&gt;MAX(Main!$D$4:$D$1048576),"",INDEX(Main!H$4:H$1048576,MATCH(ROW(B151),Main!$D$4:$D$1048576,0)))="",IF(N153="","",O152),IF(ROW(B151)&gt;MAX(Main!$D$4:$D$1048576),"",INDEX(Main!H$4:H$1048576,MATCH(ROW(B151),Main!$D$4:$D$1048576,0))))</f>
        <v/>
      </c>
      <c r="P153" s="1" t="str">
        <f>IF(IF(ROW(C151)&gt;MAX(Main!$D$4:$D$1048576),"",INDEX(Main!I$4:I$1048576,MATCH(ROW(C151),Main!$D$4:$D$1048576,0)))="",IF(O153="","",P152),IF(ROW(C151)&gt;MAX(Main!$D$4:$D$1048576),"",INDEX(Main!I$4:I$1048576,MATCH(ROW(C151),Main!$D$4:$D$1048576,0))))</f>
        <v/>
      </c>
      <c r="Q153" s="1" t="str">
        <f t="shared" si="8"/>
        <v/>
      </c>
      <c r="R153" s="1" t="str">
        <f>IF(IF(ROW(D151)&gt;MAX(Main!$D$4:$D$1048576),"",INDEX(Main!J$4:J$1048576,MATCH(ROW(D151),Main!$D$4:$D$1048576,0)))="",IF(P153="","",R152),IF(ROW(D151)&gt;MAX(Main!$D$4:$D$1048576),"",INDEX(Main!J$4:J$1048576,MATCH(ROW(D151),Main!$D$4:$D$1048576,0))))</f>
        <v/>
      </c>
      <c r="S153" s="9" t="str">
        <f>IF(ROW(G151)&gt;MAX(Main!$D$4:$D$1048576),"",INDEX(Main!K$4:K$1048576,MATCH(ROW(G151),Main!$D$4:$D$1048576,0)))</f>
        <v/>
      </c>
      <c r="T153" s="1" t="str">
        <f>IF(S153&lt;&gt;"",IF(ROW(G151)&gt;MAX(Main!$D$4:$D$1048576),"",INDEX(Main!N$4:N$1048576,MATCH(ROW(G151),Main!$D$4:$D$1048576,0))),"")</f>
        <v/>
      </c>
      <c r="U153" s="1" t="str">
        <f>IF(IF(ROW(H151)&gt;MAX(Main!$D$4:$D$1048576),"",INDEX(Main!O$4:O$1048576,MATCH(ROW(H151),Main!$D$4:$D$1048576,0)))="",IF(T153="","",U152),IF(ROW(H151)&gt;MAX(Main!$D$4:$D$1048576),"",INDEX(Main!O$4:O$1048576,MATCH(ROW(H151),Main!$D$4:$D$1048576,0))))</f>
        <v/>
      </c>
    </row>
    <row r="154" spans="1:21" x14ac:dyDescent="0.4">
      <c r="A154" t="s">
        <v>21</v>
      </c>
      <c r="B154" s="4" t="str">
        <f>TEXT(IF(ROW(A152)&gt;MAX(Main!$C$4:$C$1048576),"",INDEX(Main!Q$4:Q$1048576,MATCH(ROW(A152),Main!$C$4:$C$1048576,0))), "yyyy/m/d")</f>
        <v/>
      </c>
      <c r="C154" s="1" t="str">
        <f>IF(IF(ROW(A152)&gt;MAX(Main!$C$4:$C$1048576),"",INDEX(Main!G$4:G$1048576,MATCH(ROW(A152),Main!$C$4:$C$1048576,0)))="",IF(B154="","",C153),IF(ROW(A152)&gt;MAX(Main!$C$4:$C$1048576),"",INDEX(Main!G$4:G$1048576,MATCH(ROW(A152),Main!$C$4:$C$1048576,0))))</f>
        <v/>
      </c>
      <c r="D154" s="1" t="str">
        <f>IF(IF(ROW(B152)&gt;MAX(Main!$C$4:$C$1048576),"",INDEX(Main!H$4:H$1048576,MATCH(ROW(B152),Main!$C$4:$C$1048576,0)))="",IF(C154="","",D153),IF(ROW(B152)&gt;MAX(Main!$C$4:$C$1048576),"",INDEX(Main!H$4:H$1048576,MATCH(ROW(B152),Main!$C$4:$C$1048576,0))))</f>
        <v/>
      </c>
      <c r="E154" s="1" t="str">
        <f>IF(IF(ROW(C152)&gt;MAX(Main!$C$4:$C$1048576),"",INDEX(Main!I$4:I$1048576,MATCH(ROW(C152),Main!$C$4:$C$1048576,0)))="",IF(D154="","",E153),IF(ROW(C152)&gt;MAX(Main!$C$4:$C$1048576),"",INDEX(Main!I$4:I$1048576,MATCH(ROW(C152),Main!$C$4:$C$1048576,0))))</f>
        <v/>
      </c>
      <c r="F154" s="1" t="str">
        <f t="shared" si="6"/>
        <v/>
      </c>
      <c r="G154" s="1" t="str">
        <f>IF(IF(ROW(D152)&gt;MAX(Main!$C$4:$C$1048576),"",INDEX(Main!J$4:J$1048576,MATCH(ROW(D152),Main!$C$4:$C$1048576,0)))="",IF(E154="","",G153),IF(ROW(D152)&gt;MAX(Main!$C$4:$C$1048576),"",INDEX(Main!J$4:J$1048576,MATCH(ROW(D152),Main!$C$4:$C$1048576,0))))</f>
        <v/>
      </c>
      <c r="H154" s="10" t="str">
        <f>IF(ROW(G152)&gt;MAX(Main!$C$4:$C$1048576),"",INDEX(Main!K$4:K$1048576,MATCH(ROW(G152),Main!$C$4:$C$1048576,0)))</f>
        <v/>
      </c>
      <c r="I154" s="1" t="str">
        <f>IF(H154&lt;&gt;"",IF(ROW(G152)&gt;MAX(Main!$C$4:$C$1048576),"",INDEX(Main!N$4:N$1048576,MATCH(ROW(G152),Main!$C$4:$C$1048576,0))),"")</f>
        <v/>
      </c>
      <c r="J154" s="1" t="str">
        <f>IF(IF(ROW(H152)&gt;MAX(Main!$C$4:$C$1048576),"",INDEX(Main!O$4:O$1048576,MATCH(ROW(H152),Main!$C$4:$C$1048576,0)))="",IF(I154="","",J153),IF(ROW(H152)&gt;MAX(Main!$C$4:$C$1048576),"",INDEX(Main!O$4:O$1048576,MATCH(ROW(H152),Main!$C$4:$C$1048576,0))))</f>
        <v/>
      </c>
      <c r="K154" s="27" t="str">
        <f t="shared" si="7"/>
        <v>例目</v>
      </c>
      <c r="M154" s="4" t="str">
        <f>TEXT(IF(ROW(A152)&gt;MAX(Main!$D$4:$D$1048576),"",INDEX(Main!Q$4:Q$1048576,MATCH(ROW(A152),Main!$D$4:$D$1048576,0))), "yyyy/m/d")</f>
        <v/>
      </c>
      <c r="N154" s="1" t="str">
        <f>IF(IF(ROW(A152)&gt;MAX(Main!$D$4:$D$1048576),"",INDEX(Main!G$4:G$1048576,MATCH(ROW(A152),Main!$D$4:$D$1048576,0)))="",IF(M154="","",N153),IF(ROW(A152)&gt;MAX(Main!$D$4:$D$1048576),"",INDEX(Main!G$4:G$1048576,MATCH(ROW(A152),Main!$D$4:$D$1048576,0))))</f>
        <v/>
      </c>
      <c r="O154" s="1" t="str">
        <f>IF(IF(ROW(B152)&gt;MAX(Main!$D$4:$D$1048576),"",INDEX(Main!H$4:H$1048576,MATCH(ROW(B152),Main!$D$4:$D$1048576,0)))="",IF(N154="","",O153),IF(ROW(B152)&gt;MAX(Main!$D$4:$D$1048576),"",INDEX(Main!H$4:H$1048576,MATCH(ROW(B152),Main!$D$4:$D$1048576,0))))</f>
        <v/>
      </c>
      <c r="P154" s="1" t="str">
        <f>IF(IF(ROW(C152)&gt;MAX(Main!$D$4:$D$1048576),"",INDEX(Main!I$4:I$1048576,MATCH(ROW(C152),Main!$D$4:$D$1048576,0)))="",IF(O154="","",P153),IF(ROW(C152)&gt;MAX(Main!$D$4:$D$1048576),"",INDEX(Main!I$4:I$1048576,MATCH(ROW(C152),Main!$D$4:$D$1048576,0))))</f>
        <v/>
      </c>
      <c r="Q154" s="1" t="str">
        <f t="shared" si="8"/>
        <v/>
      </c>
      <c r="R154" s="1" t="str">
        <f>IF(IF(ROW(D152)&gt;MAX(Main!$D$4:$D$1048576),"",INDEX(Main!J$4:J$1048576,MATCH(ROW(D152),Main!$D$4:$D$1048576,0)))="",IF(P154="","",R153),IF(ROW(D152)&gt;MAX(Main!$D$4:$D$1048576),"",INDEX(Main!J$4:J$1048576,MATCH(ROW(D152),Main!$D$4:$D$1048576,0))))</f>
        <v/>
      </c>
      <c r="S154" s="9" t="str">
        <f>IF(ROW(G152)&gt;MAX(Main!$D$4:$D$1048576),"",INDEX(Main!K$4:K$1048576,MATCH(ROW(G152),Main!$D$4:$D$1048576,0)))</f>
        <v/>
      </c>
      <c r="T154" s="1" t="str">
        <f>IF(S154&lt;&gt;"",IF(ROW(G152)&gt;MAX(Main!$D$4:$D$1048576),"",INDEX(Main!N$4:N$1048576,MATCH(ROW(G152),Main!$D$4:$D$1048576,0))),"")</f>
        <v/>
      </c>
      <c r="U154" s="1" t="str">
        <f>IF(IF(ROW(H152)&gt;MAX(Main!$D$4:$D$1048576),"",INDEX(Main!O$4:O$1048576,MATCH(ROW(H152),Main!$D$4:$D$1048576,0)))="",IF(T154="","",U153),IF(ROW(H152)&gt;MAX(Main!$D$4:$D$1048576),"",INDEX(Main!O$4:O$1048576,MATCH(ROW(H152),Main!$D$4:$D$1048576,0))))</f>
        <v/>
      </c>
    </row>
    <row r="155" spans="1:21" x14ac:dyDescent="0.4">
      <c r="A155" t="s">
        <v>21</v>
      </c>
      <c r="B155" s="4" t="str">
        <f>TEXT(IF(ROW(A153)&gt;MAX(Main!$C$4:$C$1048576),"",INDEX(Main!Q$4:Q$1048576,MATCH(ROW(A153),Main!$C$4:$C$1048576,0))), "yyyy/m/d")</f>
        <v/>
      </c>
      <c r="C155" s="1" t="str">
        <f>IF(IF(ROW(A153)&gt;MAX(Main!$C$4:$C$1048576),"",INDEX(Main!G$4:G$1048576,MATCH(ROW(A153),Main!$C$4:$C$1048576,0)))="",IF(B155="","",C154),IF(ROW(A153)&gt;MAX(Main!$C$4:$C$1048576),"",INDEX(Main!G$4:G$1048576,MATCH(ROW(A153),Main!$C$4:$C$1048576,0))))</f>
        <v/>
      </c>
      <c r="D155" s="1" t="str">
        <f>IF(IF(ROW(B153)&gt;MAX(Main!$C$4:$C$1048576),"",INDEX(Main!H$4:H$1048576,MATCH(ROW(B153),Main!$C$4:$C$1048576,0)))="",IF(C155="","",D154),IF(ROW(B153)&gt;MAX(Main!$C$4:$C$1048576),"",INDEX(Main!H$4:H$1048576,MATCH(ROW(B153),Main!$C$4:$C$1048576,0))))</f>
        <v/>
      </c>
      <c r="E155" s="1" t="str">
        <f>IF(IF(ROW(C153)&gt;MAX(Main!$C$4:$C$1048576),"",INDEX(Main!I$4:I$1048576,MATCH(ROW(C153),Main!$C$4:$C$1048576,0)))="",IF(D155="","",E154),IF(ROW(C153)&gt;MAX(Main!$C$4:$C$1048576),"",INDEX(Main!I$4:I$1048576,MATCH(ROW(C153),Main!$C$4:$C$1048576,0))))</f>
        <v/>
      </c>
      <c r="F155" s="1" t="str">
        <f t="shared" si="6"/>
        <v/>
      </c>
      <c r="G155" s="1" t="str">
        <f>IF(IF(ROW(D153)&gt;MAX(Main!$C$4:$C$1048576),"",INDEX(Main!J$4:J$1048576,MATCH(ROW(D153),Main!$C$4:$C$1048576,0)))="",IF(E155="","",G154),IF(ROW(D153)&gt;MAX(Main!$C$4:$C$1048576),"",INDEX(Main!J$4:J$1048576,MATCH(ROW(D153),Main!$C$4:$C$1048576,0))))</f>
        <v/>
      </c>
      <c r="H155" s="10" t="str">
        <f>IF(ROW(G153)&gt;MAX(Main!$C$4:$C$1048576),"",INDEX(Main!K$4:K$1048576,MATCH(ROW(G153),Main!$C$4:$C$1048576,0)))</f>
        <v/>
      </c>
      <c r="I155" s="1" t="str">
        <f>IF(H155&lt;&gt;"",IF(ROW(G153)&gt;MAX(Main!$C$4:$C$1048576),"",INDEX(Main!N$4:N$1048576,MATCH(ROW(G153),Main!$C$4:$C$1048576,0))),"")</f>
        <v/>
      </c>
      <c r="J155" s="1" t="str">
        <f>IF(IF(ROW(H153)&gt;MAX(Main!$C$4:$C$1048576),"",INDEX(Main!O$4:O$1048576,MATCH(ROW(H153),Main!$C$4:$C$1048576,0)))="",IF(I155="","",J154),IF(ROW(H153)&gt;MAX(Main!$C$4:$C$1048576),"",INDEX(Main!O$4:O$1048576,MATCH(ROW(H153),Main!$C$4:$C$1048576,0))))</f>
        <v/>
      </c>
      <c r="K155" s="27" t="str">
        <f t="shared" si="7"/>
        <v>例目</v>
      </c>
      <c r="M155" s="4" t="str">
        <f>TEXT(IF(ROW(A153)&gt;MAX(Main!$D$4:$D$1048576),"",INDEX(Main!Q$4:Q$1048576,MATCH(ROW(A153),Main!$D$4:$D$1048576,0))), "yyyy/m/d")</f>
        <v/>
      </c>
      <c r="N155" s="1" t="str">
        <f>IF(IF(ROW(A153)&gt;MAX(Main!$D$4:$D$1048576),"",INDEX(Main!G$4:G$1048576,MATCH(ROW(A153),Main!$D$4:$D$1048576,0)))="",IF(M155="","",N154),IF(ROW(A153)&gt;MAX(Main!$D$4:$D$1048576),"",INDEX(Main!G$4:G$1048576,MATCH(ROW(A153),Main!$D$4:$D$1048576,0))))</f>
        <v/>
      </c>
      <c r="O155" s="1" t="str">
        <f>IF(IF(ROW(B153)&gt;MAX(Main!$D$4:$D$1048576),"",INDEX(Main!H$4:H$1048576,MATCH(ROW(B153),Main!$D$4:$D$1048576,0)))="",IF(N155="","",O154),IF(ROW(B153)&gt;MAX(Main!$D$4:$D$1048576),"",INDEX(Main!H$4:H$1048576,MATCH(ROW(B153),Main!$D$4:$D$1048576,0))))</f>
        <v/>
      </c>
      <c r="P155" s="1" t="str">
        <f>IF(IF(ROW(C153)&gt;MAX(Main!$D$4:$D$1048576),"",INDEX(Main!I$4:I$1048576,MATCH(ROW(C153),Main!$D$4:$D$1048576,0)))="",IF(O155="","",P154),IF(ROW(C153)&gt;MAX(Main!$D$4:$D$1048576),"",INDEX(Main!I$4:I$1048576,MATCH(ROW(C153),Main!$D$4:$D$1048576,0))))</f>
        <v/>
      </c>
      <c r="Q155" s="1" t="str">
        <f t="shared" si="8"/>
        <v/>
      </c>
      <c r="R155" s="1" t="str">
        <f>IF(IF(ROW(D153)&gt;MAX(Main!$D$4:$D$1048576),"",INDEX(Main!J$4:J$1048576,MATCH(ROW(D153),Main!$D$4:$D$1048576,0)))="",IF(P155="","",R154),IF(ROW(D153)&gt;MAX(Main!$D$4:$D$1048576),"",INDEX(Main!J$4:J$1048576,MATCH(ROW(D153),Main!$D$4:$D$1048576,0))))</f>
        <v/>
      </c>
      <c r="S155" s="9" t="str">
        <f>IF(ROW(G153)&gt;MAX(Main!$D$4:$D$1048576),"",INDEX(Main!K$4:K$1048576,MATCH(ROW(G153),Main!$D$4:$D$1048576,0)))</f>
        <v/>
      </c>
      <c r="T155" s="1" t="str">
        <f>IF(S155&lt;&gt;"",IF(ROW(G153)&gt;MAX(Main!$D$4:$D$1048576),"",INDEX(Main!N$4:N$1048576,MATCH(ROW(G153),Main!$D$4:$D$1048576,0))),"")</f>
        <v/>
      </c>
      <c r="U155" s="1" t="str">
        <f>IF(IF(ROW(H153)&gt;MAX(Main!$D$4:$D$1048576),"",INDEX(Main!O$4:O$1048576,MATCH(ROW(H153),Main!$D$4:$D$1048576,0)))="",IF(T155="","",U154),IF(ROW(H153)&gt;MAX(Main!$D$4:$D$1048576),"",INDEX(Main!O$4:O$1048576,MATCH(ROW(H153),Main!$D$4:$D$1048576,0))))</f>
        <v/>
      </c>
    </row>
    <row r="156" spans="1:21" x14ac:dyDescent="0.4">
      <c r="A156" t="s">
        <v>21</v>
      </c>
      <c r="B156" s="4" t="str">
        <f>TEXT(IF(ROW(A154)&gt;MAX(Main!$C$4:$C$1048576),"",INDEX(Main!Q$4:Q$1048576,MATCH(ROW(A154),Main!$C$4:$C$1048576,0))), "yyyy/m/d")</f>
        <v/>
      </c>
      <c r="C156" s="1" t="str">
        <f>IF(IF(ROW(A154)&gt;MAX(Main!$C$4:$C$1048576),"",INDEX(Main!G$4:G$1048576,MATCH(ROW(A154),Main!$C$4:$C$1048576,0)))="",IF(B156="","",C155),IF(ROW(A154)&gt;MAX(Main!$C$4:$C$1048576),"",INDEX(Main!G$4:G$1048576,MATCH(ROW(A154),Main!$C$4:$C$1048576,0))))</f>
        <v/>
      </c>
      <c r="D156" s="1" t="str">
        <f>IF(IF(ROW(B154)&gt;MAX(Main!$C$4:$C$1048576),"",INDEX(Main!H$4:H$1048576,MATCH(ROW(B154),Main!$C$4:$C$1048576,0)))="",IF(C156="","",D155),IF(ROW(B154)&gt;MAX(Main!$C$4:$C$1048576),"",INDEX(Main!H$4:H$1048576,MATCH(ROW(B154),Main!$C$4:$C$1048576,0))))</f>
        <v/>
      </c>
      <c r="E156" s="1" t="str">
        <f>IF(IF(ROW(C154)&gt;MAX(Main!$C$4:$C$1048576),"",INDEX(Main!I$4:I$1048576,MATCH(ROW(C154),Main!$C$4:$C$1048576,0)))="",IF(D156="","",E155),IF(ROW(C154)&gt;MAX(Main!$C$4:$C$1048576),"",INDEX(Main!I$4:I$1048576,MATCH(ROW(C154),Main!$C$4:$C$1048576,0))))</f>
        <v/>
      </c>
      <c r="F156" s="1" t="str">
        <f t="shared" si="6"/>
        <v/>
      </c>
      <c r="G156" s="1" t="str">
        <f>IF(IF(ROW(D154)&gt;MAX(Main!$C$4:$C$1048576),"",INDEX(Main!J$4:J$1048576,MATCH(ROW(D154),Main!$C$4:$C$1048576,0)))="",IF(E156="","",G155),IF(ROW(D154)&gt;MAX(Main!$C$4:$C$1048576),"",INDEX(Main!J$4:J$1048576,MATCH(ROW(D154),Main!$C$4:$C$1048576,0))))</f>
        <v/>
      </c>
      <c r="H156" s="10" t="str">
        <f>IF(ROW(G154)&gt;MAX(Main!$C$4:$C$1048576),"",INDEX(Main!K$4:K$1048576,MATCH(ROW(G154),Main!$C$4:$C$1048576,0)))</f>
        <v/>
      </c>
      <c r="I156" s="1" t="str">
        <f>IF(H156&lt;&gt;"",IF(ROW(G154)&gt;MAX(Main!$C$4:$C$1048576),"",INDEX(Main!N$4:N$1048576,MATCH(ROW(G154),Main!$C$4:$C$1048576,0))),"")</f>
        <v/>
      </c>
      <c r="J156" s="1" t="str">
        <f>IF(IF(ROW(H154)&gt;MAX(Main!$C$4:$C$1048576),"",INDEX(Main!O$4:O$1048576,MATCH(ROW(H154),Main!$C$4:$C$1048576,0)))="",IF(I156="","",J155),IF(ROW(H154)&gt;MAX(Main!$C$4:$C$1048576),"",INDEX(Main!O$4:O$1048576,MATCH(ROW(H154),Main!$C$4:$C$1048576,0))))</f>
        <v/>
      </c>
      <c r="K156" s="27" t="str">
        <f t="shared" si="7"/>
        <v>例目</v>
      </c>
      <c r="M156" s="4" t="str">
        <f>TEXT(IF(ROW(A154)&gt;MAX(Main!$D$4:$D$1048576),"",INDEX(Main!Q$4:Q$1048576,MATCH(ROW(A154),Main!$D$4:$D$1048576,0))), "yyyy/m/d")</f>
        <v/>
      </c>
      <c r="N156" s="1" t="str">
        <f>IF(IF(ROW(A154)&gt;MAX(Main!$D$4:$D$1048576),"",INDEX(Main!G$4:G$1048576,MATCH(ROW(A154),Main!$D$4:$D$1048576,0)))="",IF(M156="","",N155),IF(ROW(A154)&gt;MAX(Main!$D$4:$D$1048576),"",INDEX(Main!G$4:G$1048576,MATCH(ROW(A154),Main!$D$4:$D$1048576,0))))</f>
        <v/>
      </c>
      <c r="O156" s="1" t="str">
        <f>IF(IF(ROW(B154)&gt;MAX(Main!$D$4:$D$1048576),"",INDEX(Main!H$4:H$1048576,MATCH(ROW(B154),Main!$D$4:$D$1048576,0)))="",IF(N156="","",O155),IF(ROW(B154)&gt;MAX(Main!$D$4:$D$1048576),"",INDEX(Main!H$4:H$1048576,MATCH(ROW(B154),Main!$D$4:$D$1048576,0))))</f>
        <v/>
      </c>
      <c r="P156" s="1" t="str">
        <f>IF(IF(ROW(C154)&gt;MAX(Main!$D$4:$D$1048576),"",INDEX(Main!I$4:I$1048576,MATCH(ROW(C154),Main!$D$4:$D$1048576,0)))="",IF(O156="","",P155),IF(ROW(C154)&gt;MAX(Main!$D$4:$D$1048576),"",INDEX(Main!I$4:I$1048576,MATCH(ROW(C154),Main!$D$4:$D$1048576,0))))</f>
        <v/>
      </c>
      <c r="Q156" s="1" t="str">
        <f t="shared" si="8"/>
        <v/>
      </c>
      <c r="R156" s="1" t="str">
        <f>IF(IF(ROW(D154)&gt;MAX(Main!$D$4:$D$1048576),"",INDEX(Main!J$4:J$1048576,MATCH(ROW(D154),Main!$D$4:$D$1048576,0)))="",IF(P156="","",R155),IF(ROW(D154)&gt;MAX(Main!$D$4:$D$1048576),"",INDEX(Main!J$4:J$1048576,MATCH(ROW(D154),Main!$D$4:$D$1048576,0))))</f>
        <v/>
      </c>
      <c r="S156" s="9" t="str">
        <f>IF(ROW(G154)&gt;MAX(Main!$D$4:$D$1048576),"",INDEX(Main!K$4:K$1048576,MATCH(ROW(G154),Main!$D$4:$D$1048576,0)))</f>
        <v/>
      </c>
      <c r="T156" s="1" t="str">
        <f>IF(S156&lt;&gt;"",IF(ROW(G154)&gt;MAX(Main!$D$4:$D$1048576),"",INDEX(Main!N$4:N$1048576,MATCH(ROW(G154),Main!$D$4:$D$1048576,0))),"")</f>
        <v/>
      </c>
      <c r="U156" s="1" t="str">
        <f>IF(IF(ROW(H154)&gt;MAX(Main!$D$4:$D$1048576),"",INDEX(Main!O$4:O$1048576,MATCH(ROW(H154),Main!$D$4:$D$1048576,0)))="",IF(T156="","",U155),IF(ROW(H154)&gt;MAX(Main!$D$4:$D$1048576),"",INDEX(Main!O$4:O$1048576,MATCH(ROW(H154),Main!$D$4:$D$1048576,0))))</f>
        <v/>
      </c>
    </row>
    <row r="157" spans="1:21" x14ac:dyDescent="0.4">
      <c r="A157" t="s">
        <v>21</v>
      </c>
      <c r="B157" s="4" t="str">
        <f>TEXT(IF(ROW(A155)&gt;MAX(Main!$C$4:$C$1048576),"",INDEX(Main!Q$4:Q$1048576,MATCH(ROW(A155),Main!$C$4:$C$1048576,0))), "yyyy/m/d")</f>
        <v/>
      </c>
      <c r="C157" s="1" t="str">
        <f>IF(IF(ROW(A155)&gt;MAX(Main!$C$4:$C$1048576),"",INDEX(Main!G$4:G$1048576,MATCH(ROW(A155),Main!$C$4:$C$1048576,0)))="",IF(B157="","",C156),IF(ROW(A155)&gt;MAX(Main!$C$4:$C$1048576),"",INDEX(Main!G$4:G$1048576,MATCH(ROW(A155),Main!$C$4:$C$1048576,0))))</f>
        <v/>
      </c>
      <c r="D157" s="1" t="str">
        <f>IF(IF(ROW(B155)&gt;MAX(Main!$C$4:$C$1048576),"",INDEX(Main!H$4:H$1048576,MATCH(ROW(B155),Main!$C$4:$C$1048576,0)))="",IF(C157="","",D156),IF(ROW(B155)&gt;MAX(Main!$C$4:$C$1048576),"",INDEX(Main!H$4:H$1048576,MATCH(ROW(B155),Main!$C$4:$C$1048576,0))))</f>
        <v/>
      </c>
      <c r="E157" s="1" t="str">
        <f>IF(IF(ROW(C155)&gt;MAX(Main!$C$4:$C$1048576),"",INDEX(Main!I$4:I$1048576,MATCH(ROW(C155),Main!$C$4:$C$1048576,0)))="",IF(D157="","",E156),IF(ROW(C155)&gt;MAX(Main!$C$4:$C$1048576),"",INDEX(Main!I$4:I$1048576,MATCH(ROW(C155),Main!$C$4:$C$1048576,0))))</f>
        <v/>
      </c>
      <c r="F157" s="1" t="str">
        <f t="shared" si="6"/>
        <v/>
      </c>
      <c r="G157" s="1" t="str">
        <f>IF(IF(ROW(D155)&gt;MAX(Main!$C$4:$C$1048576),"",INDEX(Main!J$4:J$1048576,MATCH(ROW(D155),Main!$C$4:$C$1048576,0)))="",IF(E157="","",G156),IF(ROW(D155)&gt;MAX(Main!$C$4:$C$1048576),"",INDEX(Main!J$4:J$1048576,MATCH(ROW(D155),Main!$C$4:$C$1048576,0))))</f>
        <v/>
      </c>
      <c r="H157" s="10" t="str">
        <f>IF(ROW(G155)&gt;MAX(Main!$C$4:$C$1048576),"",INDEX(Main!K$4:K$1048576,MATCH(ROW(G155),Main!$C$4:$C$1048576,0)))</f>
        <v/>
      </c>
      <c r="I157" s="1" t="str">
        <f>IF(H157&lt;&gt;"",IF(ROW(G155)&gt;MAX(Main!$C$4:$C$1048576),"",INDEX(Main!N$4:N$1048576,MATCH(ROW(G155),Main!$C$4:$C$1048576,0))),"")</f>
        <v/>
      </c>
      <c r="J157" s="1" t="str">
        <f>IF(IF(ROW(H155)&gt;MAX(Main!$C$4:$C$1048576),"",INDEX(Main!O$4:O$1048576,MATCH(ROW(H155),Main!$C$4:$C$1048576,0)))="",IF(I157="","",J156),IF(ROW(H155)&gt;MAX(Main!$C$4:$C$1048576),"",INDEX(Main!O$4:O$1048576,MATCH(ROW(H155),Main!$C$4:$C$1048576,0))))</f>
        <v/>
      </c>
      <c r="K157" s="27" t="str">
        <f t="shared" si="7"/>
        <v>例目</v>
      </c>
      <c r="M157" s="4" t="str">
        <f>TEXT(IF(ROW(A155)&gt;MAX(Main!$D$4:$D$1048576),"",INDEX(Main!Q$4:Q$1048576,MATCH(ROW(A155),Main!$D$4:$D$1048576,0))), "yyyy/m/d")</f>
        <v/>
      </c>
      <c r="N157" s="1" t="str">
        <f>IF(IF(ROW(A155)&gt;MAX(Main!$D$4:$D$1048576),"",INDEX(Main!G$4:G$1048576,MATCH(ROW(A155),Main!$D$4:$D$1048576,0)))="",IF(M157="","",N156),IF(ROW(A155)&gt;MAX(Main!$D$4:$D$1048576),"",INDEX(Main!G$4:G$1048576,MATCH(ROW(A155),Main!$D$4:$D$1048576,0))))</f>
        <v/>
      </c>
      <c r="O157" s="1" t="str">
        <f>IF(IF(ROW(B155)&gt;MAX(Main!$D$4:$D$1048576),"",INDEX(Main!H$4:H$1048576,MATCH(ROW(B155),Main!$D$4:$D$1048576,0)))="",IF(N157="","",O156),IF(ROW(B155)&gt;MAX(Main!$D$4:$D$1048576),"",INDEX(Main!H$4:H$1048576,MATCH(ROW(B155),Main!$D$4:$D$1048576,0))))</f>
        <v/>
      </c>
      <c r="P157" s="1" t="str">
        <f>IF(IF(ROW(C155)&gt;MAX(Main!$D$4:$D$1048576),"",INDEX(Main!I$4:I$1048576,MATCH(ROW(C155),Main!$D$4:$D$1048576,0)))="",IF(O157="","",P156),IF(ROW(C155)&gt;MAX(Main!$D$4:$D$1048576),"",INDEX(Main!I$4:I$1048576,MATCH(ROW(C155),Main!$D$4:$D$1048576,0))))</f>
        <v/>
      </c>
      <c r="Q157" s="1" t="str">
        <f t="shared" si="8"/>
        <v/>
      </c>
      <c r="R157" s="1" t="str">
        <f>IF(IF(ROW(D155)&gt;MAX(Main!$D$4:$D$1048576),"",INDEX(Main!J$4:J$1048576,MATCH(ROW(D155),Main!$D$4:$D$1048576,0)))="",IF(P157="","",R156),IF(ROW(D155)&gt;MAX(Main!$D$4:$D$1048576),"",INDEX(Main!J$4:J$1048576,MATCH(ROW(D155),Main!$D$4:$D$1048576,0))))</f>
        <v/>
      </c>
      <c r="S157" s="9" t="str">
        <f>IF(ROW(G155)&gt;MAX(Main!$D$4:$D$1048576),"",INDEX(Main!K$4:K$1048576,MATCH(ROW(G155),Main!$D$4:$D$1048576,0)))</f>
        <v/>
      </c>
      <c r="T157" s="1" t="str">
        <f>IF(S157&lt;&gt;"",IF(ROW(G155)&gt;MAX(Main!$D$4:$D$1048576),"",INDEX(Main!N$4:N$1048576,MATCH(ROW(G155),Main!$D$4:$D$1048576,0))),"")</f>
        <v/>
      </c>
      <c r="U157" s="1" t="str">
        <f>IF(IF(ROW(H155)&gt;MAX(Main!$D$4:$D$1048576),"",INDEX(Main!O$4:O$1048576,MATCH(ROW(H155),Main!$D$4:$D$1048576,0)))="",IF(T157="","",U156),IF(ROW(H155)&gt;MAX(Main!$D$4:$D$1048576),"",INDEX(Main!O$4:O$1048576,MATCH(ROW(H155),Main!$D$4:$D$1048576,0))))</f>
        <v/>
      </c>
    </row>
    <row r="158" spans="1:21" x14ac:dyDescent="0.4">
      <c r="A158" t="s">
        <v>21</v>
      </c>
      <c r="B158" s="4" t="str">
        <f>TEXT(IF(ROW(A156)&gt;MAX(Main!$C$4:$C$1048576),"",INDEX(Main!Q$4:Q$1048576,MATCH(ROW(A156),Main!$C$4:$C$1048576,0))), "yyyy/m/d")</f>
        <v/>
      </c>
      <c r="C158" s="1" t="str">
        <f>IF(IF(ROW(A156)&gt;MAX(Main!$C$4:$C$1048576),"",INDEX(Main!G$4:G$1048576,MATCH(ROW(A156),Main!$C$4:$C$1048576,0)))="",IF(B158="","",C157),IF(ROW(A156)&gt;MAX(Main!$C$4:$C$1048576),"",INDEX(Main!G$4:G$1048576,MATCH(ROW(A156),Main!$C$4:$C$1048576,0))))</f>
        <v/>
      </c>
      <c r="D158" s="1" t="str">
        <f>IF(IF(ROW(B156)&gt;MAX(Main!$C$4:$C$1048576),"",INDEX(Main!H$4:H$1048576,MATCH(ROW(B156),Main!$C$4:$C$1048576,0)))="",IF(C158="","",D157),IF(ROW(B156)&gt;MAX(Main!$C$4:$C$1048576),"",INDEX(Main!H$4:H$1048576,MATCH(ROW(B156),Main!$C$4:$C$1048576,0))))</f>
        <v/>
      </c>
      <c r="E158" s="1" t="str">
        <f>IF(IF(ROW(C156)&gt;MAX(Main!$C$4:$C$1048576),"",INDEX(Main!I$4:I$1048576,MATCH(ROW(C156),Main!$C$4:$C$1048576,0)))="",IF(D158="","",E157),IF(ROW(C156)&gt;MAX(Main!$C$4:$C$1048576),"",INDEX(Main!I$4:I$1048576,MATCH(ROW(C156),Main!$C$4:$C$1048576,0))))</f>
        <v/>
      </c>
      <c r="F158" s="1" t="str">
        <f t="shared" si="6"/>
        <v/>
      </c>
      <c r="G158" s="1" t="str">
        <f>IF(IF(ROW(D156)&gt;MAX(Main!$C$4:$C$1048576),"",INDEX(Main!J$4:J$1048576,MATCH(ROW(D156),Main!$C$4:$C$1048576,0)))="",IF(E158="","",G157),IF(ROW(D156)&gt;MAX(Main!$C$4:$C$1048576),"",INDEX(Main!J$4:J$1048576,MATCH(ROW(D156),Main!$C$4:$C$1048576,0))))</f>
        <v/>
      </c>
      <c r="H158" s="10" t="str">
        <f>IF(ROW(G156)&gt;MAX(Main!$C$4:$C$1048576),"",INDEX(Main!K$4:K$1048576,MATCH(ROW(G156),Main!$C$4:$C$1048576,0)))</f>
        <v/>
      </c>
      <c r="I158" s="1" t="str">
        <f>IF(H158&lt;&gt;"",IF(ROW(G156)&gt;MAX(Main!$C$4:$C$1048576),"",INDEX(Main!N$4:N$1048576,MATCH(ROW(G156),Main!$C$4:$C$1048576,0))),"")</f>
        <v/>
      </c>
      <c r="J158" s="1" t="str">
        <f>IF(IF(ROW(H156)&gt;MAX(Main!$C$4:$C$1048576),"",INDEX(Main!O$4:O$1048576,MATCH(ROW(H156),Main!$C$4:$C$1048576,0)))="",IF(I158="","",J157),IF(ROW(H156)&gt;MAX(Main!$C$4:$C$1048576),"",INDEX(Main!O$4:O$1048576,MATCH(ROW(H156),Main!$C$4:$C$1048576,0))))</f>
        <v/>
      </c>
      <c r="K158" s="27" t="str">
        <f t="shared" si="7"/>
        <v>例目</v>
      </c>
      <c r="M158" s="4" t="str">
        <f>TEXT(IF(ROW(A156)&gt;MAX(Main!$D$4:$D$1048576),"",INDEX(Main!Q$4:Q$1048576,MATCH(ROW(A156),Main!$D$4:$D$1048576,0))), "yyyy/m/d")</f>
        <v/>
      </c>
      <c r="N158" s="1" t="str">
        <f>IF(IF(ROW(A156)&gt;MAX(Main!$D$4:$D$1048576),"",INDEX(Main!G$4:G$1048576,MATCH(ROW(A156),Main!$D$4:$D$1048576,0)))="",IF(M158="","",N157),IF(ROW(A156)&gt;MAX(Main!$D$4:$D$1048576),"",INDEX(Main!G$4:G$1048576,MATCH(ROW(A156),Main!$D$4:$D$1048576,0))))</f>
        <v/>
      </c>
      <c r="O158" s="1" t="str">
        <f>IF(IF(ROW(B156)&gt;MAX(Main!$D$4:$D$1048576),"",INDEX(Main!H$4:H$1048576,MATCH(ROW(B156),Main!$D$4:$D$1048576,0)))="",IF(N158="","",O157),IF(ROW(B156)&gt;MAX(Main!$D$4:$D$1048576),"",INDEX(Main!H$4:H$1048576,MATCH(ROW(B156),Main!$D$4:$D$1048576,0))))</f>
        <v/>
      </c>
      <c r="P158" s="1" t="str">
        <f>IF(IF(ROW(C156)&gt;MAX(Main!$D$4:$D$1048576),"",INDEX(Main!I$4:I$1048576,MATCH(ROW(C156),Main!$D$4:$D$1048576,0)))="",IF(O158="","",P157),IF(ROW(C156)&gt;MAX(Main!$D$4:$D$1048576),"",INDEX(Main!I$4:I$1048576,MATCH(ROW(C156),Main!$D$4:$D$1048576,0))))</f>
        <v/>
      </c>
      <c r="Q158" s="1" t="str">
        <f t="shared" si="8"/>
        <v/>
      </c>
      <c r="R158" s="1" t="str">
        <f>IF(IF(ROW(D156)&gt;MAX(Main!$D$4:$D$1048576),"",INDEX(Main!J$4:J$1048576,MATCH(ROW(D156),Main!$D$4:$D$1048576,0)))="",IF(P158="","",R157),IF(ROW(D156)&gt;MAX(Main!$D$4:$D$1048576),"",INDEX(Main!J$4:J$1048576,MATCH(ROW(D156),Main!$D$4:$D$1048576,0))))</f>
        <v/>
      </c>
      <c r="S158" s="9" t="str">
        <f>IF(ROW(G156)&gt;MAX(Main!$D$4:$D$1048576),"",INDEX(Main!K$4:K$1048576,MATCH(ROW(G156),Main!$D$4:$D$1048576,0)))</f>
        <v/>
      </c>
      <c r="T158" s="1" t="str">
        <f>IF(S158&lt;&gt;"",IF(ROW(G156)&gt;MAX(Main!$D$4:$D$1048576),"",INDEX(Main!N$4:N$1048576,MATCH(ROW(G156),Main!$D$4:$D$1048576,0))),"")</f>
        <v/>
      </c>
      <c r="U158" s="1" t="str">
        <f>IF(IF(ROW(H156)&gt;MAX(Main!$D$4:$D$1048576),"",INDEX(Main!O$4:O$1048576,MATCH(ROW(H156),Main!$D$4:$D$1048576,0)))="",IF(T158="","",U157),IF(ROW(H156)&gt;MAX(Main!$D$4:$D$1048576),"",INDEX(Main!O$4:O$1048576,MATCH(ROW(H156),Main!$D$4:$D$1048576,0))))</f>
        <v/>
      </c>
    </row>
    <row r="159" spans="1:21" x14ac:dyDescent="0.4">
      <c r="A159" t="s">
        <v>21</v>
      </c>
      <c r="B159" s="4" t="str">
        <f>TEXT(IF(ROW(A157)&gt;MAX(Main!$C$4:$C$1048576),"",INDEX(Main!Q$4:Q$1048576,MATCH(ROW(A157),Main!$C$4:$C$1048576,0))), "yyyy/m/d")</f>
        <v/>
      </c>
      <c r="C159" s="1" t="str">
        <f>IF(IF(ROW(A157)&gt;MAX(Main!$C$4:$C$1048576),"",INDEX(Main!G$4:G$1048576,MATCH(ROW(A157),Main!$C$4:$C$1048576,0)))="",IF(B159="","",C158),IF(ROW(A157)&gt;MAX(Main!$C$4:$C$1048576),"",INDEX(Main!G$4:G$1048576,MATCH(ROW(A157),Main!$C$4:$C$1048576,0))))</f>
        <v/>
      </c>
      <c r="D159" s="1" t="str">
        <f>IF(IF(ROW(B157)&gt;MAX(Main!$C$4:$C$1048576),"",INDEX(Main!H$4:H$1048576,MATCH(ROW(B157),Main!$C$4:$C$1048576,0)))="",IF(C159="","",D158),IF(ROW(B157)&gt;MAX(Main!$C$4:$C$1048576),"",INDEX(Main!H$4:H$1048576,MATCH(ROW(B157),Main!$C$4:$C$1048576,0))))</f>
        <v/>
      </c>
      <c r="E159" s="1" t="str">
        <f>IF(IF(ROW(C157)&gt;MAX(Main!$C$4:$C$1048576),"",INDEX(Main!I$4:I$1048576,MATCH(ROW(C157),Main!$C$4:$C$1048576,0)))="",IF(D159="","",E158),IF(ROW(C157)&gt;MAX(Main!$C$4:$C$1048576),"",INDEX(Main!I$4:I$1048576,MATCH(ROW(C157),Main!$C$4:$C$1048576,0))))</f>
        <v/>
      </c>
      <c r="F159" s="1" t="str">
        <f t="shared" si="6"/>
        <v/>
      </c>
      <c r="G159" s="1" t="str">
        <f>IF(IF(ROW(D157)&gt;MAX(Main!$C$4:$C$1048576),"",INDEX(Main!J$4:J$1048576,MATCH(ROW(D157),Main!$C$4:$C$1048576,0)))="",IF(E159="","",G158),IF(ROW(D157)&gt;MAX(Main!$C$4:$C$1048576),"",INDEX(Main!J$4:J$1048576,MATCH(ROW(D157),Main!$C$4:$C$1048576,0))))</f>
        <v/>
      </c>
      <c r="H159" s="10" t="str">
        <f>IF(ROW(G157)&gt;MAX(Main!$C$4:$C$1048576),"",INDEX(Main!K$4:K$1048576,MATCH(ROW(G157),Main!$C$4:$C$1048576,0)))</f>
        <v/>
      </c>
      <c r="I159" s="1" t="str">
        <f>IF(H159&lt;&gt;"",IF(ROW(G157)&gt;MAX(Main!$C$4:$C$1048576),"",INDEX(Main!N$4:N$1048576,MATCH(ROW(G157),Main!$C$4:$C$1048576,0))),"")</f>
        <v/>
      </c>
      <c r="J159" s="1" t="str">
        <f>IF(IF(ROW(H157)&gt;MAX(Main!$C$4:$C$1048576),"",INDEX(Main!O$4:O$1048576,MATCH(ROW(H157),Main!$C$4:$C$1048576,0)))="",IF(I159="","",J158),IF(ROW(H157)&gt;MAX(Main!$C$4:$C$1048576),"",INDEX(Main!O$4:O$1048576,MATCH(ROW(H157),Main!$C$4:$C$1048576,0))))</f>
        <v/>
      </c>
      <c r="K159" s="27" t="str">
        <f t="shared" si="7"/>
        <v>例目</v>
      </c>
      <c r="M159" s="4" t="str">
        <f>TEXT(IF(ROW(A157)&gt;MAX(Main!$D$4:$D$1048576),"",INDEX(Main!Q$4:Q$1048576,MATCH(ROW(A157),Main!$D$4:$D$1048576,0))), "yyyy/m/d")</f>
        <v/>
      </c>
      <c r="N159" s="1" t="str">
        <f>IF(IF(ROW(A157)&gt;MAX(Main!$D$4:$D$1048576),"",INDEX(Main!G$4:G$1048576,MATCH(ROW(A157),Main!$D$4:$D$1048576,0)))="",IF(M159="","",N158),IF(ROW(A157)&gt;MAX(Main!$D$4:$D$1048576),"",INDEX(Main!G$4:G$1048576,MATCH(ROW(A157),Main!$D$4:$D$1048576,0))))</f>
        <v/>
      </c>
      <c r="O159" s="1" t="str">
        <f>IF(IF(ROW(B157)&gt;MAX(Main!$D$4:$D$1048576),"",INDEX(Main!H$4:H$1048576,MATCH(ROW(B157),Main!$D$4:$D$1048576,0)))="",IF(N159="","",O158),IF(ROW(B157)&gt;MAX(Main!$D$4:$D$1048576),"",INDEX(Main!H$4:H$1048576,MATCH(ROW(B157),Main!$D$4:$D$1048576,0))))</f>
        <v/>
      </c>
      <c r="P159" s="1" t="str">
        <f>IF(IF(ROW(C157)&gt;MAX(Main!$D$4:$D$1048576),"",INDEX(Main!I$4:I$1048576,MATCH(ROW(C157),Main!$D$4:$D$1048576,0)))="",IF(O159="","",P158),IF(ROW(C157)&gt;MAX(Main!$D$4:$D$1048576),"",INDEX(Main!I$4:I$1048576,MATCH(ROW(C157),Main!$D$4:$D$1048576,0))))</f>
        <v/>
      </c>
      <c r="Q159" s="1" t="str">
        <f t="shared" si="8"/>
        <v/>
      </c>
      <c r="R159" s="1" t="str">
        <f>IF(IF(ROW(D157)&gt;MAX(Main!$D$4:$D$1048576),"",INDEX(Main!J$4:J$1048576,MATCH(ROW(D157),Main!$D$4:$D$1048576,0)))="",IF(P159="","",R158),IF(ROW(D157)&gt;MAX(Main!$D$4:$D$1048576),"",INDEX(Main!J$4:J$1048576,MATCH(ROW(D157),Main!$D$4:$D$1048576,0))))</f>
        <v/>
      </c>
      <c r="S159" s="9" t="str">
        <f>IF(ROW(G157)&gt;MAX(Main!$D$4:$D$1048576),"",INDEX(Main!K$4:K$1048576,MATCH(ROW(G157),Main!$D$4:$D$1048576,0)))</f>
        <v/>
      </c>
      <c r="T159" s="1" t="str">
        <f>IF(S159&lt;&gt;"",IF(ROW(G157)&gt;MAX(Main!$D$4:$D$1048576),"",INDEX(Main!N$4:N$1048576,MATCH(ROW(G157),Main!$D$4:$D$1048576,0))),"")</f>
        <v/>
      </c>
      <c r="U159" s="1" t="str">
        <f>IF(IF(ROW(H157)&gt;MAX(Main!$D$4:$D$1048576),"",INDEX(Main!O$4:O$1048576,MATCH(ROW(H157),Main!$D$4:$D$1048576,0)))="",IF(T159="","",U158),IF(ROW(H157)&gt;MAX(Main!$D$4:$D$1048576),"",INDEX(Main!O$4:O$1048576,MATCH(ROW(H157),Main!$D$4:$D$1048576,0))))</f>
        <v/>
      </c>
    </row>
    <row r="160" spans="1:21" x14ac:dyDescent="0.4">
      <c r="A160" t="s">
        <v>21</v>
      </c>
      <c r="B160" s="4" t="str">
        <f>TEXT(IF(ROW(A158)&gt;MAX(Main!$C$4:$C$1048576),"",INDEX(Main!Q$4:Q$1048576,MATCH(ROW(A158),Main!$C$4:$C$1048576,0))), "yyyy/m/d")</f>
        <v/>
      </c>
      <c r="C160" s="1" t="str">
        <f>IF(IF(ROW(A158)&gt;MAX(Main!$C$4:$C$1048576),"",INDEX(Main!G$4:G$1048576,MATCH(ROW(A158),Main!$C$4:$C$1048576,0)))="",IF(B160="","",C159),IF(ROW(A158)&gt;MAX(Main!$C$4:$C$1048576),"",INDEX(Main!G$4:G$1048576,MATCH(ROW(A158),Main!$C$4:$C$1048576,0))))</f>
        <v/>
      </c>
      <c r="D160" s="1" t="str">
        <f>IF(IF(ROW(B158)&gt;MAX(Main!$C$4:$C$1048576),"",INDEX(Main!H$4:H$1048576,MATCH(ROW(B158),Main!$C$4:$C$1048576,0)))="",IF(C160="","",D159),IF(ROW(B158)&gt;MAX(Main!$C$4:$C$1048576),"",INDEX(Main!H$4:H$1048576,MATCH(ROW(B158),Main!$C$4:$C$1048576,0))))</f>
        <v/>
      </c>
      <c r="E160" s="1" t="str">
        <f>IF(IF(ROW(C158)&gt;MAX(Main!$C$4:$C$1048576),"",INDEX(Main!I$4:I$1048576,MATCH(ROW(C158),Main!$C$4:$C$1048576,0)))="",IF(D160="","",E159),IF(ROW(C158)&gt;MAX(Main!$C$4:$C$1048576),"",INDEX(Main!I$4:I$1048576,MATCH(ROW(C158),Main!$C$4:$C$1048576,0))))</f>
        <v/>
      </c>
      <c r="F160" s="1" t="str">
        <f t="shared" si="6"/>
        <v/>
      </c>
      <c r="G160" s="1" t="str">
        <f>IF(IF(ROW(D158)&gt;MAX(Main!$C$4:$C$1048576),"",INDEX(Main!J$4:J$1048576,MATCH(ROW(D158),Main!$C$4:$C$1048576,0)))="",IF(E160="","",G159),IF(ROW(D158)&gt;MAX(Main!$C$4:$C$1048576),"",INDEX(Main!J$4:J$1048576,MATCH(ROW(D158),Main!$C$4:$C$1048576,0))))</f>
        <v/>
      </c>
      <c r="H160" s="10" t="str">
        <f>IF(ROW(G158)&gt;MAX(Main!$C$4:$C$1048576),"",INDEX(Main!K$4:K$1048576,MATCH(ROW(G158),Main!$C$4:$C$1048576,0)))</f>
        <v/>
      </c>
      <c r="I160" s="1" t="str">
        <f>IF(H160&lt;&gt;"",IF(ROW(G158)&gt;MAX(Main!$C$4:$C$1048576),"",INDEX(Main!N$4:N$1048576,MATCH(ROW(G158),Main!$C$4:$C$1048576,0))),"")</f>
        <v/>
      </c>
      <c r="J160" s="1" t="str">
        <f>IF(IF(ROW(H158)&gt;MAX(Main!$C$4:$C$1048576),"",INDEX(Main!O$4:O$1048576,MATCH(ROW(H158),Main!$C$4:$C$1048576,0)))="",IF(I160="","",J159),IF(ROW(H158)&gt;MAX(Main!$C$4:$C$1048576),"",INDEX(Main!O$4:O$1048576,MATCH(ROW(H158),Main!$C$4:$C$1048576,0))))</f>
        <v/>
      </c>
      <c r="K160" s="27" t="str">
        <f t="shared" si="7"/>
        <v>例目</v>
      </c>
      <c r="M160" s="4" t="str">
        <f>TEXT(IF(ROW(A158)&gt;MAX(Main!$D$4:$D$1048576),"",INDEX(Main!Q$4:Q$1048576,MATCH(ROW(A158),Main!$D$4:$D$1048576,0))), "yyyy/m/d")</f>
        <v/>
      </c>
      <c r="N160" s="1" t="str">
        <f>IF(IF(ROW(A158)&gt;MAX(Main!$D$4:$D$1048576),"",INDEX(Main!G$4:G$1048576,MATCH(ROW(A158),Main!$D$4:$D$1048576,0)))="",IF(M160="","",N159),IF(ROW(A158)&gt;MAX(Main!$D$4:$D$1048576),"",INDEX(Main!G$4:G$1048576,MATCH(ROW(A158),Main!$D$4:$D$1048576,0))))</f>
        <v/>
      </c>
      <c r="O160" s="1" t="str">
        <f>IF(IF(ROW(B158)&gt;MAX(Main!$D$4:$D$1048576),"",INDEX(Main!H$4:H$1048576,MATCH(ROW(B158),Main!$D$4:$D$1048576,0)))="",IF(N160="","",O159),IF(ROW(B158)&gt;MAX(Main!$D$4:$D$1048576),"",INDEX(Main!H$4:H$1048576,MATCH(ROW(B158),Main!$D$4:$D$1048576,0))))</f>
        <v/>
      </c>
      <c r="P160" s="1" t="str">
        <f>IF(IF(ROW(C158)&gt;MAX(Main!$D$4:$D$1048576),"",INDEX(Main!I$4:I$1048576,MATCH(ROW(C158),Main!$D$4:$D$1048576,0)))="",IF(O160="","",P159),IF(ROW(C158)&gt;MAX(Main!$D$4:$D$1048576),"",INDEX(Main!I$4:I$1048576,MATCH(ROW(C158),Main!$D$4:$D$1048576,0))))</f>
        <v/>
      </c>
      <c r="Q160" s="1" t="str">
        <f t="shared" si="8"/>
        <v/>
      </c>
      <c r="R160" s="1" t="str">
        <f>IF(IF(ROW(D158)&gt;MAX(Main!$D$4:$D$1048576),"",INDEX(Main!J$4:J$1048576,MATCH(ROW(D158),Main!$D$4:$D$1048576,0)))="",IF(P160="","",R159),IF(ROW(D158)&gt;MAX(Main!$D$4:$D$1048576),"",INDEX(Main!J$4:J$1048576,MATCH(ROW(D158),Main!$D$4:$D$1048576,0))))</f>
        <v/>
      </c>
      <c r="S160" s="9" t="str">
        <f>IF(ROW(G158)&gt;MAX(Main!$D$4:$D$1048576),"",INDEX(Main!K$4:K$1048576,MATCH(ROW(G158),Main!$D$4:$D$1048576,0)))</f>
        <v/>
      </c>
      <c r="T160" s="1" t="str">
        <f>IF(S160&lt;&gt;"",IF(ROW(G158)&gt;MAX(Main!$D$4:$D$1048576),"",INDEX(Main!N$4:N$1048576,MATCH(ROW(G158),Main!$D$4:$D$1048576,0))),"")</f>
        <v/>
      </c>
      <c r="U160" s="1" t="str">
        <f>IF(IF(ROW(H158)&gt;MAX(Main!$D$4:$D$1048576),"",INDEX(Main!O$4:O$1048576,MATCH(ROW(H158),Main!$D$4:$D$1048576,0)))="",IF(T160="","",U159),IF(ROW(H158)&gt;MAX(Main!$D$4:$D$1048576),"",INDEX(Main!O$4:O$1048576,MATCH(ROW(H158),Main!$D$4:$D$1048576,0))))</f>
        <v/>
      </c>
    </row>
    <row r="161" spans="1:21" x14ac:dyDescent="0.4">
      <c r="A161" t="s">
        <v>21</v>
      </c>
      <c r="B161" s="4" t="str">
        <f>TEXT(IF(ROW(A159)&gt;MAX(Main!$C$4:$C$1048576),"",INDEX(Main!Q$4:Q$1048576,MATCH(ROW(A159),Main!$C$4:$C$1048576,0))), "yyyy/m/d")</f>
        <v/>
      </c>
      <c r="C161" s="1" t="str">
        <f>IF(IF(ROW(A159)&gt;MAX(Main!$C$4:$C$1048576),"",INDEX(Main!G$4:G$1048576,MATCH(ROW(A159),Main!$C$4:$C$1048576,0)))="",IF(B161="","",C160),IF(ROW(A159)&gt;MAX(Main!$C$4:$C$1048576),"",INDEX(Main!G$4:G$1048576,MATCH(ROW(A159),Main!$C$4:$C$1048576,0))))</f>
        <v/>
      </c>
      <c r="D161" s="1" t="str">
        <f>IF(IF(ROW(B159)&gt;MAX(Main!$C$4:$C$1048576),"",INDEX(Main!H$4:H$1048576,MATCH(ROW(B159),Main!$C$4:$C$1048576,0)))="",IF(C161="","",D160),IF(ROW(B159)&gt;MAX(Main!$C$4:$C$1048576),"",INDEX(Main!H$4:H$1048576,MATCH(ROW(B159),Main!$C$4:$C$1048576,0))))</f>
        <v/>
      </c>
      <c r="E161" s="1" t="str">
        <f>IF(IF(ROW(C159)&gt;MAX(Main!$C$4:$C$1048576),"",INDEX(Main!I$4:I$1048576,MATCH(ROW(C159),Main!$C$4:$C$1048576,0)))="",IF(D161="","",E160),IF(ROW(C159)&gt;MAX(Main!$C$4:$C$1048576),"",INDEX(Main!I$4:I$1048576,MATCH(ROW(C159),Main!$C$4:$C$1048576,0))))</f>
        <v/>
      </c>
      <c r="F161" s="1" t="str">
        <f t="shared" si="6"/>
        <v/>
      </c>
      <c r="G161" s="1" t="str">
        <f>IF(IF(ROW(D159)&gt;MAX(Main!$C$4:$C$1048576),"",INDEX(Main!J$4:J$1048576,MATCH(ROW(D159),Main!$C$4:$C$1048576,0)))="",IF(E161="","",G160),IF(ROW(D159)&gt;MAX(Main!$C$4:$C$1048576),"",INDEX(Main!J$4:J$1048576,MATCH(ROW(D159),Main!$C$4:$C$1048576,0))))</f>
        <v/>
      </c>
      <c r="H161" s="10" t="str">
        <f>IF(ROW(G159)&gt;MAX(Main!$C$4:$C$1048576),"",INDEX(Main!K$4:K$1048576,MATCH(ROW(G159),Main!$C$4:$C$1048576,0)))</f>
        <v/>
      </c>
      <c r="I161" s="1" t="str">
        <f>IF(H161&lt;&gt;"",IF(ROW(G159)&gt;MAX(Main!$C$4:$C$1048576),"",INDEX(Main!N$4:N$1048576,MATCH(ROW(G159),Main!$C$4:$C$1048576,0))),"")</f>
        <v/>
      </c>
      <c r="J161" s="1" t="str">
        <f>IF(IF(ROW(H159)&gt;MAX(Main!$C$4:$C$1048576),"",INDEX(Main!O$4:O$1048576,MATCH(ROW(H159),Main!$C$4:$C$1048576,0)))="",IF(I161="","",J160),IF(ROW(H159)&gt;MAX(Main!$C$4:$C$1048576),"",INDEX(Main!O$4:O$1048576,MATCH(ROW(H159),Main!$C$4:$C$1048576,0))))</f>
        <v/>
      </c>
      <c r="K161" s="27" t="str">
        <f t="shared" si="7"/>
        <v>例目</v>
      </c>
      <c r="M161" s="4" t="str">
        <f>TEXT(IF(ROW(A159)&gt;MAX(Main!$D$4:$D$1048576),"",INDEX(Main!Q$4:Q$1048576,MATCH(ROW(A159),Main!$D$4:$D$1048576,0))), "yyyy/m/d")</f>
        <v/>
      </c>
      <c r="N161" s="1" t="str">
        <f>IF(IF(ROW(A159)&gt;MAX(Main!$D$4:$D$1048576),"",INDEX(Main!G$4:G$1048576,MATCH(ROW(A159),Main!$D$4:$D$1048576,0)))="",IF(M161="","",N160),IF(ROW(A159)&gt;MAX(Main!$D$4:$D$1048576),"",INDEX(Main!G$4:G$1048576,MATCH(ROW(A159),Main!$D$4:$D$1048576,0))))</f>
        <v/>
      </c>
      <c r="O161" s="1" t="str">
        <f>IF(IF(ROW(B159)&gt;MAX(Main!$D$4:$D$1048576),"",INDEX(Main!H$4:H$1048576,MATCH(ROW(B159),Main!$D$4:$D$1048576,0)))="",IF(N161="","",O160),IF(ROW(B159)&gt;MAX(Main!$D$4:$D$1048576),"",INDEX(Main!H$4:H$1048576,MATCH(ROW(B159),Main!$D$4:$D$1048576,0))))</f>
        <v/>
      </c>
      <c r="P161" s="1" t="str">
        <f>IF(IF(ROW(C159)&gt;MAX(Main!$D$4:$D$1048576),"",INDEX(Main!I$4:I$1048576,MATCH(ROW(C159),Main!$D$4:$D$1048576,0)))="",IF(O161="","",P160),IF(ROW(C159)&gt;MAX(Main!$D$4:$D$1048576),"",INDEX(Main!I$4:I$1048576,MATCH(ROW(C159),Main!$D$4:$D$1048576,0))))</f>
        <v/>
      </c>
      <c r="Q161" s="1" t="str">
        <f t="shared" si="8"/>
        <v/>
      </c>
      <c r="R161" s="1" t="str">
        <f>IF(IF(ROW(D159)&gt;MAX(Main!$D$4:$D$1048576),"",INDEX(Main!J$4:J$1048576,MATCH(ROW(D159),Main!$D$4:$D$1048576,0)))="",IF(P161="","",R160),IF(ROW(D159)&gt;MAX(Main!$D$4:$D$1048576),"",INDEX(Main!J$4:J$1048576,MATCH(ROW(D159),Main!$D$4:$D$1048576,0))))</f>
        <v/>
      </c>
      <c r="S161" s="9" t="str">
        <f>IF(ROW(G159)&gt;MAX(Main!$D$4:$D$1048576),"",INDEX(Main!K$4:K$1048576,MATCH(ROW(G159),Main!$D$4:$D$1048576,0)))</f>
        <v/>
      </c>
      <c r="T161" s="1" t="str">
        <f>IF(S161&lt;&gt;"",IF(ROW(G159)&gt;MAX(Main!$D$4:$D$1048576),"",INDEX(Main!N$4:N$1048576,MATCH(ROW(G159),Main!$D$4:$D$1048576,0))),"")</f>
        <v/>
      </c>
      <c r="U161" s="1" t="str">
        <f>IF(IF(ROW(H159)&gt;MAX(Main!$D$4:$D$1048576),"",INDEX(Main!O$4:O$1048576,MATCH(ROW(H159),Main!$D$4:$D$1048576,0)))="",IF(T161="","",U160),IF(ROW(H159)&gt;MAX(Main!$D$4:$D$1048576),"",INDEX(Main!O$4:O$1048576,MATCH(ROW(H159),Main!$D$4:$D$1048576,0))))</f>
        <v/>
      </c>
    </row>
    <row r="162" spans="1:21" x14ac:dyDescent="0.4">
      <c r="A162" t="s">
        <v>21</v>
      </c>
      <c r="B162" s="4" t="str">
        <f>TEXT(IF(ROW(A160)&gt;MAX(Main!$C$4:$C$1048576),"",INDEX(Main!Q$4:Q$1048576,MATCH(ROW(A160),Main!$C$4:$C$1048576,0))), "yyyy/m/d")</f>
        <v/>
      </c>
      <c r="C162" s="1" t="str">
        <f>IF(IF(ROW(A160)&gt;MAX(Main!$C$4:$C$1048576),"",INDEX(Main!G$4:G$1048576,MATCH(ROW(A160),Main!$C$4:$C$1048576,0)))="",IF(B162="","",C161),IF(ROW(A160)&gt;MAX(Main!$C$4:$C$1048576),"",INDEX(Main!G$4:G$1048576,MATCH(ROW(A160),Main!$C$4:$C$1048576,0))))</f>
        <v/>
      </c>
      <c r="D162" s="1" t="str">
        <f>IF(IF(ROW(B160)&gt;MAX(Main!$C$4:$C$1048576),"",INDEX(Main!H$4:H$1048576,MATCH(ROW(B160),Main!$C$4:$C$1048576,0)))="",IF(C162="","",D161),IF(ROW(B160)&gt;MAX(Main!$C$4:$C$1048576),"",INDEX(Main!H$4:H$1048576,MATCH(ROW(B160),Main!$C$4:$C$1048576,0))))</f>
        <v/>
      </c>
      <c r="E162" s="1" t="str">
        <f>IF(IF(ROW(C160)&gt;MAX(Main!$C$4:$C$1048576),"",INDEX(Main!I$4:I$1048576,MATCH(ROW(C160),Main!$C$4:$C$1048576,0)))="",IF(D162="","",E161),IF(ROW(C160)&gt;MAX(Main!$C$4:$C$1048576),"",INDEX(Main!I$4:I$1048576,MATCH(ROW(C160),Main!$C$4:$C$1048576,0))))</f>
        <v/>
      </c>
      <c r="F162" s="1" t="str">
        <f t="shared" si="6"/>
        <v/>
      </c>
      <c r="G162" s="1" t="str">
        <f>IF(IF(ROW(D160)&gt;MAX(Main!$C$4:$C$1048576),"",INDEX(Main!J$4:J$1048576,MATCH(ROW(D160),Main!$C$4:$C$1048576,0)))="",IF(E162="","",G161),IF(ROW(D160)&gt;MAX(Main!$C$4:$C$1048576),"",INDEX(Main!J$4:J$1048576,MATCH(ROW(D160),Main!$C$4:$C$1048576,0))))</f>
        <v/>
      </c>
      <c r="H162" s="10" t="str">
        <f>IF(ROW(G160)&gt;MAX(Main!$C$4:$C$1048576),"",INDEX(Main!K$4:K$1048576,MATCH(ROW(G160),Main!$C$4:$C$1048576,0)))</f>
        <v/>
      </c>
      <c r="I162" s="1" t="str">
        <f>IF(H162&lt;&gt;"",IF(ROW(G160)&gt;MAX(Main!$C$4:$C$1048576),"",INDEX(Main!N$4:N$1048576,MATCH(ROW(G160),Main!$C$4:$C$1048576,0))),"")</f>
        <v/>
      </c>
      <c r="J162" s="1" t="str">
        <f>IF(IF(ROW(H160)&gt;MAX(Main!$C$4:$C$1048576),"",INDEX(Main!O$4:O$1048576,MATCH(ROW(H160),Main!$C$4:$C$1048576,0)))="",IF(I162="","",J161),IF(ROW(H160)&gt;MAX(Main!$C$4:$C$1048576),"",INDEX(Main!O$4:O$1048576,MATCH(ROW(H160),Main!$C$4:$C$1048576,0))))</f>
        <v/>
      </c>
      <c r="K162" s="27" t="str">
        <f t="shared" si="7"/>
        <v>例目</v>
      </c>
      <c r="M162" s="4" t="str">
        <f>TEXT(IF(ROW(A160)&gt;MAX(Main!$D$4:$D$1048576),"",INDEX(Main!Q$4:Q$1048576,MATCH(ROW(A160),Main!$D$4:$D$1048576,0))), "yyyy/m/d")</f>
        <v/>
      </c>
      <c r="N162" s="1" t="str">
        <f>IF(IF(ROW(A160)&gt;MAX(Main!$D$4:$D$1048576),"",INDEX(Main!G$4:G$1048576,MATCH(ROW(A160),Main!$D$4:$D$1048576,0)))="",IF(M162="","",N161),IF(ROW(A160)&gt;MAX(Main!$D$4:$D$1048576),"",INDEX(Main!G$4:G$1048576,MATCH(ROW(A160),Main!$D$4:$D$1048576,0))))</f>
        <v/>
      </c>
      <c r="O162" s="1" t="str">
        <f>IF(IF(ROW(B160)&gt;MAX(Main!$D$4:$D$1048576),"",INDEX(Main!H$4:H$1048576,MATCH(ROW(B160),Main!$D$4:$D$1048576,0)))="",IF(N162="","",O161),IF(ROW(B160)&gt;MAX(Main!$D$4:$D$1048576),"",INDEX(Main!H$4:H$1048576,MATCH(ROW(B160),Main!$D$4:$D$1048576,0))))</f>
        <v/>
      </c>
      <c r="P162" s="1" t="str">
        <f>IF(IF(ROW(C160)&gt;MAX(Main!$D$4:$D$1048576),"",INDEX(Main!I$4:I$1048576,MATCH(ROW(C160),Main!$D$4:$D$1048576,0)))="",IF(O162="","",P161),IF(ROW(C160)&gt;MAX(Main!$D$4:$D$1048576),"",INDEX(Main!I$4:I$1048576,MATCH(ROW(C160),Main!$D$4:$D$1048576,0))))</f>
        <v/>
      </c>
      <c r="Q162" s="1" t="str">
        <f t="shared" si="8"/>
        <v/>
      </c>
      <c r="R162" s="1" t="str">
        <f>IF(IF(ROW(D160)&gt;MAX(Main!$D$4:$D$1048576),"",INDEX(Main!J$4:J$1048576,MATCH(ROW(D160),Main!$D$4:$D$1048576,0)))="",IF(P162="","",R161),IF(ROW(D160)&gt;MAX(Main!$D$4:$D$1048576),"",INDEX(Main!J$4:J$1048576,MATCH(ROW(D160),Main!$D$4:$D$1048576,0))))</f>
        <v/>
      </c>
      <c r="S162" s="9" t="str">
        <f>IF(ROW(G160)&gt;MAX(Main!$D$4:$D$1048576),"",INDEX(Main!K$4:K$1048576,MATCH(ROW(G160),Main!$D$4:$D$1048576,0)))</f>
        <v/>
      </c>
      <c r="T162" s="1" t="str">
        <f>IF(S162&lt;&gt;"",IF(ROW(G160)&gt;MAX(Main!$D$4:$D$1048576),"",INDEX(Main!N$4:N$1048576,MATCH(ROW(G160),Main!$D$4:$D$1048576,0))),"")</f>
        <v/>
      </c>
      <c r="U162" s="1" t="str">
        <f>IF(IF(ROW(H160)&gt;MAX(Main!$D$4:$D$1048576),"",INDEX(Main!O$4:O$1048576,MATCH(ROW(H160),Main!$D$4:$D$1048576,0)))="",IF(T162="","",U161),IF(ROW(H160)&gt;MAX(Main!$D$4:$D$1048576),"",INDEX(Main!O$4:O$1048576,MATCH(ROW(H160),Main!$D$4:$D$1048576,0))))</f>
        <v/>
      </c>
    </row>
    <row r="163" spans="1:21" x14ac:dyDescent="0.4">
      <c r="A163" t="s">
        <v>21</v>
      </c>
      <c r="B163" s="4" t="str">
        <f>TEXT(IF(ROW(A161)&gt;MAX(Main!$C$4:$C$1048576),"",INDEX(Main!Q$4:Q$1048576,MATCH(ROW(A161),Main!$C$4:$C$1048576,0))), "yyyy/m/d")</f>
        <v/>
      </c>
      <c r="C163" s="1" t="str">
        <f>IF(IF(ROW(A161)&gt;MAX(Main!$C$4:$C$1048576),"",INDEX(Main!G$4:G$1048576,MATCH(ROW(A161),Main!$C$4:$C$1048576,0)))="",IF(B163="","",C162),IF(ROW(A161)&gt;MAX(Main!$C$4:$C$1048576),"",INDEX(Main!G$4:G$1048576,MATCH(ROW(A161),Main!$C$4:$C$1048576,0))))</f>
        <v/>
      </c>
      <c r="D163" s="1" t="str">
        <f>IF(IF(ROW(B161)&gt;MAX(Main!$C$4:$C$1048576),"",INDEX(Main!H$4:H$1048576,MATCH(ROW(B161),Main!$C$4:$C$1048576,0)))="",IF(C163="","",D162),IF(ROW(B161)&gt;MAX(Main!$C$4:$C$1048576),"",INDEX(Main!H$4:H$1048576,MATCH(ROW(B161),Main!$C$4:$C$1048576,0))))</f>
        <v/>
      </c>
      <c r="E163" s="1" t="str">
        <f>IF(IF(ROW(C161)&gt;MAX(Main!$C$4:$C$1048576),"",INDEX(Main!I$4:I$1048576,MATCH(ROW(C161),Main!$C$4:$C$1048576,0)))="",IF(D163="","",E162),IF(ROW(C161)&gt;MAX(Main!$C$4:$C$1048576),"",INDEX(Main!I$4:I$1048576,MATCH(ROW(C161),Main!$C$4:$C$1048576,0))))</f>
        <v/>
      </c>
      <c r="F163" s="1" t="str">
        <f t="shared" si="6"/>
        <v/>
      </c>
      <c r="G163" s="1" t="str">
        <f>IF(IF(ROW(D161)&gt;MAX(Main!$C$4:$C$1048576),"",INDEX(Main!J$4:J$1048576,MATCH(ROW(D161),Main!$C$4:$C$1048576,0)))="",IF(E163="","",G162),IF(ROW(D161)&gt;MAX(Main!$C$4:$C$1048576),"",INDEX(Main!J$4:J$1048576,MATCH(ROW(D161),Main!$C$4:$C$1048576,0))))</f>
        <v/>
      </c>
      <c r="H163" s="10" t="str">
        <f>IF(ROW(G161)&gt;MAX(Main!$C$4:$C$1048576),"",INDEX(Main!K$4:K$1048576,MATCH(ROW(G161),Main!$C$4:$C$1048576,0)))</f>
        <v/>
      </c>
      <c r="I163" s="1" t="str">
        <f>IF(H163&lt;&gt;"",IF(ROW(G161)&gt;MAX(Main!$C$4:$C$1048576),"",INDEX(Main!N$4:N$1048576,MATCH(ROW(G161),Main!$C$4:$C$1048576,0))),"")</f>
        <v/>
      </c>
      <c r="J163" s="1" t="str">
        <f>IF(IF(ROW(H161)&gt;MAX(Main!$C$4:$C$1048576),"",INDEX(Main!O$4:O$1048576,MATCH(ROW(H161),Main!$C$4:$C$1048576,0)))="",IF(I163="","",J162),IF(ROW(H161)&gt;MAX(Main!$C$4:$C$1048576),"",INDEX(Main!O$4:O$1048576,MATCH(ROW(H161),Main!$C$4:$C$1048576,0))))</f>
        <v/>
      </c>
      <c r="K163" s="27" t="str">
        <f t="shared" si="7"/>
        <v>例目</v>
      </c>
      <c r="M163" s="4" t="str">
        <f>TEXT(IF(ROW(A161)&gt;MAX(Main!$D$4:$D$1048576),"",INDEX(Main!Q$4:Q$1048576,MATCH(ROW(A161),Main!$D$4:$D$1048576,0))), "yyyy/m/d")</f>
        <v/>
      </c>
      <c r="N163" s="1" t="str">
        <f>IF(IF(ROW(A161)&gt;MAX(Main!$D$4:$D$1048576),"",INDEX(Main!G$4:G$1048576,MATCH(ROW(A161),Main!$D$4:$D$1048576,0)))="",IF(M163="","",N162),IF(ROW(A161)&gt;MAX(Main!$D$4:$D$1048576),"",INDEX(Main!G$4:G$1048576,MATCH(ROW(A161),Main!$D$4:$D$1048576,0))))</f>
        <v/>
      </c>
      <c r="O163" s="1" t="str">
        <f>IF(IF(ROW(B161)&gt;MAX(Main!$D$4:$D$1048576),"",INDEX(Main!H$4:H$1048576,MATCH(ROW(B161),Main!$D$4:$D$1048576,0)))="",IF(N163="","",O162),IF(ROW(B161)&gt;MAX(Main!$D$4:$D$1048576),"",INDEX(Main!H$4:H$1048576,MATCH(ROW(B161),Main!$D$4:$D$1048576,0))))</f>
        <v/>
      </c>
      <c r="P163" s="1" t="str">
        <f>IF(IF(ROW(C161)&gt;MAX(Main!$D$4:$D$1048576),"",INDEX(Main!I$4:I$1048576,MATCH(ROW(C161),Main!$D$4:$D$1048576,0)))="",IF(O163="","",P162),IF(ROW(C161)&gt;MAX(Main!$D$4:$D$1048576),"",INDEX(Main!I$4:I$1048576,MATCH(ROW(C161),Main!$D$4:$D$1048576,0))))</f>
        <v/>
      </c>
      <c r="Q163" s="1" t="str">
        <f t="shared" si="8"/>
        <v/>
      </c>
      <c r="R163" s="1" t="str">
        <f>IF(IF(ROW(D161)&gt;MAX(Main!$D$4:$D$1048576),"",INDEX(Main!J$4:J$1048576,MATCH(ROW(D161),Main!$D$4:$D$1048576,0)))="",IF(P163="","",R162),IF(ROW(D161)&gt;MAX(Main!$D$4:$D$1048576),"",INDEX(Main!J$4:J$1048576,MATCH(ROW(D161),Main!$D$4:$D$1048576,0))))</f>
        <v/>
      </c>
      <c r="S163" s="9" t="str">
        <f>IF(ROW(G161)&gt;MAX(Main!$D$4:$D$1048576),"",INDEX(Main!K$4:K$1048576,MATCH(ROW(G161),Main!$D$4:$D$1048576,0)))</f>
        <v/>
      </c>
      <c r="T163" s="1" t="str">
        <f>IF(S163&lt;&gt;"",IF(ROW(G161)&gt;MAX(Main!$D$4:$D$1048576),"",INDEX(Main!N$4:N$1048576,MATCH(ROW(G161),Main!$D$4:$D$1048576,0))),"")</f>
        <v/>
      </c>
      <c r="U163" s="1" t="str">
        <f>IF(IF(ROW(H161)&gt;MAX(Main!$D$4:$D$1048576),"",INDEX(Main!O$4:O$1048576,MATCH(ROW(H161),Main!$D$4:$D$1048576,0)))="",IF(T163="","",U162),IF(ROW(H161)&gt;MAX(Main!$D$4:$D$1048576),"",INDEX(Main!O$4:O$1048576,MATCH(ROW(H161),Main!$D$4:$D$1048576,0))))</f>
        <v/>
      </c>
    </row>
    <row r="164" spans="1:21" x14ac:dyDescent="0.4">
      <c r="A164" t="s">
        <v>21</v>
      </c>
      <c r="B164" s="4" t="str">
        <f>TEXT(IF(ROW(A162)&gt;MAX(Main!$C$4:$C$1048576),"",INDEX(Main!Q$4:Q$1048576,MATCH(ROW(A162),Main!$C$4:$C$1048576,0))), "yyyy/m/d")</f>
        <v/>
      </c>
      <c r="C164" s="1" t="str">
        <f>IF(IF(ROW(A162)&gt;MAX(Main!$C$4:$C$1048576),"",INDEX(Main!G$4:G$1048576,MATCH(ROW(A162),Main!$C$4:$C$1048576,0)))="",IF(B164="","",C163),IF(ROW(A162)&gt;MAX(Main!$C$4:$C$1048576),"",INDEX(Main!G$4:G$1048576,MATCH(ROW(A162),Main!$C$4:$C$1048576,0))))</f>
        <v/>
      </c>
      <c r="D164" s="1" t="str">
        <f>IF(IF(ROW(B162)&gt;MAX(Main!$C$4:$C$1048576),"",INDEX(Main!H$4:H$1048576,MATCH(ROW(B162),Main!$C$4:$C$1048576,0)))="",IF(C164="","",D163),IF(ROW(B162)&gt;MAX(Main!$C$4:$C$1048576),"",INDEX(Main!H$4:H$1048576,MATCH(ROW(B162),Main!$C$4:$C$1048576,0))))</f>
        <v/>
      </c>
      <c r="E164" s="1" t="str">
        <f>IF(IF(ROW(C162)&gt;MAX(Main!$C$4:$C$1048576),"",INDEX(Main!I$4:I$1048576,MATCH(ROW(C162),Main!$C$4:$C$1048576,0)))="",IF(D164="","",E163),IF(ROW(C162)&gt;MAX(Main!$C$4:$C$1048576),"",INDEX(Main!I$4:I$1048576,MATCH(ROW(C162),Main!$C$4:$C$1048576,0))))</f>
        <v/>
      </c>
      <c r="F164" s="1" t="str">
        <f t="shared" si="6"/>
        <v/>
      </c>
      <c r="G164" s="1" t="str">
        <f>IF(IF(ROW(D162)&gt;MAX(Main!$C$4:$C$1048576),"",INDEX(Main!J$4:J$1048576,MATCH(ROW(D162),Main!$C$4:$C$1048576,0)))="",IF(E164="","",G163),IF(ROW(D162)&gt;MAX(Main!$C$4:$C$1048576),"",INDEX(Main!J$4:J$1048576,MATCH(ROW(D162),Main!$C$4:$C$1048576,0))))</f>
        <v/>
      </c>
      <c r="H164" s="10" t="str">
        <f>IF(ROW(G162)&gt;MAX(Main!$C$4:$C$1048576),"",INDEX(Main!K$4:K$1048576,MATCH(ROW(G162),Main!$C$4:$C$1048576,0)))</f>
        <v/>
      </c>
      <c r="I164" s="1" t="str">
        <f>IF(H164&lt;&gt;"",IF(ROW(G162)&gt;MAX(Main!$C$4:$C$1048576),"",INDEX(Main!N$4:N$1048576,MATCH(ROW(G162),Main!$C$4:$C$1048576,0))),"")</f>
        <v/>
      </c>
      <c r="J164" s="1" t="str">
        <f>IF(IF(ROW(H162)&gt;MAX(Main!$C$4:$C$1048576),"",INDEX(Main!O$4:O$1048576,MATCH(ROW(H162),Main!$C$4:$C$1048576,0)))="",IF(I164="","",J163),IF(ROW(H162)&gt;MAX(Main!$C$4:$C$1048576),"",INDEX(Main!O$4:O$1048576,MATCH(ROW(H162),Main!$C$4:$C$1048576,0))))</f>
        <v/>
      </c>
      <c r="K164" s="27" t="str">
        <f t="shared" si="7"/>
        <v>例目</v>
      </c>
      <c r="M164" s="4" t="str">
        <f>TEXT(IF(ROW(A162)&gt;MAX(Main!$D$4:$D$1048576),"",INDEX(Main!Q$4:Q$1048576,MATCH(ROW(A162),Main!$D$4:$D$1048576,0))), "yyyy/m/d")</f>
        <v/>
      </c>
      <c r="N164" s="1" t="str">
        <f>IF(IF(ROW(A162)&gt;MAX(Main!$D$4:$D$1048576),"",INDEX(Main!G$4:G$1048576,MATCH(ROW(A162),Main!$D$4:$D$1048576,0)))="",IF(M164="","",N163),IF(ROW(A162)&gt;MAX(Main!$D$4:$D$1048576),"",INDEX(Main!G$4:G$1048576,MATCH(ROW(A162),Main!$D$4:$D$1048576,0))))</f>
        <v/>
      </c>
      <c r="O164" s="1" t="str">
        <f>IF(IF(ROW(B162)&gt;MAX(Main!$D$4:$D$1048576),"",INDEX(Main!H$4:H$1048576,MATCH(ROW(B162),Main!$D$4:$D$1048576,0)))="",IF(N164="","",O163),IF(ROW(B162)&gt;MAX(Main!$D$4:$D$1048576),"",INDEX(Main!H$4:H$1048576,MATCH(ROW(B162),Main!$D$4:$D$1048576,0))))</f>
        <v/>
      </c>
      <c r="P164" s="1" t="str">
        <f>IF(IF(ROW(C162)&gt;MAX(Main!$D$4:$D$1048576),"",INDEX(Main!I$4:I$1048576,MATCH(ROW(C162),Main!$D$4:$D$1048576,0)))="",IF(O164="","",P163),IF(ROW(C162)&gt;MAX(Main!$D$4:$D$1048576),"",INDEX(Main!I$4:I$1048576,MATCH(ROW(C162),Main!$D$4:$D$1048576,0))))</f>
        <v/>
      </c>
      <c r="Q164" s="1" t="str">
        <f t="shared" si="8"/>
        <v/>
      </c>
      <c r="R164" s="1" t="str">
        <f>IF(IF(ROW(D162)&gt;MAX(Main!$D$4:$D$1048576),"",INDEX(Main!J$4:J$1048576,MATCH(ROW(D162),Main!$D$4:$D$1048576,0)))="",IF(P164="","",R163),IF(ROW(D162)&gt;MAX(Main!$D$4:$D$1048576),"",INDEX(Main!J$4:J$1048576,MATCH(ROW(D162),Main!$D$4:$D$1048576,0))))</f>
        <v/>
      </c>
      <c r="S164" s="9" t="str">
        <f>IF(ROW(G162)&gt;MAX(Main!$D$4:$D$1048576),"",INDEX(Main!K$4:K$1048576,MATCH(ROW(G162),Main!$D$4:$D$1048576,0)))</f>
        <v/>
      </c>
      <c r="T164" s="1" t="str">
        <f>IF(S164&lt;&gt;"",IF(ROW(G162)&gt;MAX(Main!$D$4:$D$1048576),"",INDEX(Main!N$4:N$1048576,MATCH(ROW(G162),Main!$D$4:$D$1048576,0))),"")</f>
        <v/>
      </c>
      <c r="U164" s="1" t="str">
        <f>IF(IF(ROW(H162)&gt;MAX(Main!$D$4:$D$1048576),"",INDEX(Main!O$4:O$1048576,MATCH(ROW(H162),Main!$D$4:$D$1048576,0)))="",IF(T164="","",U163),IF(ROW(H162)&gt;MAX(Main!$D$4:$D$1048576),"",INDEX(Main!O$4:O$1048576,MATCH(ROW(H162),Main!$D$4:$D$1048576,0))))</f>
        <v/>
      </c>
    </row>
    <row r="165" spans="1:21" x14ac:dyDescent="0.4">
      <c r="A165" t="s">
        <v>21</v>
      </c>
      <c r="B165" s="4" t="str">
        <f>TEXT(IF(ROW(A163)&gt;MAX(Main!$C$4:$C$1048576),"",INDEX(Main!Q$4:Q$1048576,MATCH(ROW(A163),Main!$C$4:$C$1048576,0))), "yyyy/m/d")</f>
        <v/>
      </c>
      <c r="C165" s="1" t="str">
        <f>IF(IF(ROW(A163)&gt;MAX(Main!$C$4:$C$1048576),"",INDEX(Main!G$4:G$1048576,MATCH(ROW(A163),Main!$C$4:$C$1048576,0)))="",IF(B165="","",C164),IF(ROW(A163)&gt;MAX(Main!$C$4:$C$1048576),"",INDEX(Main!G$4:G$1048576,MATCH(ROW(A163),Main!$C$4:$C$1048576,0))))</f>
        <v/>
      </c>
      <c r="D165" s="1" t="str">
        <f>IF(IF(ROW(B163)&gt;MAX(Main!$C$4:$C$1048576),"",INDEX(Main!H$4:H$1048576,MATCH(ROW(B163),Main!$C$4:$C$1048576,0)))="",IF(C165="","",D164),IF(ROW(B163)&gt;MAX(Main!$C$4:$C$1048576),"",INDEX(Main!H$4:H$1048576,MATCH(ROW(B163),Main!$C$4:$C$1048576,0))))</f>
        <v/>
      </c>
      <c r="E165" s="1" t="str">
        <f>IF(IF(ROW(C163)&gt;MAX(Main!$C$4:$C$1048576),"",INDEX(Main!I$4:I$1048576,MATCH(ROW(C163),Main!$C$4:$C$1048576,0)))="",IF(D165="","",E164),IF(ROW(C163)&gt;MAX(Main!$C$4:$C$1048576),"",INDEX(Main!I$4:I$1048576,MATCH(ROW(C163),Main!$C$4:$C$1048576,0))))</f>
        <v/>
      </c>
      <c r="F165" s="1" t="str">
        <f t="shared" si="6"/>
        <v/>
      </c>
      <c r="G165" s="1" t="str">
        <f>IF(IF(ROW(D163)&gt;MAX(Main!$C$4:$C$1048576),"",INDEX(Main!J$4:J$1048576,MATCH(ROW(D163),Main!$C$4:$C$1048576,0)))="",IF(E165="","",G164),IF(ROW(D163)&gt;MAX(Main!$C$4:$C$1048576),"",INDEX(Main!J$4:J$1048576,MATCH(ROW(D163),Main!$C$4:$C$1048576,0))))</f>
        <v/>
      </c>
      <c r="H165" s="10" t="str">
        <f>IF(ROW(G163)&gt;MAX(Main!$C$4:$C$1048576),"",INDEX(Main!K$4:K$1048576,MATCH(ROW(G163),Main!$C$4:$C$1048576,0)))</f>
        <v/>
      </c>
      <c r="I165" s="1" t="str">
        <f>IF(H165&lt;&gt;"",IF(ROW(G163)&gt;MAX(Main!$C$4:$C$1048576),"",INDEX(Main!N$4:N$1048576,MATCH(ROW(G163),Main!$C$4:$C$1048576,0))),"")</f>
        <v/>
      </c>
      <c r="J165" s="1" t="str">
        <f>IF(IF(ROW(H163)&gt;MAX(Main!$C$4:$C$1048576),"",INDEX(Main!O$4:O$1048576,MATCH(ROW(H163),Main!$C$4:$C$1048576,0)))="",IF(I165="","",J164),IF(ROW(H163)&gt;MAX(Main!$C$4:$C$1048576),"",INDEX(Main!O$4:O$1048576,MATCH(ROW(H163),Main!$C$4:$C$1048576,0))))</f>
        <v/>
      </c>
      <c r="K165" s="27" t="str">
        <f t="shared" si="7"/>
        <v>例目</v>
      </c>
      <c r="M165" s="4" t="str">
        <f>TEXT(IF(ROW(A163)&gt;MAX(Main!$D$4:$D$1048576),"",INDEX(Main!Q$4:Q$1048576,MATCH(ROW(A163),Main!$D$4:$D$1048576,0))), "yyyy/m/d")</f>
        <v/>
      </c>
      <c r="N165" s="1" t="str">
        <f>IF(IF(ROW(A163)&gt;MAX(Main!$D$4:$D$1048576),"",INDEX(Main!G$4:G$1048576,MATCH(ROW(A163),Main!$D$4:$D$1048576,0)))="",IF(M165="","",N164),IF(ROW(A163)&gt;MAX(Main!$D$4:$D$1048576),"",INDEX(Main!G$4:G$1048576,MATCH(ROW(A163),Main!$D$4:$D$1048576,0))))</f>
        <v/>
      </c>
      <c r="O165" s="1" t="str">
        <f>IF(IF(ROW(B163)&gt;MAX(Main!$D$4:$D$1048576),"",INDEX(Main!H$4:H$1048576,MATCH(ROW(B163),Main!$D$4:$D$1048576,0)))="",IF(N165="","",O164),IF(ROW(B163)&gt;MAX(Main!$D$4:$D$1048576),"",INDEX(Main!H$4:H$1048576,MATCH(ROW(B163),Main!$D$4:$D$1048576,0))))</f>
        <v/>
      </c>
      <c r="P165" s="1" t="str">
        <f>IF(IF(ROW(C163)&gt;MAX(Main!$D$4:$D$1048576),"",INDEX(Main!I$4:I$1048576,MATCH(ROW(C163),Main!$D$4:$D$1048576,0)))="",IF(O165="","",P164),IF(ROW(C163)&gt;MAX(Main!$D$4:$D$1048576),"",INDEX(Main!I$4:I$1048576,MATCH(ROW(C163),Main!$D$4:$D$1048576,0))))</f>
        <v/>
      </c>
      <c r="Q165" s="1" t="str">
        <f t="shared" si="8"/>
        <v/>
      </c>
      <c r="R165" s="1" t="str">
        <f>IF(IF(ROW(D163)&gt;MAX(Main!$D$4:$D$1048576),"",INDEX(Main!J$4:J$1048576,MATCH(ROW(D163),Main!$D$4:$D$1048576,0)))="",IF(P165="","",R164),IF(ROW(D163)&gt;MAX(Main!$D$4:$D$1048576),"",INDEX(Main!J$4:J$1048576,MATCH(ROW(D163),Main!$D$4:$D$1048576,0))))</f>
        <v/>
      </c>
      <c r="S165" s="9" t="str">
        <f>IF(ROW(G163)&gt;MAX(Main!$D$4:$D$1048576),"",INDEX(Main!K$4:K$1048576,MATCH(ROW(G163),Main!$D$4:$D$1048576,0)))</f>
        <v/>
      </c>
      <c r="T165" s="1" t="str">
        <f>IF(S165&lt;&gt;"",IF(ROW(G163)&gt;MAX(Main!$D$4:$D$1048576),"",INDEX(Main!N$4:N$1048576,MATCH(ROW(G163),Main!$D$4:$D$1048576,0))),"")</f>
        <v/>
      </c>
      <c r="U165" s="1" t="str">
        <f>IF(IF(ROW(H163)&gt;MAX(Main!$D$4:$D$1048576),"",INDEX(Main!O$4:O$1048576,MATCH(ROW(H163),Main!$D$4:$D$1048576,0)))="",IF(T165="","",U164),IF(ROW(H163)&gt;MAX(Main!$D$4:$D$1048576),"",INDEX(Main!O$4:O$1048576,MATCH(ROW(H163),Main!$D$4:$D$1048576,0))))</f>
        <v/>
      </c>
    </row>
    <row r="166" spans="1:21" x14ac:dyDescent="0.4">
      <c r="A166" t="s">
        <v>21</v>
      </c>
      <c r="B166" s="4" t="str">
        <f>TEXT(IF(ROW(A164)&gt;MAX(Main!$C$4:$C$1048576),"",INDEX(Main!Q$4:Q$1048576,MATCH(ROW(A164),Main!$C$4:$C$1048576,0))), "yyyy/m/d")</f>
        <v/>
      </c>
      <c r="C166" s="1" t="str">
        <f>IF(IF(ROW(A164)&gt;MAX(Main!$C$4:$C$1048576),"",INDEX(Main!G$4:G$1048576,MATCH(ROW(A164),Main!$C$4:$C$1048576,0)))="",IF(B166="","",C165),IF(ROW(A164)&gt;MAX(Main!$C$4:$C$1048576),"",INDEX(Main!G$4:G$1048576,MATCH(ROW(A164),Main!$C$4:$C$1048576,0))))</f>
        <v/>
      </c>
      <c r="D166" s="1" t="str">
        <f>IF(IF(ROW(B164)&gt;MAX(Main!$C$4:$C$1048576),"",INDEX(Main!H$4:H$1048576,MATCH(ROW(B164),Main!$C$4:$C$1048576,0)))="",IF(C166="","",D165),IF(ROW(B164)&gt;MAX(Main!$C$4:$C$1048576),"",INDEX(Main!H$4:H$1048576,MATCH(ROW(B164),Main!$C$4:$C$1048576,0))))</f>
        <v/>
      </c>
      <c r="E166" s="1" t="str">
        <f>IF(IF(ROW(C164)&gt;MAX(Main!$C$4:$C$1048576),"",INDEX(Main!I$4:I$1048576,MATCH(ROW(C164),Main!$C$4:$C$1048576,0)))="",IF(D166="","",E165),IF(ROW(C164)&gt;MAX(Main!$C$4:$C$1048576),"",INDEX(Main!I$4:I$1048576,MATCH(ROW(C164),Main!$C$4:$C$1048576,0))))</f>
        <v/>
      </c>
      <c r="F166" s="1" t="str">
        <f t="shared" si="6"/>
        <v/>
      </c>
      <c r="G166" s="1" t="str">
        <f>IF(IF(ROW(D164)&gt;MAX(Main!$C$4:$C$1048576),"",INDEX(Main!J$4:J$1048576,MATCH(ROW(D164),Main!$C$4:$C$1048576,0)))="",IF(E166="","",G165),IF(ROW(D164)&gt;MAX(Main!$C$4:$C$1048576),"",INDEX(Main!J$4:J$1048576,MATCH(ROW(D164),Main!$C$4:$C$1048576,0))))</f>
        <v/>
      </c>
      <c r="H166" s="10" t="str">
        <f>IF(ROW(G164)&gt;MAX(Main!$C$4:$C$1048576),"",INDEX(Main!K$4:K$1048576,MATCH(ROW(G164),Main!$C$4:$C$1048576,0)))</f>
        <v/>
      </c>
      <c r="I166" s="1" t="str">
        <f>IF(H166&lt;&gt;"",IF(ROW(G164)&gt;MAX(Main!$C$4:$C$1048576),"",INDEX(Main!N$4:N$1048576,MATCH(ROW(G164),Main!$C$4:$C$1048576,0))),"")</f>
        <v/>
      </c>
      <c r="J166" s="1" t="str">
        <f>IF(IF(ROW(H164)&gt;MAX(Main!$C$4:$C$1048576),"",INDEX(Main!O$4:O$1048576,MATCH(ROW(H164),Main!$C$4:$C$1048576,0)))="",IF(I166="","",J165),IF(ROW(H164)&gt;MAX(Main!$C$4:$C$1048576),"",INDEX(Main!O$4:O$1048576,MATCH(ROW(H164),Main!$C$4:$C$1048576,0))))</f>
        <v/>
      </c>
      <c r="K166" s="27" t="str">
        <f t="shared" si="7"/>
        <v>例目</v>
      </c>
      <c r="M166" s="4" t="str">
        <f>TEXT(IF(ROW(A164)&gt;MAX(Main!$D$4:$D$1048576),"",INDEX(Main!Q$4:Q$1048576,MATCH(ROW(A164),Main!$D$4:$D$1048576,0))), "yyyy/m/d")</f>
        <v/>
      </c>
      <c r="N166" s="1" t="str">
        <f>IF(IF(ROW(A164)&gt;MAX(Main!$D$4:$D$1048576),"",INDEX(Main!G$4:G$1048576,MATCH(ROW(A164),Main!$D$4:$D$1048576,0)))="",IF(M166="","",N165),IF(ROW(A164)&gt;MAX(Main!$D$4:$D$1048576),"",INDEX(Main!G$4:G$1048576,MATCH(ROW(A164),Main!$D$4:$D$1048576,0))))</f>
        <v/>
      </c>
      <c r="O166" s="1" t="str">
        <f>IF(IF(ROW(B164)&gt;MAX(Main!$D$4:$D$1048576),"",INDEX(Main!H$4:H$1048576,MATCH(ROW(B164),Main!$D$4:$D$1048576,0)))="",IF(N166="","",O165),IF(ROW(B164)&gt;MAX(Main!$D$4:$D$1048576),"",INDEX(Main!H$4:H$1048576,MATCH(ROW(B164),Main!$D$4:$D$1048576,0))))</f>
        <v/>
      </c>
      <c r="P166" s="1" t="str">
        <f>IF(IF(ROW(C164)&gt;MAX(Main!$D$4:$D$1048576),"",INDEX(Main!I$4:I$1048576,MATCH(ROW(C164),Main!$D$4:$D$1048576,0)))="",IF(O166="","",P165),IF(ROW(C164)&gt;MAX(Main!$D$4:$D$1048576),"",INDEX(Main!I$4:I$1048576,MATCH(ROW(C164),Main!$D$4:$D$1048576,0))))</f>
        <v/>
      </c>
      <c r="Q166" s="1" t="str">
        <f t="shared" si="8"/>
        <v/>
      </c>
      <c r="R166" s="1" t="str">
        <f>IF(IF(ROW(D164)&gt;MAX(Main!$D$4:$D$1048576),"",INDEX(Main!J$4:J$1048576,MATCH(ROW(D164),Main!$D$4:$D$1048576,0)))="",IF(P166="","",R165),IF(ROW(D164)&gt;MAX(Main!$D$4:$D$1048576),"",INDEX(Main!J$4:J$1048576,MATCH(ROW(D164),Main!$D$4:$D$1048576,0))))</f>
        <v/>
      </c>
      <c r="S166" s="9" t="str">
        <f>IF(ROW(G164)&gt;MAX(Main!$D$4:$D$1048576),"",INDEX(Main!K$4:K$1048576,MATCH(ROW(G164),Main!$D$4:$D$1048576,0)))</f>
        <v/>
      </c>
      <c r="T166" s="1" t="str">
        <f>IF(S166&lt;&gt;"",IF(ROW(G164)&gt;MAX(Main!$D$4:$D$1048576),"",INDEX(Main!N$4:N$1048576,MATCH(ROW(G164),Main!$D$4:$D$1048576,0))),"")</f>
        <v/>
      </c>
      <c r="U166" s="1" t="str">
        <f>IF(IF(ROW(H164)&gt;MAX(Main!$D$4:$D$1048576),"",INDEX(Main!O$4:O$1048576,MATCH(ROW(H164),Main!$D$4:$D$1048576,0)))="",IF(T166="","",U165),IF(ROW(H164)&gt;MAX(Main!$D$4:$D$1048576),"",INDEX(Main!O$4:O$1048576,MATCH(ROW(H164),Main!$D$4:$D$1048576,0))))</f>
        <v/>
      </c>
    </row>
    <row r="167" spans="1:21" x14ac:dyDescent="0.4">
      <c r="A167" t="s">
        <v>21</v>
      </c>
      <c r="B167" s="4" t="str">
        <f>TEXT(IF(ROW(A165)&gt;MAX(Main!$C$4:$C$1048576),"",INDEX(Main!Q$4:Q$1048576,MATCH(ROW(A165),Main!$C$4:$C$1048576,0))), "yyyy/m/d")</f>
        <v/>
      </c>
      <c r="C167" s="1" t="str">
        <f>IF(IF(ROW(A165)&gt;MAX(Main!$C$4:$C$1048576),"",INDEX(Main!G$4:G$1048576,MATCH(ROW(A165),Main!$C$4:$C$1048576,0)))="",IF(B167="","",C166),IF(ROW(A165)&gt;MAX(Main!$C$4:$C$1048576),"",INDEX(Main!G$4:G$1048576,MATCH(ROW(A165),Main!$C$4:$C$1048576,0))))</f>
        <v/>
      </c>
      <c r="D167" s="1" t="str">
        <f>IF(IF(ROW(B165)&gt;MAX(Main!$C$4:$C$1048576),"",INDEX(Main!H$4:H$1048576,MATCH(ROW(B165),Main!$C$4:$C$1048576,0)))="",IF(C167="","",D166),IF(ROW(B165)&gt;MAX(Main!$C$4:$C$1048576),"",INDEX(Main!H$4:H$1048576,MATCH(ROW(B165),Main!$C$4:$C$1048576,0))))</f>
        <v/>
      </c>
      <c r="E167" s="1" t="str">
        <f>IF(IF(ROW(C165)&gt;MAX(Main!$C$4:$C$1048576),"",INDEX(Main!I$4:I$1048576,MATCH(ROW(C165),Main!$C$4:$C$1048576,0)))="",IF(D167="","",E166),IF(ROW(C165)&gt;MAX(Main!$C$4:$C$1048576),"",INDEX(Main!I$4:I$1048576,MATCH(ROW(C165),Main!$C$4:$C$1048576,0))))</f>
        <v/>
      </c>
      <c r="F167" s="1" t="str">
        <f t="shared" si="6"/>
        <v/>
      </c>
      <c r="G167" s="1" t="str">
        <f>IF(IF(ROW(D165)&gt;MAX(Main!$C$4:$C$1048576),"",INDEX(Main!J$4:J$1048576,MATCH(ROW(D165),Main!$C$4:$C$1048576,0)))="",IF(E167="","",G166),IF(ROW(D165)&gt;MAX(Main!$C$4:$C$1048576),"",INDEX(Main!J$4:J$1048576,MATCH(ROW(D165),Main!$C$4:$C$1048576,0))))</f>
        <v/>
      </c>
      <c r="H167" s="10" t="str">
        <f>IF(ROW(G165)&gt;MAX(Main!$C$4:$C$1048576),"",INDEX(Main!K$4:K$1048576,MATCH(ROW(G165),Main!$C$4:$C$1048576,0)))</f>
        <v/>
      </c>
      <c r="I167" s="1" t="str">
        <f>IF(H167&lt;&gt;"",IF(ROW(G165)&gt;MAX(Main!$C$4:$C$1048576),"",INDEX(Main!N$4:N$1048576,MATCH(ROW(G165),Main!$C$4:$C$1048576,0))),"")</f>
        <v/>
      </c>
      <c r="J167" s="1" t="str">
        <f>IF(IF(ROW(H165)&gt;MAX(Main!$C$4:$C$1048576),"",INDEX(Main!O$4:O$1048576,MATCH(ROW(H165),Main!$C$4:$C$1048576,0)))="",IF(I167="","",J166),IF(ROW(H165)&gt;MAX(Main!$C$4:$C$1048576),"",INDEX(Main!O$4:O$1048576,MATCH(ROW(H165),Main!$C$4:$C$1048576,0))))</f>
        <v/>
      </c>
      <c r="K167" s="27" t="str">
        <f t="shared" si="7"/>
        <v>例目</v>
      </c>
      <c r="M167" s="4" t="str">
        <f>TEXT(IF(ROW(A165)&gt;MAX(Main!$D$4:$D$1048576),"",INDEX(Main!Q$4:Q$1048576,MATCH(ROW(A165),Main!$D$4:$D$1048576,0))), "yyyy/m/d")</f>
        <v/>
      </c>
      <c r="N167" s="1" t="str">
        <f>IF(IF(ROW(A165)&gt;MAX(Main!$D$4:$D$1048576),"",INDEX(Main!G$4:G$1048576,MATCH(ROW(A165),Main!$D$4:$D$1048576,0)))="",IF(M167="","",N166),IF(ROW(A165)&gt;MAX(Main!$D$4:$D$1048576),"",INDEX(Main!G$4:G$1048576,MATCH(ROW(A165),Main!$D$4:$D$1048576,0))))</f>
        <v/>
      </c>
      <c r="O167" s="1" t="str">
        <f>IF(IF(ROW(B165)&gt;MAX(Main!$D$4:$D$1048576),"",INDEX(Main!H$4:H$1048576,MATCH(ROW(B165),Main!$D$4:$D$1048576,0)))="",IF(N167="","",O166),IF(ROW(B165)&gt;MAX(Main!$D$4:$D$1048576),"",INDEX(Main!H$4:H$1048576,MATCH(ROW(B165),Main!$D$4:$D$1048576,0))))</f>
        <v/>
      </c>
      <c r="P167" s="1" t="str">
        <f>IF(IF(ROW(C165)&gt;MAX(Main!$D$4:$D$1048576),"",INDEX(Main!I$4:I$1048576,MATCH(ROW(C165),Main!$D$4:$D$1048576,0)))="",IF(O167="","",P166),IF(ROW(C165)&gt;MAX(Main!$D$4:$D$1048576),"",INDEX(Main!I$4:I$1048576,MATCH(ROW(C165),Main!$D$4:$D$1048576,0))))</f>
        <v/>
      </c>
      <c r="Q167" s="1" t="str">
        <f t="shared" si="8"/>
        <v/>
      </c>
      <c r="R167" s="1" t="str">
        <f>IF(IF(ROW(D165)&gt;MAX(Main!$D$4:$D$1048576),"",INDEX(Main!J$4:J$1048576,MATCH(ROW(D165),Main!$D$4:$D$1048576,0)))="",IF(P167="","",R166),IF(ROW(D165)&gt;MAX(Main!$D$4:$D$1048576),"",INDEX(Main!J$4:J$1048576,MATCH(ROW(D165),Main!$D$4:$D$1048576,0))))</f>
        <v/>
      </c>
      <c r="S167" s="9" t="str">
        <f>IF(ROW(G165)&gt;MAX(Main!$D$4:$D$1048576),"",INDEX(Main!K$4:K$1048576,MATCH(ROW(G165),Main!$D$4:$D$1048576,0)))</f>
        <v/>
      </c>
      <c r="T167" s="1" t="str">
        <f>IF(S167&lt;&gt;"",IF(ROW(G165)&gt;MAX(Main!$D$4:$D$1048576),"",INDEX(Main!N$4:N$1048576,MATCH(ROW(G165),Main!$D$4:$D$1048576,0))),"")</f>
        <v/>
      </c>
      <c r="U167" s="1" t="str">
        <f>IF(IF(ROW(H165)&gt;MAX(Main!$D$4:$D$1048576),"",INDEX(Main!O$4:O$1048576,MATCH(ROW(H165),Main!$D$4:$D$1048576,0)))="",IF(T167="","",U166),IF(ROW(H165)&gt;MAX(Main!$D$4:$D$1048576),"",INDEX(Main!O$4:O$1048576,MATCH(ROW(H165),Main!$D$4:$D$1048576,0))))</f>
        <v/>
      </c>
    </row>
    <row r="168" spans="1:21" x14ac:dyDescent="0.4">
      <c r="A168" t="s">
        <v>21</v>
      </c>
      <c r="B168" s="4" t="str">
        <f>TEXT(IF(ROW(A166)&gt;MAX(Main!$C$4:$C$1048576),"",INDEX(Main!Q$4:Q$1048576,MATCH(ROW(A166),Main!$C$4:$C$1048576,0))), "yyyy/m/d")</f>
        <v/>
      </c>
      <c r="C168" s="1" t="str">
        <f>IF(IF(ROW(A166)&gt;MAX(Main!$C$4:$C$1048576),"",INDEX(Main!G$4:G$1048576,MATCH(ROW(A166),Main!$C$4:$C$1048576,0)))="",IF(B168="","",C167),IF(ROW(A166)&gt;MAX(Main!$C$4:$C$1048576),"",INDEX(Main!G$4:G$1048576,MATCH(ROW(A166),Main!$C$4:$C$1048576,0))))</f>
        <v/>
      </c>
      <c r="D168" s="1" t="str">
        <f>IF(IF(ROW(B166)&gt;MAX(Main!$C$4:$C$1048576),"",INDEX(Main!H$4:H$1048576,MATCH(ROW(B166),Main!$C$4:$C$1048576,0)))="",IF(C168="","",D167),IF(ROW(B166)&gt;MAX(Main!$C$4:$C$1048576),"",INDEX(Main!H$4:H$1048576,MATCH(ROW(B166),Main!$C$4:$C$1048576,0))))</f>
        <v/>
      </c>
      <c r="E168" s="1" t="str">
        <f>IF(IF(ROW(C166)&gt;MAX(Main!$C$4:$C$1048576),"",INDEX(Main!I$4:I$1048576,MATCH(ROW(C166),Main!$C$4:$C$1048576,0)))="",IF(D168="","",E167),IF(ROW(C166)&gt;MAX(Main!$C$4:$C$1048576),"",INDEX(Main!I$4:I$1048576,MATCH(ROW(C166),Main!$C$4:$C$1048576,0))))</f>
        <v/>
      </c>
      <c r="F168" s="1" t="str">
        <f t="shared" si="6"/>
        <v/>
      </c>
      <c r="G168" s="1" t="str">
        <f>IF(IF(ROW(D166)&gt;MAX(Main!$C$4:$C$1048576),"",INDEX(Main!J$4:J$1048576,MATCH(ROW(D166),Main!$C$4:$C$1048576,0)))="",IF(E168="","",G167),IF(ROW(D166)&gt;MAX(Main!$C$4:$C$1048576),"",INDEX(Main!J$4:J$1048576,MATCH(ROW(D166),Main!$C$4:$C$1048576,0))))</f>
        <v/>
      </c>
      <c r="H168" s="10" t="str">
        <f>IF(ROW(G166)&gt;MAX(Main!$C$4:$C$1048576),"",INDEX(Main!K$4:K$1048576,MATCH(ROW(G166),Main!$C$4:$C$1048576,0)))</f>
        <v/>
      </c>
      <c r="I168" s="1" t="str">
        <f>IF(H168&lt;&gt;"",IF(ROW(G166)&gt;MAX(Main!$C$4:$C$1048576),"",INDEX(Main!N$4:N$1048576,MATCH(ROW(G166),Main!$C$4:$C$1048576,0))),"")</f>
        <v/>
      </c>
      <c r="J168" s="1" t="str">
        <f>IF(IF(ROW(H166)&gt;MAX(Main!$C$4:$C$1048576),"",INDEX(Main!O$4:O$1048576,MATCH(ROW(H166),Main!$C$4:$C$1048576,0)))="",IF(I168="","",J167),IF(ROW(H166)&gt;MAX(Main!$C$4:$C$1048576),"",INDEX(Main!O$4:O$1048576,MATCH(ROW(H166),Main!$C$4:$C$1048576,0))))</f>
        <v/>
      </c>
      <c r="K168" s="27" t="str">
        <f t="shared" si="7"/>
        <v>例目</v>
      </c>
      <c r="M168" s="4" t="str">
        <f>TEXT(IF(ROW(A166)&gt;MAX(Main!$D$4:$D$1048576),"",INDEX(Main!Q$4:Q$1048576,MATCH(ROW(A166),Main!$D$4:$D$1048576,0))), "yyyy/m/d")</f>
        <v/>
      </c>
      <c r="N168" s="1" t="str">
        <f>IF(IF(ROW(A166)&gt;MAX(Main!$D$4:$D$1048576),"",INDEX(Main!G$4:G$1048576,MATCH(ROW(A166),Main!$D$4:$D$1048576,0)))="",IF(M168="","",N167),IF(ROW(A166)&gt;MAX(Main!$D$4:$D$1048576),"",INDEX(Main!G$4:G$1048576,MATCH(ROW(A166),Main!$D$4:$D$1048576,0))))</f>
        <v/>
      </c>
      <c r="O168" s="1" t="str">
        <f>IF(IF(ROW(B166)&gt;MAX(Main!$D$4:$D$1048576),"",INDEX(Main!H$4:H$1048576,MATCH(ROW(B166),Main!$D$4:$D$1048576,0)))="",IF(N168="","",O167),IF(ROW(B166)&gt;MAX(Main!$D$4:$D$1048576),"",INDEX(Main!H$4:H$1048576,MATCH(ROW(B166),Main!$D$4:$D$1048576,0))))</f>
        <v/>
      </c>
      <c r="P168" s="1" t="str">
        <f>IF(IF(ROW(C166)&gt;MAX(Main!$D$4:$D$1048576),"",INDEX(Main!I$4:I$1048576,MATCH(ROW(C166),Main!$D$4:$D$1048576,0)))="",IF(O168="","",P167),IF(ROW(C166)&gt;MAX(Main!$D$4:$D$1048576),"",INDEX(Main!I$4:I$1048576,MATCH(ROW(C166),Main!$D$4:$D$1048576,0))))</f>
        <v/>
      </c>
      <c r="Q168" s="1" t="str">
        <f t="shared" si="8"/>
        <v/>
      </c>
      <c r="R168" s="1" t="str">
        <f>IF(IF(ROW(D166)&gt;MAX(Main!$D$4:$D$1048576),"",INDEX(Main!J$4:J$1048576,MATCH(ROW(D166),Main!$D$4:$D$1048576,0)))="",IF(P168="","",R167),IF(ROW(D166)&gt;MAX(Main!$D$4:$D$1048576),"",INDEX(Main!J$4:J$1048576,MATCH(ROW(D166),Main!$D$4:$D$1048576,0))))</f>
        <v/>
      </c>
      <c r="S168" s="9" t="str">
        <f>IF(ROW(G166)&gt;MAX(Main!$D$4:$D$1048576),"",INDEX(Main!K$4:K$1048576,MATCH(ROW(G166),Main!$D$4:$D$1048576,0)))</f>
        <v/>
      </c>
      <c r="T168" s="1" t="str">
        <f>IF(S168&lt;&gt;"",IF(ROW(G166)&gt;MAX(Main!$D$4:$D$1048576),"",INDEX(Main!N$4:N$1048576,MATCH(ROW(G166),Main!$D$4:$D$1048576,0))),"")</f>
        <v/>
      </c>
      <c r="U168" s="1" t="str">
        <f>IF(IF(ROW(H166)&gt;MAX(Main!$D$4:$D$1048576),"",INDEX(Main!O$4:O$1048576,MATCH(ROW(H166),Main!$D$4:$D$1048576,0)))="",IF(T168="","",U167),IF(ROW(H166)&gt;MAX(Main!$D$4:$D$1048576),"",INDEX(Main!O$4:O$1048576,MATCH(ROW(H166),Main!$D$4:$D$1048576,0))))</f>
        <v/>
      </c>
    </row>
    <row r="169" spans="1:21" x14ac:dyDescent="0.4">
      <c r="A169" t="s">
        <v>21</v>
      </c>
      <c r="B169" s="4" t="str">
        <f>TEXT(IF(ROW(A167)&gt;MAX(Main!$C$4:$C$1048576),"",INDEX(Main!Q$4:Q$1048576,MATCH(ROW(A167),Main!$C$4:$C$1048576,0))), "yyyy/m/d")</f>
        <v/>
      </c>
      <c r="C169" s="1" t="str">
        <f>IF(IF(ROW(A167)&gt;MAX(Main!$C$4:$C$1048576),"",INDEX(Main!G$4:G$1048576,MATCH(ROW(A167),Main!$C$4:$C$1048576,0)))="",IF(B169="","",C168),IF(ROW(A167)&gt;MAX(Main!$C$4:$C$1048576),"",INDEX(Main!G$4:G$1048576,MATCH(ROW(A167),Main!$C$4:$C$1048576,0))))</f>
        <v/>
      </c>
      <c r="D169" s="1" t="str">
        <f>IF(IF(ROW(B167)&gt;MAX(Main!$C$4:$C$1048576),"",INDEX(Main!H$4:H$1048576,MATCH(ROW(B167),Main!$C$4:$C$1048576,0)))="",IF(C169="","",D168),IF(ROW(B167)&gt;MAX(Main!$C$4:$C$1048576),"",INDEX(Main!H$4:H$1048576,MATCH(ROW(B167),Main!$C$4:$C$1048576,0))))</f>
        <v/>
      </c>
      <c r="E169" s="1" t="str">
        <f>IF(IF(ROW(C167)&gt;MAX(Main!$C$4:$C$1048576),"",INDEX(Main!I$4:I$1048576,MATCH(ROW(C167),Main!$C$4:$C$1048576,0)))="",IF(D169="","",E168),IF(ROW(C167)&gt;MAX(Main!$C$4:$C$1048576),"",INDEX(Main!I$4:I$1048576,MATCH(ROW(C167),Main!$C$4:$C$1048576,0))))</f>
        <v/>
      </c>
      <c r="F169" s="1" t="str">
        <f t="shared" si="6"/>
        <v/>
      </c>
      <c r="G169" s="1" t="str">
        <f>IF(IF(ROW(D167)&gt;MAX(Main!$C$4:$C$1048576),"",INDEX(Main!J$4:J$1048576,MATCH(ROW(D167),Main!$C$4:$C$1048576,0)))="",IF(E169="","",G168),IF(ROW(D167)&gt;MAX(Main!$C$4:$C$1048576),"",INDEX(Main!J$4:J$1048576,MATCH(ROW(D167),Main!$C$4:$C$1048576,0))))</f>
        <v/>
      </c>
      <c r="H169" s="10" t="str">
        <f>IF(ROW(G167)&gt;MAX(Main!$C$4:$C$1048576),"",INDEX(Main!K$4:K$1048576,MATCH(ROW(G167),Main!$C$4:$C$1048576,0)))</f>
        <v/>
      </c>
      <c r="I169" s="1" t="str">
        <f>IF(H169&lt;&gt;"",IF(ROW(G167)&gt;MAX(Main!$C$4:$C$1048576),"",INDEX(Main!N$4:N$1048576,MATCH(ROW(G167),Main!$C$4:$C$1048576,0))),"")</f>
        <v/>
      </c>
      <c r="J169" s="1" t="str">
        <f>IF(IF(ROW(H167)&gt;MAX(Main!$C$4:$C$1048576),"",INDEX(Main!O$4:O$1048576,MATCH(ROW(H167),Main!$C$4:$C$1048576,0)))="",IF(I169="","",J168),IF(ROW(H167)&gt;MAX(Main!$C$4:$C$1048576),"",INDEX(Main!O$4:O$1048576,MATCH(ROW(H167),Main!$C$4:$C$1048576,0))))</f>
        <v/>
      </c>
      <c r="K169" s="27" t="str">
        <f t="shared" si="7"/>
        <v>例目</v>
      </c>
      <c r="M169" s="4" t="str">
        <f>TEXT(IF(ROW(A167)&gt;MAX(Main!$D$4:$D$1048576),"",INDEX(Main!Q$4:Q$1048576,MATCH(ROW(A167),Main!$D$4:$D$1048576,0))), "yyyy/m/d")</f>
        <v/>
      </c>
      <c r="N169" s="1" t="str">
        <f>IF(IF(ROW(A167)&gt;MAX(Main!$D$4:$D$1048576),"",INDEX(Main!G$4:G$1048576,MATCH(ROW(A167),Main!$D$4:$D$1048576,0)))="",IF(M169="","",N168),IF(ROW(A167)&gt;MAX(Main!$D$4:$D$1048576),"",INDEX(Main!G$4:G$1048576,MATCH(ROW(A167),Main!$D$4:$D$1048576,0))))</f>
        <v/>
      </c>
      <c r="O169" s="1" t="str">
        <f>IF(IF(ROW(B167)&gt;MAX(Main!$D$4:$D$1048576),"",INDEX(Main!H$4:H$1048576,MATCH(ROW(B167),Main!$D$4:$D$1048576,0)))="",IF(N169="","",O168),IF(ROW(B167)&gt;MAX(Main!$D$4:$D$1048576),"",INDEX(Main!H$4:H$1048576,MATCH(ROW(B167),Main!$D$4:$D$1048576,0))))</f>
        <v/>
      </c>
      <c r="P169" s="1" t="str">
        <f>IF(IF(ROW(C167)&gt;MAX(Main!$D$4:$D$1048576),"",INDEX(Main!I$4:I$1048576,MATCH(ROW(C167),Main!$D$4:$D$1048576,0)))="",IF(O169="","",P168),IF(ROW(C167)&gt;MAX(Main!$D$4:$D$1048576),"",INDEX(Main!I$4:I$1048576,MATCH(ROW(C167),Main!$D$4:$D$1048576,0))))</f>
        <v/>
      </c>
      <c r="Q169" s="1" t="str">
        <f t="shared" si="8"/>
        <v/>
      </c>
      <c r="R169" s="1" t="str">
        <f>IF(IF(ROW(D167)&gt;MAX(Main!$D$4:$D$1048576),"",INDEX(Main!J$4:J$1048576,MATCH(ROW(D167),Main!$D$4:$D$1048576,0)))="",IF(P169="","",R168),IF(ROW(D167)&gt;MAX(Main!$D$4:$D$1048576),"",INDEX(Main!J$4:J$1048576,MATCH(ROW(D167),Main!$D$4:$D$1048576,0))))</f>
        <v/>
      </c>
      <c r="S169" s="9" t="str">
        <f>IF(ROW(G167)&gt;MAX(Main!$D$4:$D$1048576),"",INDEX(Main!K$4:K$1048576,MATCH(ROW(G167),Main!$D$4:$D$1048576,0)))</f>
        <v/>
      </c>
      <c r="T169" s="1" t="str">
        <f>IF(S169&lt;&gt;"",IF(ROW(G167)&gt;MAX(Main!$D$4:$D$1048576),"",INDEX(Main!N$4:N$1048576,MATCH(ROW(G167),Main!$D$4:$D$1048576,0))),"")</f>
        <v/>
      </c>
      <c r="U169" s="1" t="str">
        <f>IF(IF(ROW(H167)&gt;MAX(Main!$D$4:$D$1048576),"",INDEX(Main!O$4:O$1048576,MATCH(ROW(H167),Main!$D$4:$D$1048576,0)))="",IF(T169="","",U168),IF(ROW(H167)&gt;MAX(Main!$D$4:$D$1048576),"",INDEX(Main!O$4:O$1048576,MATCH(ROW(H167),Main!$D$4:$D$1048576,0))))</f>
        <v/>
      </c>
    </row>
    <row r="170" spans="1:21" x14ac:dyDescent="0.4">
      <c r="A170" t="s">
        <v>21</v>
      </c>
      <c r="B170" s="4" t="str">
        <f>TEXT(IF(ROW(A168)&gt;MAX(Main!$C$4:$C$1048576),"",INDEX(Main!Q$4:Q$1048576,MATCH(ROW(A168),Main!$C$4:$C$1048576,0))), "yyyy/m/d")</f>
        <v/>
      </c>
      <c r="C170" s="1" t="str">
        <f>IF(IF(ROW(A168)&gt;MAX(Main!$C$4:$C$1048576),"",INDEX(Main!G$4:G$1048576,MATCH(ROW(A168),Main!$C$4:$C$1048576,0)))="",IF(B170="","",C169),IF(ROW(A168)&gt;MAX(Main!$C$4:$C$1048576),"",INDEX(Main!G$4:G$1048576,MATCH(ROW(A168),Main!$C$4:$C$1048576,0))))</f>
        <v/>
      </c>
      <c r="D170" s="1" t="str">
        <f>IF(IF(ROW(B168)&gt;MAX(Main!$C$4:$C$1048576),"",INDEX(Main!H$4:H$1048576,MATCH(ROW(B168),Main!$C$4:$C$1048576,0)))="",IF(C170="","",D169),IF(ROW(B168)&gt;MAX(Main!$C$4:$C$1048576),"",INDEX(Main!H$4:H$1048576,MATCH(ROW(B168),Main!$C$4:$C$1048576,0))))</f>
        <v/>
      </c>
      <c r="E170" s="1" t="str">
        <f>IF(IF(ROW(C168)&gt;MAX(Main!$C$4:$C$1048576),"",INDEX(Main!I$4:I$1048576,MATCH(ROW(C168),Main!$C$4:$C$1048576,0)))="",IF(D170="","",E169),IF(ROW(C168)&gt;MAX(Main!$C$4:$C$1048576),"",INDEX(Main!I$4:I$1048576,MATCH(ROW(C168),Main!$C$4:$C$1048576,0))))</f>
        <v/>
      </c>
      <c r="F170" s="1" t="str">
        <f t="shared" si="6"/>
        <v/>
      </c>
      <c r="G170" s="1" t="str">
        <f>IF(IF(ROW(D168)&gt;MAX(Main!$C$4:$C$1048576),"",INDEX(Main!J$4:J$1048576,MATCH(ROW(D168),Main!$C$4:$C$1048576,0)))="",IF(E170="","",G169),IF(ROW(D168)&gt;MAX(Main!$C$4:$C$1048576),"",INDEX(Main!J$4:J$1048576,MATCH(ROW(D168),Main!$C$4:$C$1048576,0))))</f>
        <v/>
      </c>
      <c r="H170" s="10" t="str">
        <f>IF(ROW(G168)&gt;MAX(Main!$C$4:$C$1048576),"",INDEX(Main!K$4:K$1048576,MATCH(ROW(G168),Main!$C$4:$C$1048576,0)))</f>
        <v/>
      </c>
      <c r="I170" s="1" t="str">
        <f>IF(H170&lt;&gt;"",IF(ROW(G168)&gt;MAX(Main!$C$4:$C$1048576),"",INDEX(Main!N$4:N$1048576,MATCH(ROW(G168),Main!$C$4:$C$1048576,0))),"")</f>
        <v/>
      </c>
      <c r="J170" s="1" t="str">
        <f>IF(IF(ROW(H168)&gt;MAX(Main!$C$4:$C$1048576),"",INDEX(Main!O$4:O$1048576,MATCH(ROW(H168),Main!$C$4:$C$1048576,0)))="",IF(I170="","",J169),IF(ROW(H168)&gt;MAX(Main!$C$4:$C$1048576),"",INDEX(Main!O$4:O$1048576,MATCH(ROW(H168),Main!$C$4:$C$1048576,0))))</f>
        <v/>
      </c>
      <c r="K170" s="27" t="str">
        <f t="shared" si="7"/>
        <v>例目</v>
      </c>
      <c r="M170" s="4" t="str">
        <f>TEXT(IF(ROW(A168)&gt;MAX(Main!$D$4:$D$1048576),"",INDEX(Main!Q$4:Q$1048576,MATCH(ROW(A168),Main!$D$4:$D$1048576,0))), "yyyy/m/d")</f>
        <v/>
      </c>
      <c r="N170" s="1" t="str">
        <f>IF(IF(ROW(A168)&gt;MAX(Main!$D$4:$D$1048576),"",INDEX(Main!G$4:G$1048576,MATCH(ROW(A168),Main!$D$4:$D$1048576,0)))="",IF(M170="","",N169),IF(ROW(A168)&gt;MAX(Main!$D$4:$D$1048576),"",INDEX(Main!G$4:G$1048576,MATCH(ROW(A168),Main!$D$4:$D$1048576,0))))</f>
        <v/>
      </c>
      <c r="O170" s="1" t="str">
        <f>IF(IF(ROW(B168)&gt;MAX(Main!$D$4:$D$1048576),"",INDEX(Main!H$4:H$1048576,MATCH(ROW(B168),Main!$D$4:$D$1048576,0)))="",IF(N170="","",O169),IF(ROW(B168)&gt;MAX(Main!$D$4:$D$1048576),"",INDEX(Main!H$4:H$1048576,MATCH(ROW(B168),Main!$D$4:$D$1048576,0))))</f>
        <v/>
      </c>
      <c r="P170" s="1" t="str">
        <f>IF(IF(ROW(C168)&gt;MAX(Main!$D$4:$D$1048576),"",INDEX(Main!I$4:I$1048576,MATCH(ROW(C168),Main!$D$4:$D$1048576,0)))="",IF(O170="","",P169),IF(ROW(C168)&gt;MAX(Main!$D$4:$D$1048576),"",INDEX(Main!I$4:I$1048576,MATCH(ROW(C168),Main!$D$4:$D$1048576,0))))</f>
        <v/>
      </c>
      <c r="Q170" s="1" t="str">
        <f t="shared" si="8"/>
        <v/>
      </c>
      <c r="R170" s="1" t="str">
        <f>IF(IF(ROW(D168)&gt;MAX(Main!$D$4:$D$1048576),"",INDEX(Main!J$4:J$1048576,MATCH(ROW(D168),Main!$D$4:$D$1048576,0)))="",IF(P170="","",R169),IF(ROW(D168)&gt;MAX(Main!$D$4:$D$1048576),"",INDEX(Main!J$4:J$1048576,MATCH(ROW(D168),Main!$D$4:$D$1048576,0))))</f>
        <v/>
      </c>
      <c r="S170" s="9" t="str">
        <f>IF(ROW(G168)&gt;MAX(Main!$D$4:$D$1048576),"",INDEX(Main!K$4:K$1048576,MATCH(ROW(G168),Main!$D$4:$D$1048576,0)))</f>
        <v/>
      </c>
      <c r="T170" s="1" t="str">
        <f>IF(S170&lt;&gt;"",IF(ROW(G168)&gt;MAX(Main!$D$4:$D$1048576),"",INDEX(Main!N$4:N$1048576,MATCH(ROW(G168),Main!$D$4:$D$1048576,0))),"")</f>
        <v/>
      </c>
      <c r="U170" s="1" t="str">
        <f>IF(IF(ROW(H168)&gt;MAX(Main!$D$4:$D$1048576),"",INDEX(Main!O$4:O$1048576,MATCH(ROW(H168),Main!$D$4:$D$1048576,0)))="",IF(T170="","",U169),IF(ROW(H168)&gt;MAX(Main!$D$4:$D$1048576),"",INDEX(Main!O$4:O$1048576,MATCH(ROW(H168),Main!$D$4:$D$1048576,0))))</f>
        <v/>
      </c>
    </row>
    <row r="171" spans="1:21" x14ac:dyDescent="0.4">
      <c r="A171" t="s">
        <v>21</v>
      </c>
      <c r="B171" s="4" t="str">
        <f>TEXT(IF(ROW(A169)&gt;MAX(Main!$C$4:$C$1048576),"",INDEX(Main!Q$4:Q$1048576,MATCH(ROW(A169),Main!$C$4:$C$1048576,0))), "yyyy/m/d")</f>
        <v/>
      </c>
      <c r="C171" s="1" t="str">
        <f>IF(IF(ROW(A169)&gt;MAX(Main!$C$4:$C$1048576),"",INDEX(Main!G$4:G$1048576,MATCH(ROW(A169),Main!$C$4:$C$1048576,0)))="",IF(B171="","",C170),IF(ROW(A169)&gt;MAX(Main!$C$4:$C$1048576),"",INDEX(Main!G$4:G$1048576,MATCH(ROW(A169),Main!$C$4:$C$1048576,0))))</f>
        <v/>
      </c>
      <c r="D171" s="1" t="str">
        <f>IF(IF(ROW(B169)&gt;MAX(Main!$C$4:$C$1048576),"",INDEX(Main!H$4:H$1048576,MATCH(ROW(B169),Main!$C$4:$C$1048576,0)))="",IF(C171="","",D170),IF(ROW(B169)&gt;MAX(Main!$C$4:$C$1048576),"",INDEX(Main!H$4:H$1048576,MATCH(ROW(B169),Main!$C$4:$C$1048576,0))))</f>
        <v/>
      </c>
      <c r="E171" s="1" t="str">
        <f>IF(IF(ROW(C169)&gt;MAX(Main!$C$4:$C$1048576),"",INDEX(Main!I$4:I$1048576,MATCH(ROW(C169),Main!$C$4:$C$1048576,0)))="",IF(D171="","",E170),IF(ROW(C169)&gt;MAX(Main!$C$4:$C$1048576),"",INDEX(Main!I$4:I$1048576,MATCH(ROW(C169),Main!$C$4:$C$1048576,0))))</f>
        <v/>
      </c>
      <c r="F171" s="1" t="str">
        <f t="shared" si="6"/>
        <v/>
      </c>
      <c r="G171" s="1" t="str">
        <f>IF(IF(ROW(D169)&gt;MAX(Main!$C$4:$C$1048576),"",INDEX(Main!J$4:J$1048576,MATCH(ROW(D169),Main!$C$4:$C$1048576,0)))="",IF(E171="","",G170),IF(ROW(D169)&gt;MAX(Main!$C$4:$C$1048576),"",INDEX(Main!J$4:J$1048576,MATCH(ROW(D169),Main!$C$4:$C$1048576,0))))</f>
        <v/>
      </c>
      <c r="H171" s="10" t="str">
        <f>IF(ROW(G169)&gt;MAX(Main!$C$4:$C$1048576),"",INDEX(Main!K$4:K$1048576,MATCH(ROW(G169),Main!$C$4:$C$1048576,0)))</f>
        <v/>
      </c>
      <c r="I171" s="1" t="str">
        <f>IF(H171&lt;&gt;"",IF(ROW(G169)&gt;MAX(Main!$C$4:$C$1048576),"",INDEX(Main!N$4:N$1048576,MATCH(ROW(G169),Main!$C$4:$C$1048576,0))),"")</f>
        <v/>
      </c>
      <c r="J171" s="1" t="str">
        <f>IF(IF(ROW(H169)&gt;MAX(Main!$C$4:$C$1048576),"",INDEX(Main!O$4:O$1048576,MATCH(ROW(H169),Main!$C$4:$C$1048576,0)))="",IF(I171="","",J170),IF(ROW(H169)&gt;MAX(Main!$C$4:$C$1048576),"",INDEX(Main!O$4:O$1048576,MATCH(ROW(H169),Main!$C$4:$C$1048576,0))))</f>
        <v/>
      </c>
      <c r="K171" s="27" t="str">
        <f t="shared" si="7"/>
        <v>例目</v>
      </c>
      <c r="M171" s="4" t="str">
        <f>TEXT(IF(ROW(A169)&gt;MAX(Main!$D$4:$D$1048576),"",INDEX(Main!Q$4:Q$1048576,MATCH(ROW(A169),Main!$D$4:$D$1048576,0))), "yyyy/m/d")</f>
        <v/>
      </c>
      <c r="N171" s="1" t="str">
        <f>IF(IF(ROW(A169)&gt;MAX(Main!$D$4:$D$1048576),"",INDEX(Main!G$4:G$1048576,MATCH(ROW(A169),Main!$D$4:$D$1048576,0)))="",IF(M171="","",N170),IF(ROW(A169)&gt;MAX(Main!$D$4:$D$1048576),"",INDEX(Main!G$4:G$1048576,MATCH(ROW(A169),Main!$D$4:$D$1048576,0))))</f>
        <v/>
      </c>
      <c r="O171" s="1" t="str">
        <f>IF(IF(ROW(B169)&gt;MAX(Main!$D$4:$D$1048576),"",INDEX(Main!H$4:H$1048576,MATCH(ROW(B169),Main!$D$4:$D$1048576,0)))="",IF(N171="","",O170),IF(ROW(B169)&gt;MAX(Main!$D$4:$D$1048576),"",INDEX(Main!H$4:H$1048576,MATCH(ROW(B169),Main!$D$4:$D$1048576,0))))</f>
        <v/>
      </c>
      <c r="P171" s="1" t="str">
        <f>IF(IF(ROW(C169)&gt;MAX(Main!$D$4:$D$1048576),"",INDEX(Main!I$4:I$1048576,MATCH(ROW(C169),Main!$D$4:$D$1048576,0)))="",IF(O171="","",P170),IF(ROW(C169)&gt;MAX(Main!$D$4:$D$1048576),"",INDEX(Main!I$4:I$1048576,MATCH(ROW(C169),Main!$D$4:$D$1048576,0))))</f>
        <v/>
      </c>
      <c r="Q171" s="1" t="str">
        <f t="shared" si="8"/>
        <v/>
      </c>
      <c r="R171" s="1" t="str">
        <f>IF(IF(ROW(D169)&gt;MAX(Main!$D$4:$D$1048576),"",INDEX(Main!J$4:J$1048576,MATCH(ROW(D169),Main!$D$4:$D$1048576,0)))="",IF(P171="","",R170),IF(ROW(D169)&gt;MAX(Main!$D$4:$D$1048576),"",INDEX(Main!J$4:J$1048576,MATCH(ROW(D169),Main!$D$4:$D$1048576,0))))</f>
        <v/>
      </c>
      <c r="S171" s="9" t="str">
        <f>IF(ROW(G169)&gt;MAX(Main!$D$4:$D$1048576),"",INDEX(Main!K$4:K$1048576,MATCH(ROW(G169),Main!$D$4:$D$1048576,0)))</f>
        <v/>
      </c>
      <c r="T171" s="1" t="str">
        <f>IF(S171&lt;&gt;"",IF(ROW(G169)&gt;MAX(Main!$D$4:$D$1048576),"",INDEX(Main!N$4:N$1048576,MATCH(ROW(G169),Main!$D$4:$D$1048576,0))),"")</f>
        <v/>
      </c>
      <c r="U171" s="1" t="str">
        <f>IF(IF(ROW(H169)&gt;MAX(Main!$D$4:$D$1048576),"",INDEX(Main!O$4:O$1048576,MATCH(ROW(H169),Main!$D$4:$D$1048576,0)))="",IF(T171="","",U170),IF(ROW(H169)&gt;MAX(Main!$D$4:$D$1048576),"",INDEX(Main!O$4:O$1048576,MATCH(ROW(H169),Main!$D$4:$D$1048576,0))))</f>
        <v/>
      </c>
    </row>
    <row r="172" spans="1:21" x14ac:dyDescent="0.4">
      <c r="A172" t="s">
        <v>21</v>
      </c>
      <c r="B172" s="4" t="str">
        <f>TEXT(IF(ROW(A170)&gt;MAX(Main!$C$4:$C$1048576),"",INDEX(Main!Q$4:Q$1048576,MATCH(ROW(A170),Main!$C$4:$C$1048576,0))), "yyyy/m/d")</f>
        <v/>
      </c>
      <c r="C172" s="1" t="str">
        <f>IF(IF(ROW(A170)&gt;MAX(Main!$C$4:$C$1048576),"",INDEX(Main!G$4:G$1048576,MATCH(ROW(A170),Main!$C$4:$C$1048576,0)))="",IF(B172="","",C171),IF(ROW(A170)&gt;MAX(Main!$C$4:$C$1048576),"",INDEX(Main!G$4:G$1048576,MATCH(ROW(A170),Main!$C$4:$C$1048576,0))))</f>
        <v/>
      </c>
      <c r="D172" s="1" t="str">
        <f>IF(IF(ROW(B170)&gt;MAX(Main!$C$4:$C$1048576),"",INDEX(Main!H$4:H$1048576,MATCH(ROW(B170),Main!$C$4:$C$1048576,0)))="",IF(C172="","",D171),IF(ROW(B170)&gt;MAX(Main!$C$4:$C$1048576),"",INDEX(Main!H$4:H$1048576,MATCH(ROW(B170),Main!$C$4:$C$1048576,0))))</f>
        <v/>
      </c>
      <c r="E172" s="1" t="str">
        <f>IF(IF(ROW(C170)&gt;MAX(Main!$C$4:$C$1048576),"",INDEX(Main!I$4:I$1048576,MATCH(ROW(C170),Main!$C$4:$C$1048576,0)))="",IF(D172="","",E171),IF(ROW(C170)&gt;MAX(Main!$C$4:$C$1048576),"",INDEX(Main!I$4:I$1048576,MATCH(ROW(C170),Main!$C$4:$C$1048576,0))))</f>
        <v/>
      </c>
      <c r="F172" s="1" t="str">
        <f t="shared" si="6"/>
        <v/>
      </c>
      <c r="G172" s="1" t="str">
        <f>IF(IF(ROW(D170)&gt;MAX(Main!$C$4:$C$1048576),"",INDEX(Main!J$4:J$1048576,MATCH(ROW(D170),Main!$C$4:$C$1048576,0)))="",IF(E172="","",G171),IF(ROW(D170)&gt;MAX(Main!$C$4:$C$1048576),"",INDEX(Main!J$4:J$1048576,MATCH(ROW(D170),Main!$C$4:$C$1048576,0))))</f>
        <v/>
      </c>
      <c r="H172" s="10" t="str">
        <f>IF(ROW(G170)&gt;MAX(Main!$C$4:$C$1048576),"",INDEX(Main!K$4:K$1048576,MATCH(ROW(G170),Main!$C$4:$C$1048576,0)))</f>
        <v/>
      </c>
      <c r="I172" s="1" t="str">
        <f>IF(H172&lt;&gt;"",IF(ROW(G170)&gt;MAX(Main!$C$4:$C$1048576),"",INDEX(Main!N$4:N$1048576,MATCH(ROW(G170),Main!$C$4:$C$1048576,0))),"")</f>
        <v/>
      </c>
      <c r="J172" s="1" t="str">
        <f>IF(IF(ROW(H170)&gt;MAX(Main!$C$4:$C$1048576),"",INDEX(Main!O$4:O$1048576,MATCH(ROW(H170),Main!$C$4:$C$1048576,0)))="",IF(I172="","",J171),IF(ROW(H170)&gt;MAX(Main!$C$4:$C$1048576),"",INDEX(Main!O$4:O$1048576,MATCH(ROW(H170),Main!$C$4:$C$1048576,0))))</f>
        <v/>
      </c>
      <c r="K172" s="27" t="str">
        <f t="shared" si="7"/>
        <v>例目</v>
      </c>
      <c r="M172" s="4" t="str">
        <f>TEXT(IF(ROW(A170)&gt;MAX(Main!$D$4:$D$1048576),"",INDEX(Main!Q$4:Q$1048576,MATCH(ROW(A170),Main!$D$4:$D$1048576,0))), "yyyy/m/d")</f>
        <v/>
      </c>
      <c r="N172" s="1" t="str">
        <f>IF(IF(ROW(A170)&gt;MAX(Main!$D$4:$D$1048576),"",INDEX(Main!G$4:G$1048576,MATCH(ROW(A170),Main!$D$4:$D$1048576,0)))="",IF(M172="","",N171),IF(ROW(A170)&gt;MAX(Main!$D$4:$D$1048576),"",INDEX(Main!G$4:G$1048576,MATCH(ROW(A170),Main!$D$4:$D$1048576,0))))</f>
        <v/>
      </c>
      <c r="O172" s="1" t="str">
        <f>IF(IF(ROW(B170)&gt;MAX(Main!$D$4:$D$1048576),"",INDEX(Main!H$4:H$1048576,MATCH(ROW(B170),Main!$D$4:$D$1048576,0)))="",IF(N172="","",O171),IF(ROW(B170)&gt;MAX(Main!$D$4:$D$1048576),"",INDEX(Main!H$4:H$1048576,MATCH(ROW(B170),Main!$D$4:$D$1048576,0))))</f>
        <v/>
      </c>
      <c r="P172" s="1" t="str">
        <f>IF(IF(ROW(C170)&gt;MAX(Main!$D$4:$D$1048576),"",INDEX(Main!I$4:I$1048576,MATCH(ROW(C170),Main!$D$4:$D$1048576,0)))="",IF(O172="","",P171),IF(ROW(C170)&gt;MAX(Main!$D$4:$D$1048576),"",INDEX(Main!I$4:I$1048576,MATCH(ROW(C170),Main!$D$4:$D$1048576,0))))</f>
        <v/>
      </c>
      <c r="Q172" s="1" t="str">
        <f t="shared" si="8"/>
        <v/>
      </c>
      <c r="R172" s="1" t="str">
        <f>IF(IF(ROW(D170)&gt;MAX(Main!$D$4:$D$1048576),"",INDEX(Main!J$4:J$1048576,MATCH(ROW(D170),Main!$D$4:$D$1048576,0)))="",IF(P172="","",R171),IF(ROW(D170)&gt;MAX(Main!$D$4:$D$1048576),"",INDEX(Main!J$4:J$1048576,MATCH(ROW(D170),Main!$D$4:$D$1048576,0))))</f>
        <v/>
      </c>
      <c r="S172" s="9" t="str">
        <f>IF(ROW(G170)&gt;MAX(Main!$D$4:$D$1048576),"",INDEX(Main!K$4:K$1048576,MATCH(ROW(G170),Main!$D$4:$D$1048576,0)))</f>
        <v/>
      </c>
      <c r="T172" s="1" t="str">
        <f>IF(S172&lt;&gt;"",IF(ROW(G170)&gt;MAX(Main!$D$4:$D$1048576),"",INDEX(Main!N$4:N$1048576,MATCH(ROW(G170),Main!$D$4:$D$1048576,0))),"")</f>
        <v/>
      </c>
      <c r="U172" s="1" t="str">
        <f>IF(IF(ROW(H170)&gt;MAX(Main!$D$4:$D$1048576),"",INDEX(Main!O$4:O$1048576,MATCH(ROW(H170),Main!$D$4:$D$1048576,0)))="",IF(T172="","",U171),IF(ROW(H170)&gt;MAX(Main!$D$4:$D$1048576),"",INDEX(Main!O$4:O$1048576,MATCH(ROW(H170),Main!$D$4:$D$1048576,0))))</f>
        <v/>
      </c>
    </row>
    <row r="173" spans="1:21" x14ac:dyDescent="0.4">
      <c r="A173" t="s">
        <v>21</v>
      </c>
      <c r="B173" s="4" t="str">
        <f>TEXT(IF(ROW(A171)&gt;MAX(Main!$C$4:$C$1048576),"",INDEX(Main!Q$4:Q$1048576,MATCH(ROW(A171),Main!$C$4:$C$1048576,0))), "yyyy/m/d")</f>
        <v/>
      </c>
      <c r="C173" s="1" t="str">
        <f>IF(IF(ROW(A171)&gt;MAX(Main!$C$4:$C$1048576),"",INDEX(Main!G$4:G$1048576,MATCH(ROW(A171),Main!$C$4:$C$1048576,0)))="",IF(B173="","",C172),IF(ROW(A171)&gt;MAX(Main!$C$4:$C$1048576),"",INDEX(Main!G$4:G$1048576,MATCH(ROW(A171),Main!$C$4:$C$1048576,0))))</f>
        <v/>
      </c>
      <c r="D173" s="1" t="str">
        <f>IF(IF(ROW(B171)&gt;MAX(Main!$C$4:$C$1048576),"",INDEX(Main!H$4:H$1048576,MATCH(ROW(B171),Main!$C$4:$C$1048576,0)))="",IF(C173="","",D172),IF(ROW(B171)&gt;MAX(Main!$C$4:$C$1048576),"",INDEX(Main!H$4:H$1048576,MATCH(ROW(B171),Main!$C$4:$C$1048576,0))))</f>
        <v/>
      </c>
      <c r="E173" s="1" t="str">
        <f>IF(IF(ROW(C171)&gt;MAX(Main!$C$4:$C$1048576),"",INDEX(Main!I$4:I$1048576,MATCH(ROW(C171),Main!$C$4:$C$1048576,0)))="",IF(D173="","",E172),IF(ROW(C171)&gt;MAX(Main!$C$4:$C$1048576),"",INDEX(Main!I$4:I$1048576,MATCH(ROW(C171),Main!$C$4:$C$1048576,0))))</f>
        <v/>
      </c>
      <c r="F173" s="1" t="str">
        <f t="shared" si="6"/>
        <v/>
      </c>
      <c r="G173" s="1" t="str">
        <f>IF(IF(ROW(D171)&gt;MAX(Main!$C$4:$C$1048576),"",INDEX(Main!J$4:J$1048576,MATCH(ROW(D171),Main!$C$4:$C$1048576,0)))="",IF(E173="","",G172),IF(ROW(D171)&gt;MAX(Main!$C$4:$C$1048576),"",INDEX(Main!J$4:J$1048576,MATCH(ROW(D171),Main!$C$4:$C$1048576,0))))</f>
        <v/>
      </c>
      <c r="H173" s="10" t="str">
        <f>IF(ROW(G171)&gt;MAX(Main!$C$4:$C$1048576),"",INDEX(Main!K$4:K$1048576,MATCH(ROW(G171),Main!$C$4:$C$1048576,0)))</f>
        <v/>
      </c>
      <c r="I173" s="1" t="str">
        <f>IF(H173&lt;&gt;"",IF(ROW(G171)&gt;MAX(Main!$C$4:$C$1048576),"",INDEX(Main!N$4:N$1048576,MATCH(ROW(G171),Main!$C$4:$C$1048576,0))),"")</f>
        <v/>
      </c>
      <c r="J173" s="1" t="str">
        <f>IF(IF(ROW(H171)&gt;MAX(Main!$C$4:$C$1048576),"",INDEX(Main!O$4:O$1048576,MATCH(ROW(H171),Main!$C$4:$C$1048576,0)))="",IF(I173="","",J172),IF(ROW(H171)&gt;MAX(Main!$C$4:$C$1048576),"",INDEX(Main!O$4:O$1048576,MATCH(ROW(H171),Main!$C$4:$C$1048576,0))))</f>
        <v/>
      </c>
      <c r="K173" s="27" t="str">
        <f t="shared" si="7"/>
        <v>例目</v>
      </c>
      <c r="M173" s="4" t="str">
        <f>TEXT(IF(ROW(A171)&gt;MAX(Main!$D$4:$D$1048576),"",INDEX(Main!Q$4:Q$1048576,MATCH(ROW(A171),Main!$D$4:$D$1048576,0))), "yyyy/m/d")</f>
        <v/>
      </c>
      <c r="N173" s="1" t="str">
        <f>IF(IF(ROW(A171)&gt;MAX(Main!$D$4:$D$1048576),"",INDEX(Main!G$4:G$1048576,MATCH(ROW(A171),Main!$D$4:$D$1048576,0)))="",IF(M173="","",N172),IF(ROW(A171)&gt;MAX(Main!$D$4:$D$1048576),"",INDEX(Main!G$4:G$1048576,MATCH(ROW(A171),Main!$D$4:$D$1048576,0))))</f>
        <v/>
      </c>
      <c r="O173" s="1" t="str">
        <f>IF(IF(ROW(B171)&gt;MAX(Main!$D$4:$D$1048576),"",INDEX(Main!H$4:H$1048576,MATCH(ROW(B171),Main!$D$4:$D$1048576,0)))="",IF(N173="","",O172),IF(ROW(B171)&gt;MAX(Main!$D$4:$D$1048576),"",INDEX(Main!H$4:H$1048576,MATCH(ROW(B171),Main!$D$4:$D$1048576,0))))</f>
        <v/>
      </c>
      <c r="P173" s="1" t="str">
        <f>IF(IF(ROW(C171)&gt;MAX(Main!$D$4:$D$1048576),"",INDEX(Main!I$4:I$1048576,MATCH(ROW(C171),Main!$D$4:$D$1048576,0)))="",IF(O173="","",P172),IF(ROW(C171)&gt;MAX(Main!$D$4:$D$1048576),"",INDEX(Main!I$4:I$1048576,MATCH(ROW(C171),Main!$D$4:$D$1048576,0))))</f>
        <v/>
      </c>
      <c r="Q173" s="1" t="str">
        <f t="shared" si="8"/>
        <v/>
      </c>
      <c r="R173" s="1" t="str">
        <f>IF(IF(ROW(D171)&gt;MAX(Main!$D$4:$D$1048576),"",INDEX(Main!J$4:J$1048576,MATCH(ROW(D171),Main!$D$4:$D$1048576,0)))="",IF(P173="","",R172),IF(ROW(D171)&gt;MAX(Main!$D$4:$D$1048576),"",INDEX(Main!J$4:J$1048576,MATCH(ROW(D171),Main!$D$4:$D$1048576,0))))</f>
        <v/>
      </c>
      <c r="S173" s="9" t="str">
        <f>IF(ROW(G171)&gt;MAX(Main!$D$4:$D$1048576),"",INDEX(Main!K$4:K$1048576,MATCH(ROW(G171),Main!$D$4:$D$1048576,0)))</f>
        <v/>
      </c>
      <c r="T173" s="1" t="str">
        <f>IF(S173&lt;&gt;"",IF(ROW(G171)&gt;MAX(Main!$D$4:$D$1048576),"",INDEX(Main!N$4:N$1048576,MATCH(ROW(G171),Main!$D$4:$D$1048576,0))),"")</f>
        <v/>
      </c>
      <c r="U173" s="1" t="str">
        <f>IF(IF(ROW(H171)&gt;MAX(Main!$D$4:$D$1048576),"",INDEX(Main!O$4:O$1048576,MATCH(ROW(H171),Main!$D$4:$D$1048576,0)))="",IF(T173="","",U172),IF(ROW(H171)&gt;MAX(Main!$D$4:$D$1048576),"",INDEX(Main!O$4:O$1048576,MATCH(ROW(H171),Main!$D$4:$D$1048576,0))))</f>
        <v/>
      </c>
    </row>
    <row r="174" spans="1:21" x14ac:dyDescent="0.4">
      <c r="A174" t="s">
        <v>21</v>
      </c>
      <c r="B174" s="4" t="str">
        <f>TEXT(IF(ROW(A172)&gt;MAX(Main!$C$4:$C$1048576),"",INDEX(Main!Q$4:Q$1048576,MATCH(ROW(A172),Main!$C$4:$C$1048576,0))), "yyyy/m/d")</f>
        <v/>
      </c>
      <c r="C174" s="1" t="str">
        <f>IF(IF(ROW(A172)&gt;MAX(Main!$C$4:$C$1048576),"",INDEX(Main!G$4:G$1048576,MATCH(ROW(A172),Main!$C$4:$C$1048576,0)))="",IF(B174="","",C173),IF(ROW(A172)&gt;MAX(Main!$C$4:$C$1048576),"",INDEX(Main!G$4:G$1048576,MATCH(ROW(A172),Main!$C$4:$C$1048576,0))))</f>
        <v/>
      </c>
      <c r="D174" s="1" t="str">
        <f>IF(IF(ROW(B172)&gt;MAX(Main!$C$4:$C$1048576),"",INDEX(Main!H$4:H$1048576,MATCH(ROW(B172),Main!$C$4:$C$1048576,0)))="",IF(C174="","",D173),IF(ROW(B172)&gt;MAX(Main!$C$4:$C$1048576),"",INDEX(Main!H$4:H$1048576,MATCH(ROW(B172),Main!$C$4:$C$1048576,0))))</f>
        <v/>
      </c>
      <c r="E174" s="1" t="str">
        <f>IF(IF(ROW(C172)&gt;MAX(Main!$C$4:$C$1048576),"",INDEX(Main!I$4:I$1048576,MATCH(ROW(C172),Main!$C$4:$C$1048576,0)))="",IF(D174="","",E173),IF(ROW(C172)&gt;MAX(Main!$C$4:$C$1048576),"",INDEX(Main!I$4:I$1048576,MATCH(ROW(C172),Main!$C$4:$C$1048576,0))))</f>
        <v/>
      </c>
      <c r="F174" s="1" t="str">
        <f t="shared" si="6"/>
        <v/>
      </c>
      <c r="G174" s="1" t="str">
        <f>IF(IF(ROW(D172)&gt;MAX(Main!$C$4:$C$1048576),"",INDEX(Main!J$4:J$1048576,MATCH(ROW(D172),Main!$C$4:$C$1048576,0)))="",IF(E174="","",G173),IF(ROW(D172)&gt;MAX(Main!$C$4:$C$1048576),"",INDEX(Main!J$4:J$1048576,MATCH(ROW(D172),Main!$C$4:$C$1048576,0))))</f>
        <v/>
      </c>
      <c r="H174" s="10" t="str">
        <f>IF(ROW(G172)&gt;MAX(Main!$C$4:$C$1048576),"",INDEX(Main!K$4:K$1048576,MATCH(ROW(G172),Main!$C$4:$C$1048576,0)))</f>
        <v/>
      </c>
      <c r="I174" s="1" t="str">
        <f>IF(H174&lt;&gt;"",IF(ROW(G172)&gt;MAX(Main!$C$4:$C$1048576),"",INDEX(Main!N$4:N$1048576,MATCH(ROW(G172),Main!$C$4:$C$1048576,0))),"")</f>
        <v/>
      </c>
      <c r="J174" s="1" t="str">
        <f>IF(IF(ROW(H172)&gt;MAX(Main!$C$4:$C$1048576),"",INDEX(Main!O$4:O$1048576,MATCH(ROW(H172),Main!$C$4:$C$1048576,0)))="",IF(I174="","",J173),IF(ROW(H172)&gt;MAX(Main!$C$4:$C$1048576),"",INDEX(Main!O$4:O$1048576,MATCH(ROW(H172),Main!$C$4:$C$1048576,0))))</f>
        <v/>
      </c>
      <c r="K174" s="27" t="str">
        <f t="shared" si="7"/>
        <v>例目</v>
      </c>
      <c r="M174" s="4" t="str">
        <f>TEXT(IF(ROW(A172)&gt;MAX(Main!$D$4:$D$1048576),"",INDEX(Main!Q$4:Q$1048576,MATCH(ROW(A172),Main!$D$4:$D$1048576,0))), "yyyy/m/d")</f>
        <v/>
      </c>
      <c r="N174" s="1" t="str">
        <f>IF(IF(ROW(A172)&gt;MAX(Main!$D$4:$D$1048576),"",INDEX(Main!G$4:G$1048576,MATCH(ROW(A172),Main!$D$4:$D$1048576,0)))="",IF(M174="","",N173),IF(ROW(A172)&gt;MAX(Main!$D$4:$D$1048576),"",INDEX(Main!G$4:G$1048576,MATCH(ROW(A172),Main!$D$4:$D$1048576,0))))</f>
        <v/>
      </c>
      <c r="O174" s="1" t="str">
        <f>IF(IF(ROW(B172)&gt;MAX(Main!$D$4:$D$1048576),"",INDEX(Main!H$4:H$1048576,MATCH(ROW(B172),Main!$D$4:$D$1048576,0)))="",IF(N174="","",O173),IF(ROW(B172)&gt;MAX(Main!$D$4:$D$1048576),"",INDEX(Main!H$4:H$1048576,MATCH(ROW(B172),Main!$D$4:$D$1048576,0))))</f>
        <v/>
      </c>
      <c r="P174" s="1" t="str">
        <f>IF(IF(ROW(C172)&gt;MAX(Main!$D$4:$D$1048576),"",INDEX(Main!I$4:I$1048576,MATCH(ROW(C172),Main!$D$4:$D$1048576,0)))="",IF(O174="","",P173),IF(ROW(C172)&gt;MAX(Main!$D$4:$D$1048576),"",INDEX(Main!I$4:I$1048576,MATCH(ROW(C172),Main!$D$4:$D$1048576,0))))</f>
        <v/>
      </c>
      <c r="Q174" s="1" t="str">
        <f t="shared" si="8"/>
        <v/>
      </c>
      <c r="R174" s="1" t="str">
        <f>IF(IF(ROW(D172)&gt;MAX(Main!$D$4:$D$1048576),"",INDEX(Main!J$4:J$1048576,MATCH(ROW(D172),Main!$D$4:$D$1048576,0)))="",IF(P174="","",R173),IF(ROW(D172)&gt;MAX(Main!$D$4:$D$1048576),"",INDEX(Main!J$4:J$1048576,MATCH(ROW(D172),Main!$D$4:$D$1048576,0))))</f>
        <v/>
      </c>
      <c r="S174" s="9" t="str">
        <f>IF(ROW(G172)&gt;MAX(Main!$D$4:$D$1048576),"",INDEX(Main!K$4:K$1048576,MATCH(ROW(G172),Main!$D$4:$D$1048576,0)))</f>
        <v/>
      </c>
      <c r="T174" s="1" t="str">
        <f>IF(S174&lt;&gt;"",IF(ROW(G172)&gt;MAX(Main!$D$4:$D$1048576),"",INDEX(Main!N$4:N$1048576,MATCH(ROW(G172),Main!$D$4:$D$1048576,0))),"")</f>
        <v/>
      </c>
      <c r="U174" s="1" t="str">
        <f>IF(IF(ROW(H172)&gt;MAX(Main!$D$4:$D$1048576),"",INDEX(Main!O$4:O$1048576,MATCH(ROW(H172),Main!$D$4:$D$1048576,0)))="",IF(T174="","",U173),IF(ROW(H172)&gt;MAX(Main!$D$4:$D$1048576),"",INDEX(Main!O$4:O$1048576,MATCH(ROW(H172),Main!$D$4:$D$1048576,0))))</f>
        <v/>
      </c>
    </row>
    <row r="175" spans="1:21" x14ac:dyDescent="0.4">
      <c r="A175" t="s">
        <v>21</v>
      </c>
      <c r="B175" s="4" t="str">
        <f>TEXT(IF(ROW(A173)&gt;MAX(Main!$C$4:$C$1048576),"",INDEX(Main!Q$4:Q$1048576,MATCH(ROW(A173),Main!$C$4:$C$1048576,0))), "yyyy/m/d")</f>
        <v/>
      </c>
      <c r="C175" s="1" t="str">
        <f>IF(IF(ROW(A173)&gt;MAX(Main!$C$4:$C$1048576),"",INDEX(Main!G$4:G$1048576,MATCH(ROW(A173),Main!$C$4:$C$1048576,0)))="",IF(B175="","",C174),IF(ROW(A173)&gt;MAX(Main!$C$4:$C$1048576),"",INDEX(Main!G$4:G$1048576,MATCH(ROW(A173),Main!$C$4:$C$1048576,0))))</f>
        <v/>
      </c>
      <c r="D175" s="1" t="str">
        <f>IF(IF(ROW(B173)&gt;MAX(Main!$C$4:$C$1048576),"",INDEX(Main!H$4:H$1048576,MATCH(ROW(B173),Main!$C$4:$C$1048576,0)))="",IF(C175="","",D174),IF(ROW(B173)&gt;MAX(Main!$C$4:$C$1048576),"",INDEX(Main!H$4:H$1048576,MATCH(ROW(B173),Main!$C$4:$C$1048576,0))))</f>
        <v/>
      </c>
      <c r="E175" s="1" t="str">
        <f>IF(IF(ROW(C173)&gt;MAX(Main!$C$4:$C$1048576),"",INDEX(Main!I$4:I$1048576,MATCH(ROW(C173),Main!$C$4:$C$1048576,0)))="",IF(D175="","",E174),IF(ROW(C173)&gt;MAX(Main!$C$4:$C$1048576),"",INDEX(Main!I$4:I$1048576,MATCH(ROW(C173),Main!$C$4:$C$1048576,0))))</f>
        <v/>
      </c>
      <c r="F175" s="1" t="str">
        <f t="shared" si="6"/>
        <v/>
      </c>
      <c r="G175" s="1" t="str">
        <f>IF(IF(ROW(D173)&gt;MAX(Main!$C$4:$C$1048576),"",INDEX(Main!J$4:J$1048576,MATCH(ROW(D173),Main!$C$4:$C$1048576,0)))="",IF(E175="","",G174),IF(ROW(D173)&gt;MAX(Main!$C$4:$C$1048576),"",INDEX(Main!J$4:J$1048576,MATCH(ROW(D173),Main!$C$4:$C$1048576,0))))</f>
        <v/>
      </c>
      <c r="H175" s="10" t="str">
        <f>IF(ROW(G173)&gt;MAX(Main!$C$4:$C$1048576),"",INDEX(Main!K$4:K$1048576,MATCH(ROW(G173),Main!$C$4:$C$1048576,0)))</f>
        <v/>
      </c>
      <c r="I175" s="1" t="str">
        <f>IF(H175&lt;&gt;"",IF(ROW(G173)&gt;MAX(Main!$C$4:$C$1048576),"",INDEX(Main!N$4:N$1048576,MATCH(ROW(G173),Main!$C$4:$C$1048576,0))),"")</f>
        <v/>
      </c>
      <c r="J175" s="1" t="str">
        <f>IF(IF(ROW(H173)&gt;MAX(Main!$C$4:$C$1048576),"",INDEX(Main!O$4:O$1048576,MATCH(ROW(H173),Main!$C$4:$C$1048576,0)))="",IF(I175="","",J174),IF(ROW(H173)&gt;MAX(Main!$C$4:$C$1048576),"",INDEX(Main!O$4:O$1048576,MATCH(ROW(H173),Main!$C$4:$C$1048576,0))))</f>
        <v/>
      </c>
      <c r="K175" s="27" t="str">
        <f t="shared" si="7"/>
        <v>例目</v>
      </c>
      <c r="M175" s="4" t="str">
        <f>TEXT(IF(ROW(A173)&gt;MAX(Main!$D$4:$D$1048576),"",INDEX(Main!Q$4:Q$1048576,MATCH(ROW(A173),Main!$D$4:$D$1048576,0))), "yyyy/m/d")</f>
        <v/>
      </c>
      <c r="N175" s="1" t="str">
        <f>IF(IF(ROW(A173)&gt;MAX(Main!$D$4:$D$1048576),"",INDEX(Main!G$4:G$1048576,MATCH(ROW(A173),Main!$D$4:$D$1048576,0)))="",IF(M175="","",N174),IF(ROW(A173)&gt;MAX(Main!$D$4:$D$1048576),"",INDEX(Main!G$4:G$1048576,MATCH(ROW(A173),Main!$D$4:$D$1048576,0))))</f>
        <v/>
      </c>
      <c r="O175" s="1" t="str">
        <f>IF(IF(ROW(B173)&gt;MAX(Main!$D$4:$D$1048576),"",INDEX(Main!H$4:H$1048576,MATCH(ROW(B173),Main!$D$4:$D$1048576,0)))="",IF(N175="","",O174),IF(ROW(B173)&gt;MAX(Main!$D$4:$D$1048576),"",INDEX(Main!H$4:H$1048576,MATCH(ROW(B173),Main!$D$4:$D$1048576,0))))</f>
        <v/>
      </c>
      <c r="P175" s="1" t="str">
        <f>IF(IF(ROW(C173)&gt;MAX(Main!$D$4:$D$1048576),"",INDEX(Main!I$4:I$1048576,MATCH(ROW(C173),Main!$D$4:$D$1048576,0)))="",IF(O175="","",P174),IF(ROW(C173)&gt;MAX(Main!$D$4:$D$1048576),"",INDEX(Main!I$4:I$1048576,MATCH(ROW(C173),Main!$D$4:$D$1048576,0))))</f>
        <v/>
      </c>
      <c r="Q175" s="1" t="str">
        <f t="shared" si="8"/>
        <v/>
      </c>
      <c r="R175" s="1" t="str">
        <f>IF(IF(ROW(D173)&gt;MAX(Main!$D$4:$D$1048576),"",INDEX(Main!J$4:J$1048576,MATCH(ROW(D173),Main!$D$4:$D$1048576,0)))="",IF(P175="","",R174),IF(ROW(D173)&gt;MAX(Main!$D$4:$D$1048576),"",INDEX(Main!J$4:J$1048576,MATCH(ROW(D173),Main!$D$4:$D$1048576,0))))</f>
        <v/>
      </c>
      <c r="S175" s="9" t="str">
        <f>IF(ROW(G173)&gt;MAX(Main!$D$4:$D$1048576),"",INDEX(Main!K$4:K$1048576,MATCH(ROW(G173),Main!$D$4:$D$1048576,0)))</f>
        <v/>
      </c>
      <c r="T175" s="1" t="str">
        <f>IF(S175&lt;&gt;"",IF(ROW(G173)&gt;MAX(Main!$D$4:$D$1048576),"",INDEX(Main!N$4:N$1048576,MATCH(ROW(G173),Main!$D$4:$D$1048576,0))),"")</f>
        <v/>
      </c>
      <c r="U175" s="1" t="str">
        <f>IF(IF(ROW(H173)&gt;MAX(Main!$D$4:$D$1048576),"",INDEX(Main!O$4:O$1048576,MATCH(ROW(H173),Main!$D$4:$D$1048576,0)))="",IF(T175="","",U174),IF(ROW(H173)&gt;MAX(Main!$D$4:$D$1048576),"",INDEX(Main!O$4:O$1048576,MATCH(ROW(H173),Main!$D$4:$D$1048576,0))))</f>
        <v/>
      </c>
    </row>
    <row r="176" spans="1:21" x14ac:dyDescent="0.4">
      <c r="A176" t="s">
        <v>21</v>
      </c>
      <c r="B176" s="4" t="str">
        <f>TEXT(IF(ROW(A174)&gt;MAX(Main!$C$4:$C$1048576),"",INDEX(Main!Q$4:Q$1048576,MATCH(ROW(A174),Main!$C$4:$C$1048576,0))), "yyyy/m/d")</f>
        <v/>
      </c>
      <c r="C176" s="1" t="str">
        <f>IF(IF(ROW(A174)&gt;MAX(Main!$C$4:$C$1048576),"",INDEX(Main!G$4:G$1048576,MATCH(ROW(A174),Main!$C$4:$C$1048576,0)))="",IF(B176="","",C175),IF(ROW(A174)&gt;MAX(Main!$C$4:$C$1048576),"",INDEX(Main!G$4:G$1048576,MATCH(ROW(A174),Main!$C$4:$C$1048576,0))))</f>
        <v/>
      </c>
      <c r="D176" s="1" t="str">
        <f>IF(IF(ROW(B174)&gt;MAX(Main!$C$4:$C$1048576),"",INDEX(Main!H$4:H$1048576,MATCH(ROW(B174),Main!$C$4:$C$1048576,0)))="",IF(C176="","",D175),IF(ROW(B174)&gt;MAX(Main!$C$4:$C$1048576),"",INDEX(Main!H$4:H$1048576,MATCH(ROW(B174),Main!$C$4:$C$1048576,0))))</f>
        <v/>
      </c>
      <c r="E176" s="1" t="str">
        <f>IF(IF(ROW(C174)&gt;MAX(Main!$C$4:$C$1048576),"",INDEX(Main!I$4:I$1048576,MATCH(ROW(C174),Main!$C$4:$C$1048576,0)))="",IF(D176="","",E175),IF(ROW(C174)&gt;MAX(Main!$C$4:$C$1048576),"",INDEX(Main!I$4:I$1048576,MATCH(ROW(C174),Main!$C$4:$C$1048576,0))))</f>
        <v/>
      </c>
      <c r="F176" s="1" t="str">
        <f t="shared" si="6"/>
        <v/>
      </c>
      <c r="G176" s="1" t="str">
        <f>IF(IF(ROW(D174)&gt;MAX(Main!$C$4:$C$1048576),"",INDEX(Main!J$4:J$1048576,MATCH(ROW(D174),Main!$C$4:$C$1048576,0)))="",IF(E176="","",G175),IF(ROW(D174)&gt;MAX(Main!$C$4:$C$1048576),"",INDEX(Main!J$4:J$1048576,MATCH(ROW(D174),Main!$C$4:$C$1048576,0))))</f>
        <v/>
      </c>
      <c r="H176" s="10" t="str">
        <f>IF(ROW(G174)&gt;MAX(Main!$C$4:$C$1048576),"",INDEX(Main!K$4:K$1048576,MATCH(ROW(G174),Main!$C$4:$C$1048576,0)))</f>
        <v/>
      </c>
      <c r="I176" s="1" t="str">
        <f>IF(H176&lt;&gt;"",IF(ROW(G174)&gt;MAX(Main!$C$4:$C$1048576),"",INDEX(Main!N$4:N$1048576,MATCH(ROW(G174),Main!$C$4:$C$1048576,0))),"")</f>
        <v/>
      </c>
      <c r="J176" s="1" t="str">
        <f>IF(IF(ROW(H174)&gt;MAX(Main!$C$4:$C$1048576),"",INDEX(Main!O$4:O$1048576,MATCH(ROW(H174),Main!$C$4:$C$1048576,0)))="",IF(I176="","",J175),IF(ROW(H174)&gt;MAX(Main!$C$4:$C$1048576),"",INDEX(Main!O$4:O$1048576,MATCH(ROW(H174),Main!$C$4:$C$1048576,0))))</f>
        <v/>
      </c>
      <c r="K176" s="27" t="str">
        <f t="shared" si="7"/>
        <v>例目</v>
      </c>
      <c r="M176" s="4" t="str">
        <f>TEXT(IF(ROW(A174)&gt;MAX(Main!$D$4:$D$1048576),"",INDEX(Main!Q$4:Q$1048576,MATCH(ROW(A174),Main!$D$4:$D$1048576,0))), "yyyy/m/d")</f>
        <v/>
      </c>
      <c r="N176" s="1" t="str">
        <f>IF(IF(ROW(A174)&gt;MAX(Main!$D$4:$D$1048576),"",INDEX(Main!G$4:G$1048576,MATCH(ROW(A174),Main!$D$4:$D$1048576,0)))="",IF(M176="","",N175),IF(ROW(A174)&gt;MAX(Main!$D$4:$D$1048576),"",INDEX(Main!G$4:G$1048576,MATCH(ROW(A174),Main!$D$4:$D$1048576,0))))</f>
        <v/>
      </c>
      <c r="O176" s="1" t="str">
        <f>IF(IF(ROW(B174)&gt;MAX(Main!$D$4:$D$1048576),"",INDEX(Main!H$4:H$1048576,MATCH(ROW(B174),Main!$D$4:$D$1048576,0)))="",IF(N176="","",O175),IF(ROW(B174)&gt;MAX(Main!$D$4:$D$1048576),"",INDEX(Main!H$4:H$1048576,MATCH(ROW(B174),Main!$D$4:$D$1048576,0))))</f>
        <v/>
      </c>
      <c r="P176" s="1" t="str">
        <f>IF(IF(ROW(C174)&gt;MAX(Main!$D$4:$D$1048576),"",INDEX(Main!I$4:I$1048576,MATCH(ROW(C174),Main!$D$4:$D$1048576,0)))="",IF(O176="","",P175),IF(ROW(C174)&gt;MAX(Main!$D$4:$D$1048576),"",INDEX(Main!I$4:I$1048576,MATCH(ROW(C174),Main!$D$4:$D$1048576,0))))</f>
        <v/>
      </c>
      <c r="Q176" s="1" t="str">
        <f t="shared" si="8"/>
        <v/>
      </c>
      <c r="R176" s="1" t="str">
        <f>IF(IF(ROW(D174)&gt;MAX(Main!$D$4:$D$1048576),"",INDEX(Main!J$4:J$1048576,MATCH(ROW(D174),Main!$D$4:$D$1048576,0)))="",IF(P176="","",R175),IF(ROW(D174)&gt;MAX(Main!$D$4:$D$1048576),"",INDEX(Main!J$4:J$1048576,MATCH(ROW(D174),Main!$D$4:$D$1048576,0))))</f>
        <v/>
      </c>
      <c r="S176" s="9" t="str">
        <f>IF(ROW(G174)&gt;MAX(Main!$D$4:$D$1048576),"",INDEX(Main!K$4:K$1048576,MATCH(ROW(G174),Main!$D$4:$D$1048576,0)))</f>
        <v/>
      </c>
      <c r="T176" s="1" t="str">
        <f>IF(S176&lt;&gt;"",IF(ROW(G174)&gt;MAX(Main!$D$4:$D$1048576),"",INDEX(Main!N$4:N$1048576,MATCH(ROW(G174),Main!$D$4:$D$1048576,0))),"")</f>
        <v/>
      </c>
      <c r="U176" s="1" t="str">
        <f>IF(IF(ROW(H174)&gt;MAX(Main!$D$4:$D$1048576),"",INDEX(Main!O$4:O$1048576,MATCH(ROW(H174),Main!$D$4:$D$1048576,0)))="",IF(T176="","",U175),IF(ROW(H174)&gt;MAX(Main!$D$4:$D$1048576),"",INDEX(Main!O$4:O$1048576,MATCH(ROW(H174),Main!$D$4:$D$1048576,0))))</f>
        <v/>
      </c>
    </row>
    <row r="177" spans="1:21" x14ac:dyDescent="0.4">
      <c r="A177" t="s">
        <v>21</v>
      </c>
      <c r="B177" s="4" t="str">
        <f>TEXT(IF(ROW(A175)&gt;MAX(Main!$C$4:$C$1048576),"",INDEX(Main!Q$4:Q$1048576,MATCH(ROW(A175),Main!$C$4:$C$1048576,0))), "yyyy/m/d")</f>
        <v/>
      </c>
      <c r="C177" s="1" t="str">
        <f>IF(IF(ROW(A175)&gt;MAX(Main!$C$4:$C$1048576),"",INDEX(Main!G$4:G$1048576,MATCH(ROW(A175),Main!$C$4:$C$1048576,0)))="",IF(B177="","",C176),IF(ROW(A175)&gt;MAX(Main!$C$4:$C$1048576),"",INDEX(Main!G$4:G$1048576,MATCH(ROW(A175),Main!$C$4:$C$1048576,0))))</f>
        <v/>
      </c>
      <c r="D177" s="1" t="str">
        <f>IF(IF(ROW(B175)&gt;MAX(Main!$C$4:$C$1048576),"",INDEX(Main!H$4:H$1048576,MATCH(ROW(B175),Main!$C$4:$C$1048576,0)))="",IF(C177="","",D176),IF(ROW(B175)&gt;MAX(Main!$C$4:$C$1048576),"",INDEX(Main!H$4:H$1048576,MATCH(ROW(B175),Main!$C$4:$C$1048576,0))))</f>
        <v/>
      </c>
      <c r="E177" s="1" t="str">
        <f>IF(IF(ROW(C175)&gt;MAX(Main!$C$4:$C$1048576),"",INDEX(Main!I$4:I$1048576,MATCH(ROW(C175),Main!$C$4:$C$1048576,0)))="",IF(D177="","",E176),IF(ROW(C175)&gt;MAX(Main!$C$4:$C$1048576),"",INDEX(Main!I$4:I$1048576,MATCH(ROW(C175),Main!$C$4:$C$1048576,0))))</f>
        <v/>
      </c>
      <c r="F177" s="1" t="str">
        <f t="shared" si="6"/>
        <v/>
      </c>
      <c r="G177" s="1" t="str">
        <f>IF(IF(ROW(D175)&gt;MAX(Main!$C$4:$C$1048576),"",INDEX(Main!J$4:J$1048576,MATCH(ROW(D175),Main!$C$4:$C$1048576,0)))="",IF(E177="","",G176),IF(ROW(D175)&gt;MAX(Main!$C$4:$C$1048576),"",INDEX(Main!J$4:J$1048576,MATCH(ROW(D175),Main!$C$4:$C$1048576,0))))</f>
        <v/>
      </c>
      <c r="H177" s="10" t="str">
        <f>IF(ROW(G175)&gt;MAX(Main!$C$4:$C$1048576),"",INDEX(Main!K$4:K$1048576,MATCH(ROW(G175),Main!$C$4:$C$1048576,0)))</f>
        <v/>
      </c>
      <c r="I177" s="1" t="str">
        <f>IF(H177&lt;&gt;"",IF(ROW(G175)&gt;MAX(Main!$C$4:$C$1048576),"",INDEX(Main!N$4:N$1048576,MATCH(ROW(G175),Main!$C$4:$C$1048576,0))),"")</f>
        <v/>
      </c>
      <c r="J177" s="1" t="str">
        <f>IF(IF(ROW(H175)&gt;MAX(Main!$C$4:$C$1048576),"",INDEX(Main!O$4:O$1048576,MATCH(ROW(H175),Main!$C$4:$C$1048576,0)))="",IF(I177="","",J176),IF(ROW(H175)&gt;MAX(Main!$C$4:$C$1048576),"",INDEX(Main!O$4:O$1048576,MATCH(ROW(H175),Main!$C$4:$C$1048576,0))))</f>
        <v/>
      </c>
      <c r="K177" s="27" t="str">
        <f t="shared" si="7"/>
        <v>例目</v>
      </c>
      <c r="M177" s="4" t="str">
        <f>TEXT(IF(ROW(A175)&gt;MAX(Main!$D$4:$D$1048576),"",INDEX(Main!Q$4:Q$1048576,MATCH(ROW(A175),Main!$D$4:$D$1048576,0))), "yyyy/m/d")</f>
        <v/>
      </c>
      <c r="N177" s="1" t="str">
        <f>IF(IF(ROW(A175)&gt;MAX(Main!$D$4:$D$1048576),"",INDEX(Main!G$4:G$1048576,MATCH(ROW(A175),Main!$D$4:$D$1048576,0)))="",IF(M177="","",N176),IF(ROW(A175)&gt;MAX(Main!$D$4:$D$1048576),"",INDEX(Main!G$4:G$1048576,MATCH(ROW(A175),Main!$D$4:$D$1048576,0))))</f>
        <v/>
      </c>
      <c r="O177" s="1" t="str">
        <f>IF(IF(ROW(B175)&gt;MAX(Main!$D$4:$D$1048576),"",INDEX(Main!H$4:H$1048576,MATCH(ROW(B175),Main!$D$4:$D$1048576,0)))="",IF(N177="","",O176),IF(ROW(B175)&gt;MAX(Main!$D$4:$D$1048576),"",INDEX(Main!H$4:H$1048576,MATCH(ROW(B175),Main!$D$4:$D$1048576,0))))</f>
        <v/>
      </c>
      <c r="P177" s="1" t="str">
        <f>IF(IF(ROW(C175)&gt;MAX(Main!$D$4:$D$1048576),"",INDEX(Main!I$4:I$1048576,MATCH(ROW(C175),Main!$D$4:$D$1048576,0)))="",IF(O177="","",P176),IF(ROW(C175)&gt;MAX(Main!$D$4:$D$1048576),"",INDEX(Main!I$4:I$1048576,MATCH(ROW(C175),Main!$D$4:$D$1048576,0))))</f>
        <v/>
      </c>
      <c r="Q177" s="1" t="str">
        <f t="shared" si="8"/>
        <v/>
      </c>
      <c r="R177" s="1" t="str">
        <f>IF(IF(ROW(D175)&gt;MAX(Main!$D$4:$D$1048576),"",INDEX(Main!J$4:J$1048576,MATCH(ROW(D175),Main!$D$4:$D$1048576,0)))="",IF(P177="","",R176),IF(ROW(D175)&gt;MAX(Main!$D$4:$D$1048576),"",INDEX(Main!J$4:J$1048576,MATCH(ROW(D175),Main!$D$4:$D$1048576,0))))</f>
        <v/>
      </c>
      <c r="S177" s="9" t="str">
        <f>IF(ROW(G175)&gt;MAX(Main!$D$4:$D$1048576),"",INDEX(Main!K$4:K$1048576,MATCH(ROW(G175),Main!$D$4:$D$1048576,0)))</f>
        <v/>
      </c>
      <c r="T177" s="1" t="str">
        <f>IF(S177&lt;&gt;"",IF(ROW(G175)&gt;MAX(Main!$D$4:$D$1048576),"",INDEX(Main!N$4:N$1048576,MATCH(ROW(G175),Main!$D$4:$D$1048576,0))),"")</f>
        <v/>
      </c>
      <c r="U177" s="1" t="str">
        <f>IF(IF(ROW(H175)&gt;MAX(Main!$D$4:$D$1048576),"",INDEX(Main!O$4:O$1048576,MATCH(ROW(H175),Main!$D$4:$D$1048576,0)))="",IF(T177="","",U176),IF(ROW(H175)&gt;MAX(Main!$D$4:$D$1048576),"",INDEX(Main!O$4:O$1048576,MATCH(ROW(H175),Main!$D$4:$D$1048576,0))))</f>
        <v/>
      </c>
    </row>
    <row r="178" spans="1:21" x14ac:dyDescent="0.4">
      <c r="A178" t="s">
        <v>21</v>
      </c>
      <c r="B178" s="4" t="str">
        <f>TEXT(IF(ROW(A176)&gt;MAX(Main!$C$4:$C$1048576),"",INDEX(Main!Q$4:Q$1048576,MATCH(ROW(A176),Main!$C$4:$C$1048576,0))), "yyyy/m/d")</f>
        <v/>
      </c>
      <c r="C178" s="1" t="str">
        <f>IF(IF(ROW(A176)&gt;MAX(Main!$C$4:$C$1048576),"",INDEX(Main!G$4:G$1048576,MATCH(ROW(A176),Main!$C$4:$C$1048576,0)))="",IF(B178="","",C177),IF(ROW(A176)&gt;MAX(Main!$C$4:$C$1048576),"",INDEX(Main!G$4:G$1048576,MATCH(ROW(A176),Main!$C$4:$C$1048576,0))))</f>
        <v/>
      </c>
      <c r="D178" s="1" t="str">
        <f>IF(IF(ROW(B176)&gt;MAX(Main!$C$4:$C$1048576),"",INDEX(Main!H$4:H$1048576,MATCH(ROW(B176),Main!$C$4:$C$1048576,0)))="",IF(C178="","",D177),IF(ROW(B176)&gt;MAX(Main!$C$4:$C$1048576),"",INDEX(Main!H$4:H$1048576,MATCH(ROW(B176),Main!$C$4:$C$1048576,0))))</f>
        <v/>
      </c>
      <c r="E178" s="1" t="str">
        <f>IF(IF(ROW(C176)&gt;MAX(Main!$C$4:$C$1048576),"",INDEX(Main!I$4:I$1048576,MATCH(ROW(C176),Main!$C$4:$C$1048576,0)))="",IF(D178="","",E177),IF(ROW(C176)&gt;MAX(Main!$C$4:$C$1048576),"",INDEX(Main!I$4:I$1048576,MATCH(ROW(C176),Main!$C$4:$C$1048576,0))))</f>
        <v/>
      </c>
      <c r="F178" s="1" t="str">
        <f t="shared" si="6"/>
        <v/>
      </c>
      <c r="G178" s="1" t="str">
        <f>IF(IF(ROW(D176)&gt;MAX(Main!$C$4:$C$1048576),"",INDEX(Main!J$4:J$1048576,MATCH(ROW(D176),Main!$C$4:$C$1048576,0)))="",IF(E178="","",G177),IF(ROW(D176)&gt;MAX(Main!$C$4:$C$1048576),"",INDEX(Main!J$4:J$1048576,MATCH(ROW(D176),Main!$C$4:$C$1048576,0))))</f>
        <v/>
      </c>
      <c r="H178" s="10" t="str">
        <f>IF(ROW(G176)&gt;MAX(Main!$C$4:$C$1048576),"",INDEX(Main!K$4:K$1048576,MATCH(ROW(G176),Main!$C$4:$C$1048576,0)))</f>
        <v/>
      </c>
      <c r="I178" s="1" t="str">
        <f>IF(H178&lt;&gt;"",IF(ROW(G176)&gt;MAX(Main!$C$4:$C$1048576),"",INDEX(Main!N$4:N$1048576,MATCH(ROW(G176),Main!$C$4:$C$1048576,0))),"")</f>
        <v/>
      </c>
      <c r="J178" s="1" t="str">
        <f>IF(IF(ROW(H176)&gt;MAX(Main!$C$4:$C$1048576),"",INDEX(Main!O$4:O$1048576,MATCH(ROW(H176),Main!$C$4:$C$1048576,0)))="",IF(I178="","",J177),IF(ROW(H176)&gt;MAX(Main!$C$4:$C$1048576),"",INDEX(Main!O$4:O$1048576,MATCH(ROW(H176),Main!$C$4:$C$1048576,0))))</f>
        <v/>
      </c>
      <c r="K178" s="27" t="str">
        <f t="shared" si="7"/>
        <v>例目</v>
      </c>
      <c r="M178" s="4" t="str">
        <f>TEXT(IF(ROW(A176)&gt;MAX(Main!$D$4:$D$1048576),"",INDEX(Main!Q$4:Q$1048576,MATCH(ROW(A176),Main!$D$4:$D$1048576,0))), "yyyy/m/d")</f>
        <v/>
      </c>
      <c r="N178" s="1" t="str">
        <f>IF(IF(ROW(A176)&gt;MAX(Main!$D$4:$D$1048576),"",INDEX(Main!G$4:G$1048576,MATCH(ROW(A176),Main!$D$4:$D$1048576,0)))="",IF(M178="","",N177),IF(ROW(A176)&gt;MAX(Main!$D$4:$D$1048576),"",INDEX(Main!G$4:G$1048576,MATCH(ROW(A176),Main!$D$4:$D$1048576,0))))</f>
        <v/>
      </c>
      <c r="O178" s="1" t="str">
        <f>IF(IF(ROW(B176)&gt;MAX(Main!$D$4:$D$1048576),"",INDEX(Main!H$4:H$1048576,MATCH(ROW(B176),Main!$D$4:$D$1048576,0)))="",IF(N178="","",O177),IF(ROW(B176)&gt;MAX(Main!$D$4:$D$1048576),"",INDEX(Main!H$4:H$1048576,MATCH(ROW(B176),Main!$D$4:$D$1048576,0))))</f>
        <v/>
      </c>
      <c r="P178" s="1" t="str">
        <f>IF(IF(ROW(C176)&gt;MAX(Main!$D$4:$D$1048576),"",INDEX(Main!I$4:I$1048576,MATCH(ROW(C176),Main!$D$4:$D$1048576,0)))="",IF(O178="","",P177),IF(ROW(C176)&gt;MAX(Main!$D$4:$D$1048576),"",INDEX(Main!I$4:I$1048576,MATCH(ROW(C176),Main!$D$4:$D$1048576,0))))</f>
        <v/>
      </c>
      <c r="Q178" s="1" t="str">
        <f t="shared" si="8"/>
        <v/>
      </c>
      <c r="R178" s="1" t="str">
        <f>IF(IF(ROW(D176)&gt;MAX(Main!$D$4:$D$1048576),"",INDEX(Main!J$4:J$1048576,MATCH(ROW(D176),Main!$D$4:$D$1048576,0)))="",IF(P178="","",R177),IF(ROW(D176)&gt;MAX(Main!$D$4:$D$1048576),"",INDEX(Main!J$4:J$1048576,MATCH(ROW(D176),Main!$D$4:$D$1048576,0))))</f>
        <v/>
      </c>
      <c r="S178" s="9" t="str">
        <f>IF(ROW(G176)&gt;MAX(Main!$D$4:$D$1048576),"",INDEX(Main!K$4:K$1048576,MATCH(ROW(G176),Main!$D$4:$D$1048576,0)))</f>
        <v/>
      </c>
      <c r="T178" s="1" t="str">
        <f>IF(S178&lt;&gt;"",IF(ROW(G176)&gt;MAX(Main!$D$4:$D$1048576),"",INDEX(Main!N$4:N$1048576,MATCH(ROW(G176),Main!$D$4:$D$1048576,0))),"")</f>
        <v/>
      </c>
      <c r="U178" s="1" t="str">
        <f>IF(IF(ROW(H176)&gt;MAX(Main!$D$4:$D$1048576),"",INDEX(Main!O$4:O$1048576,MATCH(ROW(H176),Main!$D$4:$D$1048576,0)))="",IF(T178="","",U177),IF(ROW(H176)&gt;MAX(Main!$D$4:$D$1048576),"",INDEX(Main!O$4:O$1048576,MATCH(ROW(H176),Main!$D$4:$D$1048576,0))))</f>
        <v/>
      </c>
    </row>
    <row r="179" spans="1:21" x14ac:dyDescent="0.4">
      <c r="A179" t="s">
        <v>21</v>
      </c>
      <c r="B179" s="4" t="str">
        <f>TEXT(IF(ROW(A177)&gt;MAX(Main!$C$4:$C$1048576),"",INDEX(Main!Q$4:Q$1048576,MATCH(ROW(A177),Main!$C$4:$C$1048576,0))), "yyyy/m/d")</f>
        <v/>
      </c>
      <c r="C179" s="1" t="str">
        <f>IF(IF(ROW(A177)&gt;MAX(Main!$C$4:$C$1048576),"",INDEX(Main!G$4:G$1048576,MATCH(ROW(A177),Main!$C$4:$C$1048576,0)))="",IF(B179="","",C178),IF(ROW(A177)&gt;MAX(Main!$C$4:$C$1048576),"",INDEX(Main!G$4:G$1048576,MATCH(ROW(A177),Main!$C$4:$C$1048576,0))))</f>
        <v/>
      </c>
      <c r="D179" s="1" t="str">
        <f>IF(IF(ROW(B177)&gt;MAX(Main!$C$4:$C$1048576),"",INDEX(Main!H$4:H$1048576,MATCH(ROW(B177),Main!$C$4:$C$1048576,0)))="",IF(C179="","",D178),IF(ROW(B177)&gt;MAX(Main!$C$4:$C$1048576),"",INDEX(Main!H$4:H$1048576,MATCH(ROW(B177),Main!$C$4:$C$1048576,0))))</f>
        <v/>
      </c>
      <c r="E179" s="1" t="str">
        <f>IF(IF(ROW(C177)&gt;MAX(Main!$C$4:$C$1048576),"",INDEX(Main!I$4:I$1048576,MATCH(ROW(C177),Main!$C$4:$C$1048576,0)))="",IF(D179="","",E178),IF(ROW(C177)&gt;MAX(Main!$C$4:$C$1048576),"",INDEX(Main!I$4:I$1048576,MATCH(ROW(C177),Main!$C$4:$C$1048576,0))))</f>
        <v/>
      </c>
      <c r="F179" s="1" t="str">
        <f t="shared" si="6"/>
        <v/>
      </c>
      <c r="G179" s="1" t="str">
        <f>IF(IF(ROW(D177)&gt;MAX(Main!$C$4:$C$1048576),"",INDEX(Main!J$4:J$1048576,MATCH(ROW(D177),Main!$C$4:$C$1048576,0)))="",IF(E179="","",G178),IF(ROW(D177)&gt;MAX(Main!$C$4:$C$1048576),"",INDEX(Main!J$4:J$1048576,MATCH(ROW(D177),Main!$C$4:$C$1048576,0))))</f>
        <v/>
      </c>
      <c r="H179" s="10" t="str">
        <f>IF(ROW(G177)&gt;MAX(Main!$C$4:$C$1048576),"",INDEX(Main!K$4:K$1048576,MATCH(ROW(G177),Main!$C$4:$C$1048576,0)))</f>
        <v/>
      </c>
      <c r="I179" s="1" t="str">
        <f>IF(H179&lt;&gt;"",IF(ROW(G177)&gt;MAX(Main!$C$4:$C$1048576),"",INDEX(Main!N$4:N$1048576,MATCH(ROW(G177),Main!$C$4:$C$1048576,0))),"")</f>
        <v/>
      </c>
      <c r="J179" s="1" t="str">
        <f>IF(IF(ROW(H177)&gt;MAX(Main!$C$4:$C$1048576),"",INDEX(Main!O$4:O$1048576,MATCH(ROW(H177),Main!$C$4:$C$1048576,0)))="",IF(I179="","",J178),IF(ROW(H177)&gt;MAX(Main!$C$4:$C$1048576),"",INDEX(Main!O$4:O$1048576,MATCH(ROW(H177),Main!$C$4:$C$1048576,0))))</f>
        <v/>
      </c>
      <c r="K179" s="27" t="str">
        <f t="shared" si="7"/>
        <v>例目</v>
      </c>
      <c r="M179" s="4" t="str">
        <f>TEXT(IF(ROW(A177)&gt;MAX(Main!$D$4:$D$1048576),"",INDEX(Main!Q$4:Q$1048576,MATCH(ROW(A177),Main!$D$4:$D$1048576,0))), "yyyy/m/d")</f>
        <v/>
      </c>
      <c r="N179" s="1" t="str">
        <f>IF(IF(ROW(A177)&gt;MAX(Main!$D$4:$D$1048576),"",INDEX(Main!G$4:G$1048576,MATCH(ROW(A177),Main!$D$4:$D$1048576,0)))="",IF(M179="","",N178),IF(ROW(A177)&gt;MAX(Main!$D$4:$D$1048576),"",INDEX(Main!G$4:G$1048576,MATCH(ROW(A177),Main!$D$4:$D$1048576,0))))</f>
        <v/>
      </c>
      <c r="O179" s="1" t="str">
        <f>IF(IF(ROW(B177)&gt;MAX(Main!$D$4:$D$1048576),"",INDEX(Main!H$4:H$1048576,MATCH(ROW(B177),Main!$D$4:$D$1048576,0)))="",IF(N179="","",O178),IF(ROW(B177)&gt;MAX(Main!$D$4:$D$1048576),"",INDEX(Main!H$4:H$1048576,MATCH(ROW(B177),Main!$D$4:$D$1048576,0))))</f>
        <v/>
      </c>
      <c r="P179" s="1" t="str">
        <f>IF(IF(ROW(C177)&gt;MAX(Main!$D$4:$D$1048576),"",INDEX(Main!I$4:I$1048576,MATCH(ROW(C177),Main!$D$4:$D$1048576,0)))="",IF(O179="","",P178),IF(ROW(C177)&gt;MAX(Main!$D$4:$D$1048576),"",INDEX(Main!I$4:I$1048576,MATCH(ROW(C177),Main!$D$4:$D$1048576,0))))</f>
        <v/>
      </c>
      <c r="Q179" s="1" t="str">
        <f t="shared" si="8"/>
        <v/>
      </c>
      <c r="R179" s="1" t="str">
        <f>IF(IF(ROW(D177)&gt;MAX(Main!$D$4:$D$1048576),"",INDEX(Main!J$4:J$1048576,MATCH(ROW(D177),Main!$D$4:$D$1048576,0)))="",IF(P179="","",R178),IF(ROW(D177)&gt;MAX(Main!$D$4:$D$1048576),"",INDEX(Main!J$4:J$1048576,MATCH(ROW(D177),Main!$D$4:$D$1048576,0))))</f>
        <v/>
      </c>
      <c r="S179" s="9" t="str">
        <f>IF(ROW(G177)&gt;MAX(Main!$D$4:$D$1048576),"",INDEX(Main!K$4:K$1048576,MATCH(ROW(G177),Main!$D$4:$D$1048576,0)))</f>
        <v/>
      </c>
      <c r="T179" s="1" t="str">
        <f>IF(S179&lt;&gt;"",IF(ROW(G177)&gt;MAX(Main!$D$4:$D$1048576),"",INDEX(Main!N$4:N$1048576,MATCH(ROW(G177),Main!$D$4:$D$1048576,0))),"")</f>
        <v/>
      </c>
      <c r="U179" s="1" t="str">
        <f>IF(IF(ROW(H177)&gt;MAX(Main!$D$4:$D$1048576),"",INDEX(Main!O$4:O$1048576,MATCH(ROW(H177),Main!$D$4:$D$1048576,0)))="",IF(T179="","",U178),IF(ROW(H177)&gt;MAX(Main!$D$4:$D$1048576),"",INDEX(Main!O$4:O$1048576,MATCH(ROW(H177),Main!$D$4:$D$1048576,0))))</f>
        <v/>
      </c>
    </row>
    <row r="180" spans="1:21" x14ac:dyDescent="0.4">
      <c r="A180" t="s">
        <v>21</v>
      </c>
      <c r="B180" s="4" t="str">
        <f>TEXT(IF(ROW(A178)&gt;MAX(Main!$C$4:$C$1048576),"",INDEX(Main!Q$4:Q$1048576,MATCH(ROW(A178),Main!$C$4:$C$1048576,0))), "yyyy/m/d")</f>
        <v/>
      </c>
      <c r="C180" s="1" t="str">
        <f>IF(IF(ROW(A178)&gt;MAX(Main!$C$4:$C$1048576),"",INDEX(Main!G$4:G$1048576,MATCH(ROW(A178),Main!$C$4:$C$1048576,0)))="",IF(B180="","",C179),IF(ROW(A178)&gt;MAX(Main!$C$4:$C$1048576),"",INDEX(Main!G$4:G$1048576,MATCH(ROW(A178),Main!$C$4:$C$1048576,0))))</f>
        <v/>
      </c>
      <c r="D180" s="1" t="str">
        <f>IF(IF(ROW(B178)&gt;MAX(Main!$C$4:$C$1048576),"",INDEX(Main!H$4:H$1048576,MATCH(ROW(B178),Main!$C$4:$C$1048576,0)))="",IF(C180="","",D179),IF(ROW(B178)&gt;MAX(Main!$C$4:$C$1048576),"",INDEX(Main!H$4:H$1048576,MATCH(ROW(B178),Main!$C$4:$C$1048576,0))))</f>
        <v/>
      </c>
      <c r="E180" s="1" t="str">
        <f>IF(IF(ROW(C178)&gt;MAX(Main!$C$4:$C$1048576),"",INDEX(Main!I$4:I$1048576,MATCH(ROW(C178),Main!$C$4:$C$1048576,0)))="",IF(D180="","",E179),IF(ROW(C178)&gt;MAX(Main!$C$4:$C$1048576),"",INDEX(Main!I$4:I$1048576,MATCH(ROW(C178),Main!$C$4:$C$1048576,0))))</f>
        <v/>
      </c>
      <c r="F180" s="1" t="str">
        <f t="shared" si="6"/>
        <v/>
      </c>
      <c r="G180" s="1" t="str">
        <f>IF(IF(ROW(D178)&gt;MAX(Main!$C$4:$C$1048576),"",INDEX(Main!J$4:J$1048576,MATCH(ROW(D178),Main!$C$4:$C$1048576,0)))="",IF(E180="","",G179),IF(ROW(D178)&gt;MAX(Main!$C$4:$C$1048576),"",INDEX(Main!J$4:J$1048576,MATCH(ROW(D178),Main!$C$4:$C$1048576,0))))</f>
        <v/>
      </c>
      <c r="H180" s="10" t="str">
        <f>IF(ROW(G178)&gt;MAX(Main!$C$4:$C$1048576),"",INDEX(Main!K$4:K$1048576,MATCH(ROW(G178),Main!$C$4:$C$1048576,0)))</f>
        <v/>
      </c>
      <c r="I180" s="1" t="str">
        <f>IF(H180&lt;&gt;"",IF(ROW(G178)&gt;MAX(Main!$C$4:$C$1048576),"",INDEX(Main!N$4:N$1048576,MATCH(ROW(G178),Main!$C$4:$C$1048576,0))),"")</f>
        <v/>
      </c>
      <c r="J180" s="1" t="str">
        <f>IF(IF(ROW(H178)&gt;MAX(Main!$C$4:$C$1048576),"",INDEX(Main!O$4:O$1048576,MATCH(ROW(H178),Main!$C$4:$C$1048576,0)))="",IF(I180="","",J179),IF(ROW(H178)&gt;MAX(Main!$C$4:$C$1048576),"",INDEX(Main!O$4:O$1048576,MATCH(ROW(H178),Main!$C$4:$C$1048576,0))))</f>
        <v/>
      </c>
      <c r="K180" s="27" t="str">
        <f t="shared" si="7"/>
        <v>例目</v>
      </c>
      <c r="M180" s="4" t="str">
        <f>TEXT(IF(ROW(A178)&gt;MAX(Main!$D$4:$D$1048576),"",INDEX(Main!Q$4:Q$1048576,MATCH(ROW(A178),Main!$D$4:$D$1048576,0))), "yyyy/m/d")</f>
        <v/>
      </c>
      <c r="N180" s="1" t="str">
        <f>IF(IF(ROW(A178)&gt;MAX(Main!$D$4:$D$1048576),"",INDEX(Main!G$4:G$1048576,MATCH(ROW(A178),Main!$D$4:$D$1048576,0)))="",IF(M180="","",N179),IF(ROW(A178)&gt;MAX(Main!$D$4:$D$1048576),"",INDEX(Main!G$4:G$1048576,MATCH(ROW(A178),Main!$D$4:$D$1048576,0))))</f>
        <v/>
      </c>
      <c r="O180" s="1" t="str">
        <f>IF(IF(ROW(B178)&gt;MAX(Main!$D$4:$D$1048576),"",INDEX(Main!H$4:H$1048576,MATCH(ROW(B178),Main!$D$4:$D$1048576,0)))="",IF(N180="","",O179),IF(ROW(B178)&gt;MAX(Main!$D$4:$D$1048576),"",INDEX(Main!H$4:H$1048576,MATCH(ROW(B178),Main!$D$4:$D$1048576,0))))</f>
        <v/>
      </c>
      <c r="P180" s="1" t="str">
        <f>IF(IF(ROW(C178)&gt;MAX(Main!$D$4:$D$1048576),"",INDEX(Main!I$4:I$1048576,MATCH(ROW(C178),Main!$D$4:$D$1048576,0)))="",IF(O180="","",P179),IF(ROW(C178)&gt;MAX(Main!$D$4:$D$1048576),"",INDEX(Main!I$4:I$1048576,MATCH(ROW(C178),Main!$D$4:$D$1048576,0))))</f>
        <v/>
      </c>
      <c r="Q180" s="1" t="str">
        <f t="shared" si="8"/>
        <v/>
      </c>
      <c r="R180" s="1" t="str">
        <f>IF(IF(ROW(D178)&gt;MAX(Main!$D$4:$D$1048576),"",INDEX(Main!J$4:J$1048576,MATCH(ROW(D178),Main!$D$4:$D$1048576,0)))="",IF(P180="","",R179),IF(ROW(D178)&gt;MAX(Main!$D$4:$D$1048576),"",INDEX(Main!J$4:J$1048576,MATCH(ROW(D178),Main!$D$4:$D$1048576,0))))</f>
        <v/>
      </c>
      <c r="S180" s="9" t="str">
        <f>IF(ROW(G178)&gt;MAX(Main!$D$4:$D$1048576),"",INDEX(Main!K$4:K$1048576,MATCH(ROW(G178),Main!$D$4:$D$1048576,0)))</f>
        <v/>
      </c>
      <c r="T180" s="1" t="str">
        <f>IF(S180&lt;&gt;"",IF(ROW(G178)&gt;MAX(Main!$D$4:$D$1048576),"",INDEX(Main!N$4:N$1048576,MATCH(ROW(G178),Main!$D$4:$D$1048576,0))),"")</f>
        <v/>
      </c>
      <c r="U180" s="1" t="str">
        <f>IF(IF(ROW(H178)&gt;MAX(Main!$D$4:$D$1048576),"",INDEX(Main!O$4:O$1048576,MATCH(ROW(H178),Main!$D$4:$D$1048576,0)))="",IF(T180="","",U179),IF(ROW(H178)&gt;MAX(Main!$D$4:$D$1048576),"",INDEX(Main!O$4:O$1048576,MATCH(ROW(H178),Main!$D$4:$D$1048576,0))))</f>
        <v/>
      </c>
    </row>
    <row r="181" spans="1:21" x14ac:dyDescent="0.4">
      <c r="A181" t="s">
        <v>21</v>
      </c>
      <c r="B181" s="4" t="str">
        <f>TEXT(IF(ROW(A179)&gt;MAX(Main!$C$4:$C$1048576),"",INDEX(Main!Q$4:Q$1048576,MATCH(ROW(A179),Main!$C$4:$C$1048576,0))), "yyyy/m/d")</f>
        <v/>
      </c>
      <c r="C181" s="1" t="str">
        <f>IF(IF(ROW(A179)&gt;MAX(Main!$C$4:$C$1048576),"",INDEX(Main!G$4:G$1048576,MATCH(ROW(A179),Main!$C$4:$C$1048576,0)))="",IF(B181="","",C180),IF(ROW(A179)&gt;MAX(Main!$C$4:$C$1048576),"",INDEX(Main!G$4:G$1048576,MATCH(ROW(A179),Main!$C$4:$C$1048576,0))))</f>
        <v/>
      </c>
      <c r="D181" s="1" t="str">
        <f>IF(IF(ROW(B179)&gt;MAX(Main!$C$4:$C$1048576),"",INDEX(Main!H$4:H$1048576,MATCH(ROW(B179),Main!$C$4:$C$1048576,0)))="",IF(C181="","",D180),IF(ROW(B179)&gt;MAX(Main!$C$4:$C$1048576),"",INDEX(Main!H$4:H$1048576,MATCH(ROW(B179),Main!$C$4:$C$1048576,0))))</f>
        <v/>
      </c>
      <c r="E181" s="1" t="str">
        <f>IF(IF(ROW(C179)&gt;MAX(Main!$C$4:$C$1048576),"",INDEX(Main!I$4:I$1048576,MATCH(ROW(C179),Main!$C$4:$C$1048576,0)))="",IF(D181="","",E180),IF(ROW(C179)&gt;MAX(Main!$C$4:$C$1048576),"",INDEX(Main!I$4:I$1048576,MATCH(ROW(C179),Main!$C$4:$C$1048576,0))))</f>
        <v/>
      </c>
      <c r="F181" s="1" t="str">
        <f t="shared" si="6"/>
        <v/>
      </c>
      <c r="G181" s="1" t="str">
        <f>IF(IF(ROW(D179)&gt;MAX(Main!$C$4:$C$1048576),"",INDEX(Main!J$4:J$1048576,MATCH(ROW(D179),Main!$C$4:$C$1048576,0)))="",IF(E181="","",G180),IF(ROW(D179)&gt;MAX(Main!$C$4:$C$1048576),"",INDEX(Main!J$4:J$1048576,MATCH(ROW(D179),Main!$C$4:$C$1048576,0))))</f>
        <v/>
      </c>
      <c r="H181" s="10" t="str">
        <f>IF(ROW(G179)&gt;MAX(Main!$C$4:$C$1048576),"",INDEX(Main!K$4:K$1048576,MATCH(ROW(G179),Main!$C$4:$C$1048576,0)))</f>
        <v/>
      </c>
      <c r="I181" s="1" t="str">
        <f>IF(H181&lt;&gt;"",IF(ROW(G179)&gt;MAX(Main!$C$4:$C$1048576),"",INDEX(Main!N$4:N$1048576,MATCH(ROW(G179),Main!$C$4:$C$1048576,0))),"")</f>
        <v/>
      </c>
      <c r="J181" s="1" t="str">
        <f>IF(IF(ROW(H179)&gt;MAX(Main!$C$4:$C$1048576),"",INDEX(Main!O$4:O$1048576,MATCH(ROW(H179),Main!$C$4:$C$1048576,0)))="",IF(I181="","",J180),IF(ROW(H179)&gt;MAX(Main!$C$4:$C$1048576),"",INDEX(Main!O$4:O$1048576,MATCH(ROW(H179),Main!$C$4:$C$1048576,0))))</f>
        <v/>
      </c>
      <c r="K181" s="27" t="str">
        <f t="shared" si="7"/>
        <v>例目</v>
      </c>
      <c r="M181" s="4" t="str">
        <f>TEXT(IF(ROW(A179)&gt;MAX(Main!$D$4:$D$1048576),"",INDEX(Main!Q$4:Q$1048576,MATCH(ROW(A179),Main!$D$4:$D$1048576,0))), "yyyy/m/d")</f>
        <v/>
      </c>
      <c r="N181" s="1" t="str">
        <f>IF(IF(ROW(A179)&gt;MAX(Main!$D$4:$D$1048576),"",INDEX(Main!G$4:G$1048576,MATCH(ROW(A179),Main!$D$4:$D$1048576,0)))="",IF(M181="","",N180),IF(ROW(A179)&gt;MAX(Main!$D$4:$D$1048576),"",INDEX(Main!G$4:G$1048576,MATCH(ROW(A179),Main!$D$4:$D$1048576,0))))</f>
        <v/>
      </c>
      <c r="O181" s="1" t="str">
        <f>IF(IF(ROW(B179)&gt;MAX(Main!$D$4:$D$1048576),"",INDEX(Main!H$4:H$1048576,MATCH(ROW(B179),Main!$D$4:$D$1048576,0)))="",IF(N181="","",O180),IF(ROW(B179)&gt;MAX(Main!$D$4:$D$1048576),"",INDEX(Main!H$4:H$1048576,MATCH(ROW(B179),Main!$D$4:$D$1048576,0))))</f>
        <v/>
      </c>
      <c r="P181" s="1" t="str">
        <f>IF(IF(ROW(C179)&gt;MAX(Main!$D$4:$D$1048576),"",INDEX(Main!I$4:I$1048576,MATCH(ROW(C179),Main!$D$4:$D$1048576,0)))="",IF(O181="","",P180),IF(ROW(C179)&gt;MAX(Main!$D$4:$D$1048576),"",INDEX(Main!I$4:I$1048576,MATCH(ROW(C179),Main!$D$4:$D$1048576,0))))</f>
        <v/>
      </c>
      <c r="Q181" s="1" t="str">
        <f t="shared" si="8"/>
        <v/>
      </c>
      <c r="R181" s="1" t="str">
        <f>IF(IF(ROW(D179)&gt;MAX(Main!$D$4:$D$1048576),"",INDEX(Main!J$4:J$1048576,MATCH(ROW(D179),Main!$D$4:$D$1048576,0)))="",IF(P181="","",R180),IF(ROW(D179)&gt;MAX(Main!$D$4:$D$1048576),"",INDEX(Main!J$4:J$1048576,MATCH(ROW(D179),Main!$D$4:$D$1048576,0))))</f>
        <v/>
      </c>
      <c r="S181" s="9" t="str">
        <f>IF(ROW(G179)&gt;MAX(Main!$D$4:$D$1048576),"",INDEX(Main!K$4:K$1048576,MATCH(ROW(G179),Main!$D$4:$D$1048576,0)))</f>
        <v/>
      </c>
      <c r="T181" s="1" t="str">
        <f>IF(S181&lt;&gt;"",IF(ROW(G179)&gt;MAX(Main!$D$4:$D$1048576),"",INDEX(Main!N$4:N$1048576,MATCH(ROW(G179),Main!$D$4:$D$1048576,0))),"")</f>
        <v/>
      </c>
      <c r="U181" s="1" t="str">
        <f>IF(IF(ROW(H179)&gt;MAX(Main!$D$4:$D$1048576),"",INDEX(Main!O$4:O$1048576,MATCH(ROW(H179),Main!$D$4:$D$1048576,0)))="",IF(T181="","",U180),IF(ROW(H179)&gt;MAX(Main!$D$4:$D$1048576),"",INDEX(Main!O$4:O$1048576,MATCH(ROW(H179),Main!$D$4:$D$1048576,0))))</f>
        <v/>
      </c>
    </row>
    <row r="182" spans="1:21" x14ac:dyDescent="0.4">
      <c r="A182" t="s">
        <v>21</v>
      </c>
      <c r="B182" s="4" t="str">
        <f>TEXT(IF(ROW(A180)&gt;MAX(Main!$C$4:$C$1048576),"",INDEX(Main!Q$4:Q$1048576,MATCH(ROW(A180),Main!$C$4:$C$1048576,0))), "yyyy/m/d")</f>
        <v/>
      </c>
      <c r="C182" s="1" t="str">
        <f>IF(IF(ROW(A180)&gt;MAX(Main!$C$4:$C$1048576),"",INDEX(Main!G$4:G$1048576,MATCH(ROW(A180),Main!$C$4:$C$1048576,0)))="",IF(B182="","",C181),IF(ROW(A180)&gt;MAX(Main!$C$4:$C$1048576),"",INDEX(Main!G$4:G$1048576,MATCH(ROW(A180),Main!$C$4:$C$1048576,0))))</f>
        <v/>
      </c>
      <c r="D182" s="1" t="str">
        <f>IF(IF(ROW(B180)&gt;MAX(Main!$C$4:$C$1048576),"",INDEX(Main!H$4:H$1048576,MATCH(ROW(B180),Main!$C$4:$C$1048576,0)))="",IF(C182="","",D181),IF(ROW(B180)&gt;MAX(Main!$C$4:$C$1048576),"",INDEX(Main!H$4:H$1048576,MATCH(ROW(B180),Main!$C$4:$C$1048576,0))))</f>
        <v/>
      </c>
      <c r="E182" s="1" t="str">
        <f>IF(IF(ROW(C180)&gt;MAX(Main!$C$4:$C$1048576),"",INDEX(Main!I$4:I$1048576,MATCH(ROW(C180),Main!$C$4:$C$1048576,0)))="",IF(D182="","",E181),IF(ROW(C180)&gt;MAX(Main!$C$4:$C$1048576),"",INDEX(Main!I$4:I$1048576,MATCH(ROW(C180),Main!$C$4:$C$1048576,0))))</f>
        <v/>
      </c>
      <c r="F182" s="1" t="str">
        <f t="shared" si="6"/>
        <v/>
      </c>
      <c r="G182" s="1" t="str">
        <f>IF(IF(ROW(D180)&gt;MAX(Main!$C$4:$C$1048576),"",INDEX(Main!J$4:J$1048576,MATCH(ROW(D180),Main!$C$4:$C$1048576,0)))="",IF(E182="","",G181),IF(ROW(D180)&gt;MAX(Main!$C$4:$C$1048576),"",INDEX(Main!J$4:J$1048576,MATCH(ROW(D180),Main!$C$4:$C$1048576,0))))</f>
        <v/>
      </c>
      <c r="H182" s="10" t="str">
        <f>IF(ROW(G180)&gt;MAX(Main!$C$4:$C$1048576),"",INDEX(Main!K$4:K$1048576,MATCH(ROW(G180),Main!$C$4:$C$1048576,0)))</f>
        <v/>
      </c>
      <c r="I182" s="1" t="str">
        <f>IF(H182&lt;&gt;"",IF(ROW(G180)&gt;MAX(Main!$C$4:$C$1048576),"",INDEX(Main!N$4:N$1048576,MATCH(ROW(G180),Main!$C$4:$C$1048576,0))),"")</f>
        <v/>
      </c>
      <c r="J182" s="1" t="str">
        <f>IF(IF(ROW(H180)&gt;MAX(Main!$C$4:$C$1048576),"",INDEX(Main!O$4:O$1048576,MATCH(ROW(H180),Main!$C$4:$C$1048576,0)))="",IF(I182="","",J181),IF(ROW(H180)&gt;MAX(Main!$C$4:$C$1048576),"",INDEX(Main!O$4:O$1048576,MATCH(ROW(H180),Main!$C$4:$C$1048576,0))))</f>
        <v/>
      </c>
      <c r="K182" s="27" t="str">
        <f t="shared" si="7"/>
        <v>例目</v>
      </c>
      <c r="M182" s="4" t="str">
        <f>TEXT(IF(ROW(A180)&gt;MAX(Main!$D$4:$D$1048576),"",INDEX(Main!Q$4:Q$1048576,MATCH(ROW(A180),Main!$D$4:$D$1048576,0))), "yyyy/m/d")</f>
        <v/>
      </c>
      <c r="N182" s="1" t="str">
        <f>IF(IF(ROW(A180)&gt;MAX(Main!$D$4:$D$1048576),"",INDEX(Main!G$4:G$1048576,MATCH(ROW(A180),Main!$D$4:$D$1048576,0)))="",IF(M182="","",N181),IF(ROW(A180)&gt;MAX(Main!$D$4:$D$1048576),"",INDEX(Main!G$4:G$1048576,MATCH(ROW(A180),Main!$D$4:$D$1048576,0))))</f>
        <v/>
      </c>
      <c r="O182" s="1" t="str">
        <f>IF(IF(ROW(B180)&gt;MAX(Main!$D$4:$D$1048576),"",INDEX(Main!H$4:H$1048576,MATCH(ROW(B180),Main!$D$4:$D$1048576,0)))="",IF(N182="","",O181),IF(ROW(B180)&gt;MAX(Main!$D$4:$D$1048576),"",INDEX(Main!H$4:H$1048576,MATCH(ROW(B180),Main!$D$4:$D$1048576,0))))</f>
        <v/>
      </c>
      <c r="P182" s="1" t="str">
        <f>IF(IF(ROW(C180)&gt;MAX(Main!$D$4:$D$1048576),"",INDEX(Main!I$4:I$1048576,MATCH(ROW(C180),Main!$D$4:$D$1048576,0)))="",IF(O182="","",P181),IF(ROW(C180)&gt;MAX(Main!$D$4:$D$1048576),"",INDEX(Main!I$4:I$1048576,MATCH(ROW(C180),Main!$D$4:$D$1048576,0))))</f>
        <v/>
      </c>
      <c r="Q182" s="1" t="str">
        <f t="shared" si="8"/>
        <v/>
      </c>
      <c r="R182" s="1" t="str">
        <f>IF(IF(ROW(D180)&gt;MAX(Main!$D$4:$D$1048576),"",INDEX(Main!J$4:J$1048576,MATCH(ROW(D180),Main!$D$4:$D$1048576,0)))="",IF(P182="","",R181),IF(ROW(D180)&gt;MAX(Main!$D$4:$D$1048576),"",INDEX(Main!J$4:J$1048576,MATCH(ROW(D180),Main!$D$4:$D$1048576,0))))</f>
        <v/>
      </c>
      <c r="S182" s="9" t="str">
        <f>IF(ROW(G180)&gt;MAX(Main!$D$4:$D$1048576),"",INDEX(Main!K$4:K$1048576,MATCH(ROW(G180),Main!$D$4:$D$1048576,0)))</f>
        <v/>
      </c>
      <c r="T182" s="1" t="str">
        <f>IF(S182&lt;&gt;"",IF(ROW(G180)&gt;MAX(Main!$D$4:$D$1048576),"",INDEX(Main!N$4:N$1048576,MATCH(ROW(G180),Main!$D$4:$D$1048576,0))),"")</f>
        <v/>
      </c>
      <c r="U182" s="1" t="str">
        <f>IF(IF(ROW(H180)&gt;MAX(Main!$D$4:$D$1048576),"",INDEX(Main!O$4:O$1048576,MATCH(ROW(H180),Main!$D$4:$D$1048576,0)))="",IF(T182="","",U181),IF(ROW(H180)&gt;MAX(Main!$D$4:$D$1048576),"",INDEX(Main!O$4:O$1048576,MATCH(ROW(H180),Main!$D$4:$D$1048576,0))))</f>
        <v/>
      </c>
    </row>
    <row r="183" spans="1:21" x14ac:dyDescent="0.4">
      <c r="A183" t="s">
        <v>21</v>
      </c>
      <c r="B183" s="4" t="str">
        <f>TEXT(IF(ROW(A181)&gt;MAX(Main!$C$4:$C$1048576),"",INDEX(Main!Q$4:Q$1048576,MATCH(ROW(A181),Main!$C$4:$C$1048576,0))), "yyyy/m/d")</f>
        <v/>
      </c>
      <c r="C183" s="1" t="str">
        <f>IF(IF(ROW(A181)&gt;MAX(Main!$C$4:$C$1048576),"",INDEX(Main!G$4:G$1048576,MATCH(ROW(A181),Main!$C$4:$C$1048576,0)))="",IF(B183="","",C182),IF(ROW(A181)&gt;MAX(Main!$C$4:$C$1048576),"",INDEX(Main!G$4:G$1048576,MATCH(ROW(A181),Main!$C$4:$C$1048576,0))))</f>
        <v/>
      </c>
      <c r="D183" s="1" t="str">
        <f>IF(IF(ROW(B181)&gt;MAX(Main!$C$4:$C$1048576),"",INDEX(Main!H$4:H$1048576,MATCH(ROW(B181),Main!$C$4:$C$1048576,0)))="",IF(C183="","",D182),IF(ROW(B181)&gt;MAX(Main!$C$4:$C$1048576),"",INDEX(Main!H$4:H$1048576,MATCH(ROW(B181),Main!$C$4:$C$1048576,0))))</f>
        <v/>
      </c>
      <c r="E183" s="1" t="str">
        <f>IF(IF(ROW(C181)&gt;MAX(Main!$C$4:$C$1048576),"",INDEX(Main!I$4:I$1048576,MATCH(ROW(C181),Main!$C$4:$C$1048576,0)))="",IF(D183="","",E182),IF(ROW(C181)&gt;MAX(Main!$C$4:$C$1048576),"",INDEX(Main!I$4:I$1048576,MATCH(ROW(C181),Main!$C$4:$C$1048576,0))))</f>
        <v/>
      </c>
      <c r="F183" s="1" t="str">
        <f t="shared" si="6"/>
        <v/>
      </c>
      <c r="G183" s="1" t="str">
        <f>IF(IF(ROW(D181)&gt;MAX(Main!$C$4:$C$1048576),"",INDEX(Main!J$4:J$1048576,MATCH(ROW(D181),Main!$C$4:$C$1048576,0)))="",IF(E183="","",G182),IF(ROW(D181)&gt;MAX(Main!$C$4:$C$1048576),"",INDEX(Main!J$4:J$1048576,MATCH(ROW(D181),Main!$C$4:$C$1048576,0))))</f>
        <v/>
      </c>
      <c r="H183" s="10" t="str">
        <f>IF(ROW(G181)&gt;MAX(Main!$C$4:$C$1048576),"",INDEX(Main!K$4:K$1048576,MATCH(ROW(G181),Main!$C$4:$C$1048576,0)))</f>
        <v/>
      </c>
      <c r="I183" s="1" t="str">
        <f>IF(H183&lt;&gt;"",IF(ROW(G181)&gt;MAX(Main!$C$4:$C$1048576),"",INDEX(Main!N$4:N$1048576,MATCH(ROW(G181),Main!$C$4:$C$1048576,0))),"")</f>
        <v/>
      </c>
      <c r="J183" s="1" t="str">
        <f>IF(IF(ROW(H181)&gt;MAX(Main!$C$4:$C$1048576),"",INDEX(Main!O$4:O$1048576,MATCH(ROW(H181),Main!$C$4:$C$1048576,0)))="",IF(I183="","",J182),IF(ROW(H181)&gt;MAX(Main!$C$4:$C$1048576),"",INDEX(Main!O$4:O$1048576,MATCH(ROW(H181),Main!$C$4:$C$1048576,0))))</f>
        <v/>
      </c>
      <c r="K183" s="27" t="str">
        <f t="shared" si="7"/>
        <v>例目</v>
      </c>
      <c r="M183" s="4" t="str">
        <f>TEXT(IF(ROW(A181)&gt;MAX(Main!$D$4:$D$1048576),"",INDEX(Main!Q$4:Q$1048576,MATCH(ROW(A181),Main!$D$4:$D$1048576,0))), "yyyy/m/d")</f>
        <v/>
      </c>
      <c r="N183" s="1" t="str">
        <f>IF(IF(ROW(A181)&gt;MAX(Main!$D$4:$D$1048576),"",INDEX(Main!G$4:G$1048576,MATCH(ROW(A181),Main!$D$4:$D$1048576,0)))="",IF(M183="","",N182),IF(ROW(A181)&gt;MAX(Main!$D$4:$D$1048576),"",INDEX(Main!G$4:G$1048576,MATCH(ROW(A181),Main!$D$4:$D$1048576,0))))</f>
        <v/>
      </c>
      <c r="O183" s="1" t="str">
        <f>IF(IF(ROW(B181)&gt;MAX(Main!$D$4:$D$1048576),"",INDEX(Main!H$4:H$1048576,MATCH(ROW(B181),Main!$D$4:$D$1048576,0)))="",IF(N183="","",O182),IF(ROW(B181)&gt;MAX(Main!$D$4:$D$1048576),"",INDEX(Main!H$4:H$1048576,MATCH(ROW(B181),Main!$D$4:$D$1048576,0))))</f>
        <v/>
      </c>
      <c r="P183" s="1" t="str">
        <f>IF(IF(ROW(C181)&gt;MAX(Main!$D$4:$D$1048576),"",INDEX(Main!I$4:I$1048576,MATCH(ROW(C181),Main!$D$4:$D$1048576,0)))="",IF(O183="","",P182),IF(ROW(C181)&gt;MAX(Main!$D$4:$D$1048576),"",INDEX(Main!I$4:I$1048576,MATCH(ROW(C181),Main!$D$4:$D$1048576,0))))</f>
        <v/>
      </c>
      <c r="Q183" s="1" t="str">
        <f t="shared" si="8"/>
        <v/>
      </c>
      <c r="R183" s="1" t="str">
        <f>IF(IF(ROW(D181)&gt;MAX(Main!$D$4:$D$1048576),"",INDEX(Main!J$4:J$1048576,MATCH(ROW(D181),Main!$D$4:$D$1048576,0)))="",IF(P183="","",R182),IF(ROW(D181)&gt;MAX(Main!$D$4:$D$1048576),"",INDEX(Main!J$4:J$1048576,MATCH(ROW(D181),Main!$D$4:$D$1048576,0))))</f>
        <v/>
      </c>
      <c r="S183" s="9" t="str">
        <f>IF(ROW(G181)&gt;MAX(Main!$D$4:$D$1048576),"",INDEX(Main!K$4:K$1048576,MATCH(ROW(G181),Main!$D$4:$D$1048576,0)))</f>
        <v/>
      </c>
      <c r="T183" s="1" t="str">
        <f>IF(S183&lt;&gt;"",IF(ROW(G181)&gt;MAX(Main!$D$4:$D$1048576),"",INDEX(Main!N$4:N$1048576,MATCH(ROW(G181),Main!$D$4:$D$1048576,0))),"")</f>
        <v/>
      </c>
      <c r="U183" s="1" t="str">
        <f>IF(IF(ROW(H181)&gt;MAX(Main!$D$4:$D$1048576),"",INDEX(Main!O$4:O$1048576,MATCH(ROW(H181),Main!$D$4:$D$1048576,0)))="",IF(T183="","",U182),IF(ROW(H181)&gt;MAX(Main!$D$4:$D$1048576),"",INDEX(Main!O$4:O$1048576,MATCH(ROW(H181),Main!$D$4:$D$1048576,0))))</f>
        <v/>
      </c>
    </row>
    <row r="184" spans="1:21" x14ac:dyDescent="0.4">
      <c r="A184" t="s">
        <v>21</v>
      </c>
      <c r="B184" s="4" t="str">
        <f>TEXT(IF(ROW(A182)&gt;MAX(Main!$C$4:$C$1048576),"",INDEX(Main!Q$4:Q$1048576,MATCH(ROW(A182),Main!$C$4:$C$1048576,0))), "yyyy/m/d")</f>
        <v/>
      </c>
      <c r="C184" s="1" t="str">
        <f>IF(IF(ROW(A182)&gt;MAX(Main!$C$4:$C$1048576),"",INDEX(Main!G$4:G$1048576,MATCH(ROW(A182),Main!$C$4:$C$1048576,0)))="",IF(B184="","",C183),IF(ROW(A182)&gt;MAX(Main!$C$4:$C$1048576),"",INDEX(Main!G$4:G$1048576,MATCH(ROW(A182),Main!$C$4:$C$1048576,0))))</f>
        <v/>
      </c>
      <c r="D184" s="1" t="str">
        <f>IF(IF(ROW(B182)&gt;MAX(Main!$C$4:$C$1048576),"",INDEX(Main!H$4:H$1048576,MATCH(ROW(B182),Main!$C$4:$C$1048576,0)))="",IF(C184="","",D183),IF(ROW(B182)&gt;MAX(Main!$C$4:$C$1048576),"",INDEX(Main!H$4:H$1048576,MATCH(ROW(B182),Main!$C$4:$C$1048576,0))))</f>
        <v/>
      </c>
      <c r="E184" s="1" t="str">
        <f>IF(IF(ROW(C182)&gt;MAX(Main!$C$4:$C$1048576),"",INDEX(Main!I$4:I$1048576,MATCH(ROW(C182),Main!$C$4:$C$1048576,0)))="",IF(D184="","",E183),IF(ROW(C182)&gt;MAX(Main!$C$4:$C$1048576),"",INDEX(Main!I$4:I$1048576,MATCH(ROW(C182),Main!$C$4:$C$1048576,0))))</f>
        <v/>
      </c>
      <c r="F184" s="1" t="str">
        <f t="shared" si="6"/>
        <v/>
      </c>
      <c r="G184" s="1" t="str">
        <f>IF(IF(ROW(D182)&gt;MAX(Main!$C$4:$C$1048576),"",INDEX(Main!J$4:J$1048576,MATCH(ROW(D182),Main!$C$4:$C$1048576,0)))="",IF(E184="","",G183),IF(ROW(D182)&gt;MAX(Main!$C$4:$C$1048576),"",INDEX(Main!J$4:J$1048576,MATCH(ROW(D182),Main!$C$4:$C$1048576,0))))</f>
        <v/>
      </c>
      <c r="H184" s="10" t="str">
        <f>IF(ROW(G182)&gt;MAX(Main!$C$4:$C$1048576),"",INDEX(Main!K$4:K$1048576,MATCH(ROW(G182),Main!$C$4:$C$1048576,0)))</f>
        <v/>
      </c>
      <c r="I184" s="1" t="str">
        <f>IF(H184&lt;&gt;"",IF(ROW(G182)&gt;MAX(Main!$C$4:$C$1048576),"",INDEX(Main!N$4:N$1048576,MATCH(ROW(G182),Main!$C$4:$C$1048576,0))),"")</f>
        <v/>
      </c>
      <c r="J184" s="1" t="str">
        <f>IF(IF(ROW(H182)&gt;MAX(Main!$C$4:$C$1048576),"",INDEX(Main!O$4:O$1048576,MATCH(ROW(H182),Main!$C$4:$C$1048576,0)))="",IF(I184="","",J183),IF(ROW(H182)&gt;MAX(Main!$C$4:$C$1048576),"",INDEX(Main!O$4:O$1048576,MATCH(ROW(H182),Main!$C$4:$C$1048576,0))))</f>
        <v/>
      </c>
      <c r="K184" s="27" t="str">
        <f t="shared" si="7"/>
        <v>例目</v>
      </c>
      <c r="M184" s="4" t="str">
        <f>TEXT(IF(ROW(A182)&gt;MAX(Main!$D$4:$D$1048576),"",INDEX(Main!Q$4:Q$1048576,MATCH(ROW(A182),Main!$D$4:$D$1048576,0))), "yyyy/m/d")</f>
        <v/>
      </c>
      <c r="N184" s="1" t="str">
        <f>IF(IF(ROW(A182)&gt;MAX(Main!$D$4:$D$1048576),"",INDEX(Main!G$4:G$1048576,MATCH(ROW(A182),Main!$D$4:$D$1048576,0)))="",IF(M184="","",N183),IF(ROW(A182)&gt;MAX(Main!$D$4:$D$1048576),"",INDEX(Main!G$4:G$1048576,MATCH(ROW(A182),Main!$D$4:$D$1048576,0))))</f>
        <v/>
      </c>
      <c r="O184" s="1" t="str">
        <f>IF(IF(ROW(B182)&gt;MAX(Main!$D$4:$D$1048576),"",INDEX(Main!H$4:H$1048576,MATCH(ROW(B182),Main!$D$4:$D$1048576,0)))="",IF(N184="","",O183),IF(ROW(B182)&gt;MAX(Main!$D$4:$D$1048576),"",INDEX(Main!H$4:H$1048576,MATCH(ROW(B182),Main!$D$4:$D$1048576,0))))</f>
        <v/>
      </c>
      <c r="P184" s="1" t="str">
        <f>IF(IF(ROW(C182)&gt;MAX(Main!$D$4:$D$1048576),"",INDEX(Main!I$4:I$1048576,MATCH(ROW(C182),Main!$D$4:$D$1048576,0)))="",IF(O184="","",P183),IF(ROW(C182)&gt;MAX(Main!$D$4:$D$1048576),"",INDEX(Main!I$4:I$1048576,MATCH(ROW(C182),Main!$D$4:$D$1048576,0))))</f>
        <v/>
      </c>
      <c r="Q184" s="1" t="str">
        <f t="shared" si="8"/>
        <v/>
      </c>
      <c r="R184" s="1" t="str">
        <f>IF(IF(ROW(D182)&gt;MAX(Main!$D$4:$D$1048576),"",INDEX(Main!J$4:J$1048576,MATCH(ROW(D182),Main!$D$4:$D$1048576,0)))="",IF(P184="","",R183),IF(ROW(D182)&gt;MAX(Main!$D$4:$D$1048576),"",INDEX(Main!J$4:J$1048576,MATCH(ROW(D182),Main!$D$4:$D$1048576,0))))</f>
        <v/>
      </c>
      <c r="S184" s="9" t="str">
        <f>IF(ROW(G182)&gt;MAX(Main!$D$4:$D$1048576),"",INDEX(Main!K$4:K$1048576,MATCH(ROW(G182),Main!$D$4:$D$1048576,0)))</f>
        <v/>
      </c>
      <c r="T184" s="1" t="str">
        <f>IF(S184&lt;&gt;"",IF(ROW(G182)&gt;MAX(Main!$D$4:$D$1048576),"",INDEX(Main!N$4:N$1048576,MATCH(ROW(G182),Main!$D$4:$D$1048576,0))),"")</f>
        <v/>
      </c>
      <c r="U184" s="1" t="str">
        <f>IF(IF(ROW(H182)&gt;MAX(Main!$D$4:$D$1048576),"",INDEX(Main!O$4:O$1048576,MATCH(ROW(H182),Main!$D$4:$D$1048576,0)))="",IF(T184="","",U183),IF(ROW(H182)&gt;MAX(Main!$D$4:$D$1048576),"",INDEX(Main!O$4:O$1048576,MATCH(ROW(H182),Main!$D$4:$D$1048576,0))))</f>
        <v/>
      </c>
    </row>
    <row r="185" spans="1:21" x14ac:dyDescent="0.4">
      <c r="A185" t="s">
        <v>21</v>
      </c>
      <c r="B185" s="4" t="str">
        <f>TEXT(IF(ROW(A183)&gt;MAX(Main!$C$4:$C$1048576),"",INDEX(Main!Q$4:Q$1048576,MATCH(ROW(A183),Main!$C$4:$C$1048576,0))), "yyyy/m/d")</f>
        <v/>
      </c>
      <c r="C185" s="1" t="str">
        <f>IF(IF(ROW(A183)&gt;MAX(Main!$C$4:$C$1048576),"",INDEX(Main!G$4:G$1048576,MATCH(ROW(A183),Main!$C$4:$C$1048576,0)))="",IF(B185="","",C184),IF(ROW(A183)&gt;MAX(Main!$C$4:$C$1048576),"",INDEX(Main!G$4:G$1048576,MATCH(ROW(A183),Main!$C$4:$C$1048576,0))))</f>
        <v/>
      </c>
      <c r="D185" s="1" t="str">
        <f>IF(IF(ROW(B183)&gt;MAX(Main!$C$4:$C$1048576),"",INDEX(Main!H$4:H$1048576,MATCH(ROW(B183),Main!$C$4:$C$1048576,0)))="",IF(C185="","",D184),IF(ROW(B183)&gt;MAX(Main!$C$4:$C$1048576),"",INDEX(Main!H$4:H$1048576,MATCH(ROW(B183),Main!$C$4:$C$1048576,0))))</f>
        <v/>
      </c>
      <c r="E185" s="1" t="str">
        <f>IF(IF(ROW(C183)&gt;MAX(Main!$C$4:$C$1048576),"",INDEX(Main!I$4:I$1048576,MATCH(ROW(C183),Main!$C$4:$C$1048576,0)))="",IF(D185="","",E184),IF(ROW(C183)&gt;MAX(Main!$C$4:$C$1048576),"",INDEX(Main!I$4:I$1048576,MATCH(ROW(C183),Main!$C$4:$C$1048576,0))))</f>
        <v/>
      </c>
      <c r="F185" s="1" t="str">
        <f t="shared" si="6"/>
        <v/>
      </c>
      <c r="G185" s="1" t="str">
        <f>IF(IF(ROW(D183)&gt;MAX(Main!$C$4:$C$1048576),"",INDEX(Main!J$4:J$1048576,MATCH(ROW(D183),Main!$C$4:$C$1048576,0)))="",IF(E185="","",G184),IF(ROW(D183)&gt;MAX(Main!$C$4:$C$1048576),"",INDEX(Main!J$4:J$1048576,MATCH(ROW(D183),Main!$C$4:$C$1048576,0))))</f>
        <v/>
      </c>
      <c r="H185" s="10" t="str">
        <f>IF(ROW(G183)&gt;MAX(Main!$C$4:$C$1048576),"",INDEX(Main!K$4:K$1048576,MATCH(ROW(G183),Main!$C$4:$C$1048576,0)))</f>
        <v/>
      </c>
      <c r="I185" s="1" t="str">
        <f>IF(H185&lt;&gt;"",IF(ROW(G183)&gt;MAX(Main!$C$4:$C$1048576),"",INDEX(Main!N$4:N$1048576,MATCH(ROW(G183),Main!$C$4:$C$1048576,0))),"")</f>
        <v/>
      </c>
      <c r="J185" s="1" t="str">
        <f>IF(IF(ROW(H183)&gt;MAX(Main!$C$4:$C$1048576),"",INDEX(Main!O$4:O$1048576,MATCH(ROW(H183),Main!$C$4:$C$1048576,0)))="",IF(I185="","",J184),IF(ROW(H183)&gt;MAX(Main!$C$4:$C$1048576),"",INDEX(Main!O$4:O$1048576,MATCH(ROW(H183),Main!$C$4:$C$1048576,0))))</f>
        <v/>
      </c>
      <c r="K185" s="27" t="str">
        <f t="shared" si="7"/>
        <v>例目</v>
      </c>
      <c r="M185" s="4" t="str">
        <f>TEXT(IF(ROW(A183)&gt;MAX(Main!$D$4:$D$1048576),"",INDEX(Main!Q$4:Q$1048576,MATCH(ROW(A183),Main!$D$4:$D$1048576,0))), "yyyy/m/d")</f>
        <v/>
      </c>
      <c r="N185" s="1" t="str">
        <f>IF(IF(ROW(A183)&gt;MAX(Main!$D$4:$D$1048576),"",INDEX(Main!G$4:G$1048576,MATCH(ROW(A183),Main!$D$4:$D$1048576,0)))="",IF(M185="","",N184),IF(ROW(A183)&gt;MAX(Main!$D$4:$D$1048576),"",INDEX(Main!G$4:G$1048576,MATCH(ROW(A183),Main!$D$4:$D$1048576,0))))</f>
        <v/>
      </c>
      <c r="O185" s="1" t="str">
        <f>IF(IF(ROW(B183)&gt;MAX(Main!$D$4:$D$1048576),"",INDEX(Main!H$4:H$1048576,MATCH(ROW(B183),Main!$D$4:$D$1048576,0)))="",IF(N185="","",O184),IF(ROW(B183)&gt;MAX(Main!$D$4:$D$1048576),"",INDEX(Main!H$4:H$1048576,MATCH(ROW(B183),Main!$D$4:$D$1048576,0))))</f>
        <v/>
      </c>
      <c r="P185" s="1" t="str">
        <f>IF(IF(ROW(C183)&gt;MAX(Main!$D$4:$D$1048576),"",INDEX(Main!I$4:I$1048576,MATCH(ROW(C183),Main!$D$4:$D$1048576,0)))="",IF(O185="","",P184),IF(ROW(C183)&gt;MAX(Main!$D$4:$D$1048576),"",INDEX(Main!I$4:I$1048576,MATCH(ROW(C183),Main!$D$4:$D$1048576,0))))</f>
        <v/>
      </c>
      <c r="Q185" s="1" t="str">
        <f t="shared" si="8"/>
        <v/>
      </c>
      <c r="R185" s="1" t="str">
        <f>IF(IF(ROW(D183)&gt;MAX(Main!$D$4:$D$1048576),"",INDEX(Main!J$4:J$1048576,MATCH(ROW(D183),Main!$D$4:$D$1048576,0)))="",IF(P185="","",R184),IF(ROW(D183)&gt;MAX(Main!$D$4:$D$1048576),"",INDEX(Main!J$4:J$1048576,MATCH(ROW(D183),Main!$D$4:$D$1048576,0))))</f>
        <v/>
      </c>
      <c r="S185" s="9" t="str">
        <f>IF(ROW(G183)&gt;MAX(Main!$D$4:$D$1048576),"",INDEX(Main!K$4:K$1048576,MATCH(ROW(G183),Main!$D$4:$D$1048576,0)))</f>
        <v/>
      </c>
      <c r="T185" s="1" t="str">
        <f>IF(S185&lt;&gt;"",IF(ROW(G183)&gt;MAX(Main!$D$4:$D$1048576),"",INDEX(Main!N$4:N$1048576,MATCH(ROW(G183),Main!$D$4:$D$1048576,0))),"")</f>
        <v/>
      </c>
      <c r="U185" s="1" t="str">
        <f>IF(IF(ROW(H183)&gt;MAX(Main!$D$4:$D$1048576),"",INDEX(Main!O$4:O$1048576,MATCH(ROW(H183),Main!$D$4:$D$1048576,0)))="",IF(T185="","",U184),IF(ROW(H183)&gt;MAX(Main!$D$4:$D$1048576),"",INDEX(Main!O$4:O$1048576,MATCH(ROW(H183),Main!$D$4:$D$1048576,0))))</f>
        <v/>
      </c>
    </row>
    <row r="186" spans="1:21" x14ac:dyDescent="0.4">
      <c r="A186" t="s">
        <v>21</v>
      </c>
      <c r="B186" s="4" t="str">
        <f>TEXT(IF(ROW(A184)&gt;MAX(Main!$C$4:$C$1048576),"",INDEX(Main!Q$4:Q$1048576,MATCH(ROW(A184),Main!$C$4:$C$1048576,0))), "yyyy/m/d")</f>
        <v/>
      </c>
      <c r="C186" s="1" t="str">
        <f>IF(IF(ROW(A184)&gt;MAX(Main!$C$4:$C$1048576),"",INDEX(Main!G$4:G$1048576,MATCH(ROW(A184),Main!$C$4:$C$1048576,0)))="",IF(B186="","",C185),IF(ROW(A184)&gt;MAX(Main!$C$4:$C$1048576),"",INDEX(Main!G$4:G$1048576,MATCH(ROW(A184),Main!$C$4:$C$1048576,0))))</f>
        <v/>
      </c>
      <c r="D186" s="1" t="str">
        <f>IF(IF(ROW(B184)&gt;MAX(Main!$C$4:$C$1048576),"",INDEX(Main!H$4:H$1048576,MATCH(ROW(B184),Main!$C$4:$C$1048576,0)))="",IF(C186="","",D185),IF(ROW(B184)&gt;MAX(Main!$C$4:$C$1048576),"",INDEX(Main!H$4:H$1048576,MATCH(ROW(B184),Main!$C$4:$C$1048576,0))))</f>
        <v/>
      </c>
      <c r="E186" s="1" t="str">
        <f>IF(IF(ROW(C184)&gt;MAX(Main!$C$4:$C$1048576),"",INDEX(Main!I$4:I$1048576,MATCH(ROW(C184),Main!$C$4:$C$1048576,0)))="",IF(D186="","",E185),IF(ROW(C184)&gt;MAX(Main!$C$4:$C$1048576),"",INDEX(Main!I$4:I$1048576,MATCH(ROW(C184),Main!$C$4:$C$1048576,0))))</f>
        <v/>
      </c>
      <c r="F186" s="1" t="str">
        <f t="shared" si="6"/>
        <v/>
      </c>
      <c r="G186" s="1" t="str">
        <f>IF(IF(ROW(D184)&gt;MAX(Main!$C$4:$C$1048576),"",INDEX(Main!J$4:J$1048576,MATCH(ROW(D184),Main!$C$4:$C$1048576,0)))="",IF(E186="","",G185),IF(ROW(D184)&gt;MAX(Main!$C$4:$C$1048576),"",INDEX(Main!J$4:J$1048576,MATCH(ROW(D184),Main!$C$4:$C$1048576,0))))</f>
        <v/>
      </c>
      <c r="H186" s="10" t="str">
        <f>IF(ROW(G184)&gt;MAX(Main!$C$4:$C$1048576),"",INDEX(Main!K$4:K$1048576,MATCH(ROW(G184),Main!$C$4:$C$1048576,0)))</f>
        <v/>
      </c>
      <c r="I186" s="1" t="str">
        <f>IF(H186&lt;&gt;"",IF(ROW(G184)&gt;MAX(Main!$C$4:$C$1048576),"",INDEX(Main!N$4:N$1048576,MATCH(ROW(G184),Main!$C$4:$C$1048576,0))),"")</f>
        <v/>
      </c>
      <c r="J186" s="1" t="str">
        <f>IF(IF(ROW(H184)&gt;MAX(Main!$C$4:$C$1048576),"",INDEX(Main!O$4:O$1048576,MATCH(ROW(H184),Main!$C$4:$C$1048576,0)))="",IF(I186="","",J185),IF(ROW(H184)&gt;MAX(Main!$C$4:$C$1048576),"",INDEX(Main!O$4:O$1048576,MATCH(ROW(H184),Main!$C$4:$C$1048576,0))))</f>
        <v/>
      </c>
      <c r="K186" s="27" t="str">
        <f t="shared" si="7"/>
        <v>例目</v>
      </c>
      <c r="M186" s="4" t="str">
        <f>TEXT(IF(ROW(A184)&gt;MAX(Main!$D$4:$D$1048576),"",INDEX(Main!Q$4:Q$1048576,MATCH(ROW(A184),Main!$D$4:$D$1048576,0))), "yyyy/m/d")</f>
        <v/>
      </c>
      <c r="N186" s="1" t="str">
        <f>IF(IF(ROW(A184)&gt;MAX(Main!$D$4:$D$1048576),"",INDEX(Main!G$4:G$1048576,MATCH(ROW(A184),Main!$D$4:$D$1048576,0)))="",IF(M186="","",N185),IF(ROW(A184)&gt;MAX(Main!$D$4:$D$1048576),"",INDEX(Main!G$4:G$1048576,MATCH(ROW(A184),Main!$D$4:$D$1048576,0))))</f>
        <v/>
      </c>
      <c r="O186" s="1" t="str">
        <f>IF(IF(ROW(B184)&gt;MAX(Main!$D$4:$D$1048576),"",INDEX(Main!H$4:H$1048576,MATCH(ROW(B184),Main!$D$4:$D$1048576,0)))="",IF(N186="","",O185),IF(ROW(B184)&gt;MAX(Main!$D$4:$D$1048576),"",INDEX(Main!H$4:H$1048576,MATCH(ROW(B184),Main!$D$4:$D$1048576,0))))</f>
        <v/>
      </c>
      <c r="P186" s="1" t="str">
        <f>IF(IF(ROW(C184)&gt;MAX(Main!$D$4:$D$1048576),"",INDEX(Main!I$4:I$1048576,MATCH(ROW(C184),Main!$D$4:$D$1048576,0)))="",IF(O186="","",P185),IF(ROW(C184)&gt;MAX(Main!$D$4:$D$1048576),"",INDEX(Main!I$4:I$1048576,MATCH(ROW(C184),Main!$D$4:$D$1048576,0))))</f>
        <v/>
      </c>
      <c r="Q186" s="1" t="str">
        <f t="shared" si="8"/>
        <v/>
      </c>
      <c r="R186" s="1" t="str">
        <f>IF(IF(ROW(D184)&gt;MAX(Main!$D$4:$D$1048576),"",INDEX(Main!J$4:J$1048576,MATCH(ROW(D184),Main!$D$4:$D$1048576,0)))="",IF(P186="","",R185),IF(ROW(D184)&gt;MAX(Main!$D$4:$D$1048576),"",INDEX(Main!J$4:J$1048576,MATCH(ROW(D184),Main!$D$4:$D$1048576,0))))</f>
        <v/>
      </c>
      <c r="S186" s="9" t="str">
        <f>IF(ROW(G184)&gt;MAX(Main!$D$4:$D$1048576),"",INDEX(Main!K$4:K$1048576,MATCH(ROW(G184),Main!$D$4:$D$1048576,0)))</f>
        <v/>
      </c>
      <c r="T186" s="1" t="str">
        <f>IF(S186&lt;&gt;"",IF(ROW(G184)&gt;MAX(Main!$D$4:$D$1048576),"",INDEX(Main!N$4:N$1048576,MATCH(ROW(G184),Main!$D$4:$D$1048576,0))),"")</f>
        <v/>
      </c>
      <c r="U186" s="1" t="str">
        <f>IF(IF(ROW(H184)&gt;MAX(Main!$D$4:$D$1048576),"",INDEX(Main!O$4:O$1048576,MATCH(ROW(H184),Main!$D$4:$D$1048576,0)))="",IF(T186="","",U185),IF(ROW(H184)&gt;MAX(Main!$D$4:$D$1048576),"",INDEX(Main!O$4:O$1048576,MATCH(ROW(H184),Main!$D$4:$D$1048576,0))))</f>
        <v/>
      </c>
    </row>
    <row r="187" spans="1:21" x14ac:dyDescent="0.4">
      <c r="A187" t="s">
        <v>21</v>
      </c>
      <c r="B187" s="4" t="str">
        <f>TEXT(IF(ROW(A185)&gt;MAX(Main!$C$4:$C$1048576),"",INDEX(Main!Q$4:Q$1048576,MATCH(ROW(A185),Main!$C$4:$C$1048576,0))), "yyyy/m/d")</f>
        <v/>
      </c>
      <c r="C187" s="1" t="str">
        <f>IF(IF(ROW(A185)&gt;MAX(Main!$C$4:$C$1048576),"",INDEX(Main!G$4:G$1048576,MATCH(ROW(A185),Main!$C$4:$C$1048576,0)))="",IF(B187="","",C186),IF(ROW(A185)&gt;MAX(Main!$C$4:$C$1048576),"",INDEX(Main!G$4:G$1048576,MATCH(ROW(A185),Main!$C$4:$C$1048576,0))))</f>
        <v/>
      </c>
      <c r="D187" s="1" t="str">
        <f>IF(IF(ROW(B185)&gt;MAX(Main!$C$4:$C$1048576),"",INDEX(Main!H$4:H$1048576,MATCH(ROW(B185),Main!$C$4:$C$1048576,0)))="",IF(C187="","",D186),IF(ROW(B185)&gt;MAX(Main!$C$4:$C$1048576),"",INDEX(Main!H$4:H$1048576,MATCH(ROW(B185),Main!$C$4:$C$1048576,0))))</f>
        <v/>
      </c>
      <c r="E187" s="1" t="str">
        <f>IF(IF(ROW(C185)&gt;MAX(Main!$C$4:$C$1048576),"",INDEX(Main!I$4:I$1048576,MATCH(ROW(C185),Main!$C$4:$C$1048576,0)))="",IF(D187="","",E186),IF(ROW(C185)&gt;MAX(Main!$C$4:$C$1048576),"",INDEX(Main!I$4:I$1048576,MATCH(ROW(C185),Main!$C$4:$C$1048576,0))))</f>
        <v/>
      </c>
      <c r="F187" s="1" t="str">
        <f t="shared" si="6"/>
        <v/>
      </c>
      <c r="G187" s="1" t="str">
        <f>IF(IF(ROW(D185)&gt;MAX(Main!$C$4:$C$1048576),"",INDEX(Main!J$4:J$1048576,MATCH(ROW(D185),Main!$C$4:$C$1048576,0)))="",IF(E187="","",G186),IF(ROW(D185)&gt;MAX(Main!$C$4:$C$1048576),"",INDEX(Main!J$4:J$1048576,MATCH(ROW(D185),Main!$C$4:$C$1048576,0))))</f>
        <v/>
      </c>
      <c r="H187" s="10" t="str">
        <f>IF(ROW(G185)&gt;MAX(Main!$C$4:$C$1048576),"",INDEX(Main!K$4:K$1048576,MATCH(ROW(G185),Main!$C$4:$C$1048576,0)))</f>
        <v/>
      </c>
      <c r="I187" s="1" t="str">
        <f>IF(H187&lt;&gt;"",IF(ROW(G185)&gt;MAX(Main!$C$4:$C$1048576),"",INDEX(Main!N$4:N$1048576,MATCH(ROW(G185),Main!$C$4:$C$1048576,0))),"")</f>
        <v/>
      </c>
      <c r="J187" s="1" t="str">
        <f>IF(IF(ROW(H185)&gt;MAX(Main!$C$4:$C$1048576),"",INDEX(Main!O$4:O$1048576,MATCH(ROW(H185),Main!$C$4:$C$1048576,0)))="",IF(I187="","",J186),IF(ROW(H185)&gt;MAX(Main!$C$4:$C$1048576),"",INDEX(Main!O$4:O$1048576,MATCH(ROW(H185),Main!$C$4:$C$1048576,0))))</f>
        <v/>
      </c>
      <c r="K187" s="27" t="str">
        <f t="shared" si="7"/>
        <v>例目</v>
      </c>
      <c r="M187" s="4" t="str">
        <f>TEXT(IF(ROW(A185)&gt;MAX(Main!$D$4:$D$1048576),"",INDEX(Main!Q$4:Q$1048576,MATCH(ROW(A185),Main!$D$4:$D$1048576,0))), "yyyy/m/d")</f>
        <v/>
      </c>
      <c r="N187" s="1" t="str">
        <f>IF(IF(ROW(A185)&gt;MAX(Main!$D$4:$D$1048576),"",INDEX(Main!G$4:G$1048576,MATCH(ROW(A185),Main!$D$4:$D$1048576,0)))="",IF(M187="","",N186),IF(ROW(A185)&gt;MAX(Main!$D$4:$D$1048576),"",INDEX(Main!G$4:G$1048576,MATCH(ROW(A185),Main!$D$4:$D$1048576,0))))</f>
        <v/>
      </c>
      <c r="O187" s="1" t="str">
        <f>IF(IF(ROW(B185)&gt;MAX(Main!$D$4:$D$1048576),"",INDEX(Main!H$4:H$1048576,MATCH(ROW(B185),Main!$D$4:$D$1048576,0)))="",IF(N187="","",O186),IF(ROW(B185)&gt;MAX(Main!$D$4:$D$1048576),"",INDEX(Main!H$4:H$1048576,MATCH(ROW(B185),Main!$D$4:$D$1048576,0))))</f>
        <v/>
      </c>
      <c r="P187" s="1" t="str">
        <f>IF(IF(ROW(C185)&gt;MAX(Main!$D$4:$D$1048576),"",INDEX(Main!I$4:I$1048576,MATCH(ROW(C185),Main!$D$4:$D$1048576,0)))="",IF(O187="","",P186),IF(ROW(C185)&gt;MAX(Main!$D$4:$D$1048576),"",INDEX(Main!I$4:I$1048576,MATCH(ROW(C185),Main!$D$4:$D$1048576,0))))</f>
        <v/>
      </c>
      <c r="Q187" s="1" t="str">
        <f t="shared" si="8"/>
        <v/>
      </c>
      <c r="R187" s="1" t="str">
        <f>IF(IF(ROW(D185)&gt;MAX(Main!$D$4:$D$1048576),"",INDEX(Main!J$4:J$1048576,MATCH(ROW(D185),Main!$D$4:$D$1048576,0)))="",IF(P187="","",R186),IF(ROW(D185)&gt;MAX(Main!$D$4:$D$1048576),"",INDEX(Main!J$4:J$1048576,MATCH(ROW(D185),Main!$D$4:$D$1048576,0))))</f>
        <v/>
      </c>
      <c r="S187" s="9" t="str">
        <f>IF(ROW(G185)&gt;MAX(Main!$D$4:$D$1048576),"",INDEX(Main!K$4:K$1048576,MATCH(ROW(G185),Main!$D$4:$D$1048576,0)))</f>
        <v/>
      </c>
      <c r="T187" s="1" t="str">
        <f>IF(S187&lt;&gt;"",IF(ROW(G185)&gt;MAX(Main!$D$4:$D$1048576),"",INDEX(Main!N$4:N$1048576,MATCH(ROW(G185),Main!$D$4:$D$1048576,0))),"")</f>
        <v/>
      </c>
      <c r="U187" s="1" t="str">
        <f>IF(IF(ROW(H185)&gt;MAX(Main!$D$4:$D$1048576),"",INDEX(Main!O$4:O$1048576,MATCH(ROW(H185),Main!$D$4:$D$1048576,0)))="",IF(T187="","",U186),IF(ROW(H185)&gt;MAX(Main!$D$4:$D$1048576),"",INDEX(Main!O$4:O$1048576,MATCH(ROW(H185),Main!$D$4:$D$1048576,0))))</f>
        <v/>
      </c>
    </row>
    <row r="188" spans="1:21" x14ac:dyDescent="0.4">
      <c r="A188" t="s">
        <v>21</v>
      </c>
      <c r="B188" s="4" t="str">
        <f>TEXT(IF(ROW(A186)&gt;MAX(Main!$C$4:$C$1048576),"",INDEX(Main!Q$4:Q$1048576,MATCH(ROW(A186),Main!$C$4:$C$1048576,0))), "yyyy/m/d")</f>
        <v/>
      </c>
      <c r="C188" s="1" t="str">
        <f>IF(IF(ROW(A186)&gt;MAX(Main!$C$4:$C$1048576),"",INDEX(Main!G$4:G$1048576,MATCH(ROW(A186),Main!$C$4:$C$1048576,0)))="",IF(B188="","",C187),IF(ROW(A186)&gt;MAX(Main!$C$4:$C$1048576),"",INDEX(Main!G$4:G$1048576,MATCH(ROW(A186),Main!$C$4:$C$1048576,0))))</f>
        <v/>
      </c>
      <c r="D188" s="1" t="str">
        <f>IF(IF(ROW(B186)&gt;MAX(Main!$C$4:$C$1048576),"",INDEX(Main!H$4:H$1048576,MATCH(ROW(B186),Main!$C$4:$C$1048576,0)))="",IF(C188="","",D187),IF(ROW(B186)&gt;MAX(Main!$C$4:$C$1048576),"",INDEX(Main!H$4:H$1048576,MATCH(ROW(B186),Main!$C$4:$C$1048576,0))))</f>
        <v/>
      </c>
      <c r="E188" s="1" t="str">
        <f>IF(IF(ROW(C186)&gt;MAX(Main!$C$4:$C$1048576),"",INDEX(Main!I$4:I$1048576,MATCH(ROW(C186),Main!$C$4:$C$1048576,0)))="",IF(D188="","",E187),IF(ROW(C186)&gt;MAX(Main!$C$4:$C$1048576),"",INDEX(Main!I$4:I$1048576,MATCH(ROW(C186),Main!$C$4:$C$1048576,0))))</f>
        <v/>
      </c>
      <c r="F188" s="1" t="str">
        <f t="shared" si="6"/>
        <v/>
      </c>
      <c r="G188" s="1" t="str">
        <f>IF(IF(ROW(D186)&gt;MAX(Main!$C$4:$C$1048576),"",INDEX(Main!J$4:J$1048576,MATCH(ROW(D186),Main!$C$4:$C$1048576,0)))="",IF(E188="","",G187),IF(ROW(D186)&gt;MAX(Main!$C$4:$C$1048576),"",INDEX(Main!J$4:J$1048576,MATCH(ROW(D186),Main!$C$4:$C$1048576,0))))</f>
        <v/>
      </c>
      <c r="H188" s="10" t="str">
        <f>IF(ROW(G186)&gt;MAX(Main!$C$4:$C$1048576),"",INDEX(Main!K$4:K$1048576,MATCH(ROW(G186),Main!$C$4:$C$1048576,0)))</f>
        <v/>
      </c>
      <c r="I188" s="1" t="str">
        <f>IF(H188&lt;&gt;"",IF(ROW(G186)&gt;MAX(Main!$C$4:$C$1048576),"",INDEX(Main!N$4:N$1048576,MATCH(ROW(G186),Main!$C$4:$C$1048576,0))),"")</f>
        <v/>
      </c>
      <c r="J188" s="1" t="str">
        <f>IF(IF(ROW(H186)&gt;MAX(Main!$C$4:$C$1048576),"",INDEX(Main!O$4:O$1048576,MATCH(ROW(H186),Main!$C$4:$C$1048576,0)))="",IF(I188="","",J187),IF(ROW(H186)&gt;MAX(Main!$C$4:$C$1048576),"",INDEX(Main!O$4:O$1048576,MATCH(ROW(H186),Main!$C$4:$C$1048576,0))))</f>
        <v/>
      </c>
      <c r="K188" s="27" t="str">
        <f t="shared" si="7"/>
        <v>例目</v>
      </c>
      <c r="M188" s="4" t="str">
        <f>TEXT(IF(ROW(A186)&gt;MAX(Main!$D$4:$D$1048576),"",INDEX(Main!Q$4:Q$1048576,MATCH(ROW(A186),Main!$D$4:$D$1048576,0))), "yyyy/m/d")</f>
        <v/>
      </c>
      <c r="N188" s="1" t="str">
        <f>IF(IF(ROW(A186)&gt;MAX(Main!$D$4:$D$1048576),"",INDEX(Main!G$4:G$1048576,MATCH(ROW(A186),Main!$D$4:$D$1048576,0)))="",IF(M188="","",N187),IF(ROW(A186)&gt;MAX(Main!$D$4:$D$1048576),"",INDEX(Main!G$4:G$1048576,MATCH(ROW(A186),Main!$D$4:$D$1048576,0))))</f>
        <v/>
      </c>
      <c r="O188" s="1" t="str">
        <f>IF(IF(ROW(B186)&gt;MAX(Main!$D$4:$D$1048576),"",INDEX(Main!H$4:H$1048576,MATCH(ROW(B186),Main!$D$4:$D$1048576,0)))="",IF(N188="","",O187),IF(ROW(B186)&gt;MAX(Main!$D$4:$D$1048576),"",INDEX(Main!H$4:H$1048576,MATCH(ROW(B186),Main!$D$4:$D$1048576,0))))</f>
        <v/>
      </c>
      <c r="P188" s="1" t="str">
        <f>IF(IF(ROW(C186)&gt;MAX(Main!$D$4:$D$1048576),"",INDEX(Main!I$4:I$1048576,MATCH(ROW(C186),Main!$D$4:$D$1048576,0)))="",IF(O188="","",P187),IF(ROW(C186)&gt;MAX(Main!$D$4:$D$1048576),"",INDEX(Main!I$4:I$1048576,MATCH(ROW(C186),Main!$D$4:$D$1048576,0))))</f>
        <v/>
      </c>
      <c r="Q188" s="1" t="str">
        <f t="shared" si="8"/>
        <v/>
      </c>
      <c r="R188" s="1" t="str">
        <f>IF(IF(ROW(D186)&gt;MAX(Main!$D$4:$D$1048576),"",INDEX(Main!J$4:J$1048576,MATCH(ROW(D186),Main!$D$4:$D$1048576,0)))="",IF(P188="","",R187),IF(ROW(D186)&gt;MAX(Main!$D$4:$D$1048576),"",INDEX(Main!J$4:J$1048576,MATCH(ROW(D186),Main!$D$4:$D$1048576,0))))</f>
        <v/>
      </c>
      <c r="S188" s="9" t="str">
        <f>IF(ROW(G186)&gt;MAX(Main!$D$4:$D$1048576),"",INDEX(Main!K$4:K$1048576,MATCH(ROW(G186),Main!$D$4:$D$1048576,0)))</f>
        <v/>
      </c>
      <c r="T188" s="1" t="str">
        <f>IF(S188&lt;&gt;"",IF(ROW(G186)&gt;MAX(Main!$D$4:$D$1048576),"",INDEX(Main!N$4:N$1048576,MATCH(ROW(G186),Main!$D$4:$D$1048576,0))),"")</f>
        <v/>
      </c>
      <c r="U188" s="1" t="str">
        <f>IF(IF(ROW(H186)&gt;MAX(Main!$D$4:$D$1048576),"",INDEX(Main!O$4:O$1048576,MATCH(ROW(H186),Main!$D$4:$D$1048576,0)))="",IF(T188="","",U187),IF(ROW(H186)&gt;MAX(Main!$D$4:$D$1048576),"",INDEX(Main!O$4:O$1048576,MATCH(ROW(H186),Main!$D$4:$D$1048576,0))))</f>
        <v/>
      </c>
    </row>
    <row r="189" spans="1:21" x14ac:dyDescent="0.4">
      <c r="A189" t="s">
        <v>21</v>
      </c>
      <c r="B189" s="4" t="str">
        <f>TEXT(IF(ROW(A187)&gt;MAX(Main!$C$4:$C$1048576),"",INDEX(Main!Q$4:Q$1048576,MATCH(ROW(A187),Main!$C$4:$C$1048576,0))), "yyyy/m/d")</f>
        <v/>
      </c>
      <c r="C189" s="1" t="str">
        <f>IF(IF(ROW(A187)&gt;MAX(Main!$C$4:$C$1048576),"",INDEX(Main!G$4:G$1048576,MATCH(ROW(A187),Main!$C$4:$C$1048576,0)))="",IF(B189="","",C188),IF(ROW(A187)&gt;MAX(Main!$C$4:$C$1048576),"",INDEX(Main!G$4:G$1048576,MATCH(ROW(A187),Main!$C$4:$C$1048576,0))))</f>
        <v/>
      </c>
      <c r="D189" s="1" t="str">
        <f>IF(IF(ROW(B187)&gt;MAX(Main!$C$4:$C$1048576),"",INDEX(Main!H$4:H$1048576,MATCH(ROW(B187),Main!$C$4:$C$1048576,0)))="",IF(C189="","",D188),IF(ROW(B187)&gt;MAX(Main!$C$4:$C$1048576),"",INDEX(Main!H$4:H$1048576,MATCH(ROW(B187),Main!$C$4:$C$1048576,0))))</f>
        <v/>
      </c>
      <c r="E189" s="1" t="str">
        <f>IF(IF(ROW(C187)&gt;MAX(Main!$C$4:$C$1048576),"",INDEX(Main!I$4:I$1048576,MATCH(ROW(C187),Main!$C$4:$C$1048576,0)))="",IF(D189="","",E188),IF(ROW(C187)&gt;MAX(Main!$C$4:$C$1048576),"",INDEX(Main!I$4:I$1048576,MATCH(ROW(C187),Main!$C$4:$C$1048576,0))))</f>
        <v/>
      </c>
      <c r="F189" s="1" t="str">
        <f t="shared" si="6"/>
        <v/>
      </c>
      <c r="G189" s="1" t="str">
        <f>IF(IF(ROW(D187)&gt;MAX(Main!$C$4:$C$1048576),"",INDEX(Main!J$4:J$1048576,MATCH(ROW(D187),Main!$C$4:$C$1048576,0)))="",IF(E189="","",G188),IF(ROW(D187)&gt;MAX(Main!$C$4:$C$1048576),"",INDEX(Main!J$4:J$1048576,MATCH(ROW(D187),Main!$C$4:$C$1048576,0))))</f>
        <v/>
      </c>
      <c r="H189" s="10" t="str">
        <f>IF(ROW(G187)&gt;MAX(Main!$C$4:$C$1048576),"",INDEX(Main!K$4:K$1048576,MATCH(ROW(G187),Main!$C$4:$C$1048576,0)))</f>
        <v/>
      </c>
      <c r="I189" s="1" t="str">
        <f>IF(H189&lt;&gt;"",IF(ROW(G187)&gt;MAX(Main!$C$4:$C$1048576),"",INDEX(Main!N$4:N$1048576,MATCH(ROW(G187),Main!$C$4:$C$1048576,0))),"")</f>
        <v/>
      </c>
      <c r="J189" s="1" t="str">
        <f>IF(IF(ROW(H187)&gt;MAX(Main!$C$4:$C$1048576),"",INDEX(Main!O$4:O$1048576,MATCH(ROW(H187),Main!$C$4:$C$1048576,0)))="",IF(I189="","",J188),IF(ROW(H187)&gt;MAX(Main!$C$4:$C$1048576),"",INDEX(Main!O$4:O$1048576,MATCH(ROW(H187),Main!$C$4:$C$1048576,0))))</f>
        <v/>
      </c>
      <c r="K189" s="27" t="str">
        <f t="shared" si="7"/>
        <v>例目</v>
      </c>
      <c r="M189" s="4" t="str">
        <f>TEXT(IF(ROW(A187)&gt;MAX(Main!$D$4:$D$1048576),"",INDEX(Main!Q$4:Q$1048576,MATCH(ROW(A187),Main!$D$4:$D$1048576,0))), "yyyy/m/d")</f>
        <v/>
      </c>
      <c r="N189" s="1" t="str">
        <f>IF(IF(ROW(A187)&gt;MAX(Main!$D$4:$D$1048576),"",INDEX(Main!G$4:G$1048576,MATCH(ROW(A187),Main!$D$4:$D$1048576,0)))="",IF(M189="","",N188),IF(ROW(A187)&gt;MAX(Main!$D$4:$D$1048576),"",INDEX(Main!G$4:G$1048576,MATCH(ROW(A187),Main!$D$4:$D$1048576,0))))</f>
        <v/>
      </c>
      <c r="O189" s="1" t="str">
        <f>IF(IF(ROW(B187)&gt;MAX(Main!$D$4:$D$1048576),"",INDEX(Main!H$4:H$1048576,MATCH(ROW(B187),Main!$D$4:$D$1048576,0)))="",IF(N189="","",O188),IF(ROW(B187)&gt;MAX(Main!$D$4:$D$1048576),"",INDEX(Main!H$4:H$1048576,MATCH(ROW(B187),Main!$D$4:$D$1048576,0))))</f>
        <v/>
      </c>
      <c r="P189" s="1" t="str">
        <f>IF(IF(ROW(C187)&gt;MAX(Main!$D$4:$D$1048576),"",INDEX(Main!I$4:I$1048576,MATCH(ROW(C187),Main!$D$4:$D$1048576,0)))="",IF(O189="","",P188),IF(ROW(C187)&gt;MAX(Main!$D$4:$D$1048576),"",INDEX(Main!I$4:I$1048576,MATCH(ROW(C187),Main!$D$4:$D$1048576,0))))</f>
        <v/>
      </c>
      <c r="Q189" s="1" t="str">
        <f t="shared" si="8"/>
        <v/>
      </c>
      <c r="R189" s="1" t="str">
        <f>IF(IF(ROW(D187)&gt;MAX(Main!$D$4:$D$1048576),"",INDEX(Main!J$4:J$1048576,MATCH(ROW(D187),Main!$D$4:$D$1048576,0)))="",IF(P189="","",R188),IF(ROW(D187)&gt;MAX(Main!$D$4:$D$1048576),"",INDEX(Main!J$4:J$1048576,MATCH(ROW(D187),Main!$D$4:$D$1048576,0))))</f>
        <v/>
      </c>
      <c r="S189" s="9" t="str">
        <f>IF(ROW(G187)&gt;MAX(Main!$D$4:$D$1048576),"",INDEX(Main!K$4:K$1048576,MATCH(ROW(G187),Main!$D$4:$D$1048576,0)))</f>
        <v/>
      </c>
      <c r="T189" s="1" t="str">
        <f>IF(S189&lt;&gt;"",IF(ROW(G187)&gt;MAX(Main!$D$4:$D$1048576),"",INDEX(Main!N$4:N$1048576,MATCH(ROW(G187),Main!$D$4:$D$1048576,0))),"")</f>
        <v/>
      </c>
      <c r="U189" s="1" t="str">
        <f>IF(IF(ROW(H187)&gt;MAX(Main!$D$4:$D$1048576),"",INDEX(Main!O$4:O$1048576,MATCH(ROW(H187),Main!$D$4:$D$1048576,0)))="",IF(T189="","",U188),IF(ROW(H187)&gt;MAX(Main!$D$4:$D$1048576),"",INDEX(Main!O$4:O$1048576,MATCH(ROW(H187),Main!$D$4:$D$1048576,0))))</f>
        <v/>
      </c>
    </row>
    <row r="190" spans="1:21" x14ac:dyDescent="0.4">
      <c r="A190" t="s">
        <v>21</v>
      </c>
      <c r="B190" s="4" t="str">
        <f>TEXT(IF(ROW(A188)&gt;MAX(Main!$C$4:$C$1048576),"",INDEX(Main!Q$4:Q$1048576,MATCH(ROW(A188),Main!$C$4:$C$1048576,0))), "yyyy/m/d")</f>
        <v/>
      </c>
      <c r="C190" s="1" t="str">
        <f>IF(IF(ROW(A188)&gt;MAX(Main!$C$4:$C$1048576),"",INDEX(Main!G$4:G$1048576,MATCH(ROW(A188),Main!$C$4:$C$1048576,0)))="",IF(B190="","",C189),IF(ROW(A188)&gt;MAX(Main!$C$4:$C$1048576),"",INDEX(Main!G$4:G$1048576,MATCH(ROW(A188),Main!$C$4:$C$1048576,0))))</f>
        <v/>
      </c>
      <c r="D190" s="1" t="str">
        <f>IF(IF(ROW(B188)&gt;MAX(Main!$C$4:$C$1048576),"",INDEX(Main!H$4:H$1048576,MATCH(ROW(B188),Main!$C$4:$C$1048576,0)))="",IF(C190="","",D189),IF(ROW(B188)&gt;MAX(Main!$C$4:$C$1048576),"",INDEX(Main!H$4:H$1048576,MATCH(ROW(B188),Main!$C$4:$C$1048576,0))))</f>
        <v/>
      </c>
      <c r="E190" s="1" t="str">
        <f>IF(IF(ROW(C188)&gt;MAX(Main!$C$4:$C$1048576),"",INDEX(Main!I$4:I$1048576,MATCH(ROW(C188),Main!$C$4:$C$1048576,0)))="",IF(D190="","",E189),IF(ROW(C188)&gt;MAX(Main!$C$4:$C$1048576),"",INDEX(Main!I$4:I$1048576,MATCH(ROW(C188),Main!$C$4:$C$1048576,0))))</f>
        <v/>
      </c>
      <c r="F190" s="1" t="str">
        <f t="shared" si="6"/>
        <v/>
      </c>
      <c r="G190" s="1" t="str">
        <f>IF(IF(ROW(D188)&gt;MAX(Main!$C$4:$C$1048576),"",INDEX(Main!J$4:J$1048576,MATCH(ROW(D188),Main!$C$4:$C$1048576,0)))="",IF(E190="","",G189),IF(ROW(D188)&gt;MAX(Main!$C$4:$C$1048576),"",INDEX(Main!J$4:J$1048576,MATCH(ROW(D188),Main!$C$4:$C$1048576,0))))</f>
        <v/>
      </c>
      <c r="H190" s="10" t="str">
        <f>IF(ROW(G188)&gt;MAX(Main!$C$4:$C$1048576),"",INDEX(Main!K$4:K$1048576,MATCH(ROW(G188),Main!$C$4:$C$1048576,0)))</f>
        <v/>
      </c>
      <c r="I190" s="1" t="str">
        <f>IF(H190&lt;&gt;"",IF(ROW(G188)&gt;MAX(Main!$C$4:$C$1048576),"",INDEX(Main!N$4:N$1048576,MATCH(ROW(G188),Main!$C$4:$C$1048576,0))),"")</f>
        <v/>
      </c>
      <c r="J190" s="1" t="str">
        <f>IF(IF(ROW(H188)&gt;MAX(Main!$C$4:$C$1048576),"",INDEX(Main!O$4:O$1048576,MATCH(ROW(H188),Main!$C$4:$C$1048576,0)))="",IF(I190="","",J189),IF(ROW(H188)&gt;MAX(Main!$C$4:$C$1048576),"",INDEX(Main!O$4:O$1048576,MATCH(ROW(H188),Main!$C$4:$C$1048576,0))))</f>
        <v/>
      </c>
      <c r="K190" s="27" t="str">
        <f t="shared" si="7"/>
        <v>例目</v>
      </c>
      <c r="M190" s="4" t="str">
        <f>TEXT(IF(ROW(A188)&gt;MAX(Main!$D$4:$D$1048576),"",INDEX(Main!Q$4:Q$1048576,MATCH(ROW(A188),Main!$D$4:$D$1048576,0))), "yyyy/m/d")</f>
        <v/>
      </c>
      <c r="N190" s="1" t="str">
        <f>IF(IF(ROW(A188)&gt;MAX(Main!$D$4:$D$1048576),"",INDEX(Main!G$4:G$1048576,MATCH(ROW(A188),Main!$D$4:$D$1048576,0)))="",IF(M190="","",N189),IF(ROW(A188)&gt;MAX(Main!$D$4:$D$1048576),"",INDEX(Main!G$4:G$1048576,MATCH(ROW(A188),Main!$D$4:$D$1048576,0))))</f>
        <v/>
      </c>
      <c r="O190" s="1" t="str">
        <f>IF(IF(ROW(B188)&gt;MAX(Main!$D$4:$D$1048576),"",INDEX(Main!H$4:H$1048576,MATCH(ROW(B188),Main!$D$4:$D$1048576,0)))="",IF(N190="","",O189),IF(ROW(B188)&gt;MAX(Main!$D$4:$D$1048576),"",INDEX(Main!H$4:H$1048576,MATCH(ROW(B188),Main!$D$4:$D$1048576,0))))</f>
        <v/>
      </c>
      <c r="P190" s="1" t="str">
        <f>IF(IF(ROW(C188)&gt;MAX(Main!$D$4:$D$1048576),"",INDEX(Main!I$4:I$1048576,MATCH(ROW(C188),Main!$D$4:$D$1048576,0)))="",IF(O190="","",P189),IF(ROW(C188)&gt;MAX(Main!$D$4:$D$1048576),"",INDEX(Main!I$4:I$1048576,MATCH(ROW(C188),Main!$D$4:$D$1048576,0))))</f>
        <v/>
      </c>
      <c r="Q190" s="1" t="str">
        <f t="shared" si="8"/>
        <v/>
      </c>
      <c r="R190" s="1" t="str">
        <f>IF(IF(ROW(D188)&gt;MAX(Main!$D$4:$D$1048576),"",INDEX(Main!J$4:J$1048576,MATCH(ROW(D188),Main!$D$4:$D$1048576,0)))="",IF(P190="","",R189),IF(ROW(D188)&gt;MAX(Main!$D$4:$D$1048576),"",INDEX(Main!J$4:J$1048576,MATCH(ROW(D188),Main!$D$4:$D$1048576,0))))</f>
        <v/>
      </c>
      <c r="S190" s="9" t="str">
        <f>IF(ROW(G188)&gt;MAX(Main!$D$4:$D$1048576),"",INDEX(Main!K$4:K$1048576,MATCH(ROW(G188),Main!$D$4:$D$1048576,0)))</f>
        <v/>
      </c>
      <c r="T190" s="1" t="str">
        <f>IF(S190&lt;&gt;"",IF(ROW(G188)&gt;MAX(Main!$D$4:$D$1048576),"",INDEX(Main!N$4:N$1048576,MATCH(ROW(G188),Main!$D$4:$D$1048576,0))),"")</f>
        <v/>
      </c>
      <c r="U190" s="1" t="str">
        <f>IF(IF(ROW(H188)&gt;MAX(Main!$D$4:$D$1048576),"",INDEX(Main!O$4:O$1048576,MATCH(ROW(H188),Main!$D$4:$D$1048576,0)))="",IF(T190="","",U189),IF(ROW(H188)&gt;MAX(Main!$D$4:$D$1048576),"",INDEX(Main!O$4:O$1048576,MATCH(ROW(H188),Main!$D$4:$D$1048576,0))))</f>
        <v/>
      </c>
    </row>
    <row r="191" spans="1:21" x14ac:dyDescent="0.4">
      <c r="A191" t="s">
        <v>21</v>
      </c>
      <c r="B191" s="4" t="str">
        <f>TEXT(IF(ROW(A189)&gt;MAX(Main!$C$4:$C$1048576),"",INDEX(Main!Q$4:Q$1048576,MATCH(ROW(A189),Main!$C$4:$C$1048576,0))), "yyyy/m/d")</f>
        <v/>
      </c>
      <c r="C191" s="1" t="str">
        <f>IF(IF(ROW(A189)&gt;MAX(Main!$C$4:$C$1048576),"",INDEX(Main!G$4:G$1048576,MATCH(ROW(A189),Main!$C$4:$C$1048576,0)))="",IF(B191="","",C190),IF(ROW(A189)&gt;MAX(Main!$C$4:$C$1048576),"",INDEX(Main!G$4:G$1048576,MATCH(ROW(A189),Main!$C$4:$C$1048576,0))))</f>
        <v/>
      </c>
      <c r="D191" s="1" t="str">
        <f>IF(IF(ROW(B189)&gt;MAX(Main!$C$4:$C$1048576),"",INDEX(Main!H$4:H$1048576,MATCH(ROW(B189),Main!$C$4:$C$1048576,0)))="",IF(C191="","",D190),IF(ROW(B189)&gt;MAX(Main!$C$4:$C$1048576),"",INDEX(Main!H$4:H$1048576,MATCH(ROW(B189),Main!$C$4:$C$1048576,0))))</f>
        <v/>
      </c>
      <c r="E191" s="1" t="str">
        <f>IF(IF(ROW(C189)&gt;MAX(Main!$C$4:$C$1048576),"",INDEX(Main!I$4:I$1048576,MATCH(ROW(C189),Main!$C$4:$C$1048576,0)))="",IF(D191="","",E190),IF(ROW(C189)&gt;MAX(Main!$C$4:$C$1048576),"",INDEX(Main!I$4:I$1048576,MATCH(ROW(C189),Main!$C$4:$C$1048576,0))))</f>
        <v/>
      </c>
      <c r="F191" s="1" t="str">
        <f t="shared" si="6"/>
        <v/>
      </c>
      <c r="G191" s="1" t="str">
        <f>IF(IF(ROW(D189)&gt;MAX(Main!$C$4:$C$1048576),"",INDEX(Main!J$4:J$1048576,MATCH(ROW(D189),Main!$C$4:$C$1048576,0)))="",IF(E191="","",G190),IF(ROW(D189)&gt;MAX(Main!$C$4:$C$1048576),"",INDEX(Main!J$4:J$1048576,MATCH(ROW(D189),Main!$C$4:$C$1048576,0))))</f>
        <v/>
      </c>
      <c r="H191" s="10" t="str">
        <f>IF(ROW(G189)&gt;MAX(Main!$C$4:$C$1048576),"",INDEX(Main!K$4:K$1048576,MATCH(ROW(G189),Main!$C$4:$C$1048576,0)))</f>
        <v/>
      </c>
      <c r="I191" s="1" t="str">
        <f>IF(H191&lt;&gt;"",IF(ROW(G189)&gt;MAX(Main!$C$4:$C$1048576),"",INDEX(Main!N$4:N$1048576,MATCH(ROW(G189),Main!$C$4:$C$1048576,0))),"")</f>
        <v/>
      </c>
      <c r="J191" s="1" t="str">
        <f>IF(IF(ROW(H189)&gt;MAX(Main!$C$4:$C$1048576),"",INDEX(Main!O$4:O$1048576,MATCH(ROW(H189),Main!$C$4:$C$1048576,0)))="",IF(I191="","",J190),IF(ROW(H189)&gt;MAX(Main!$C$4:$C$1048576),"",INDEX(Main!O$4:O$1048576,MATCH(ROW(H189),Main!$C$4:$C$1048576,0))))</f>
        <v/>
      </c>
      <c r="K191" s="27" t="str">
        <f t="shared" si="7"/>
        <v>例目</v>
      </c>
      <c r="M191" s="4" t="str">
        <f>TEXT(IF(ROW(A189)&gt;MAX(Main!$D$4:$D$1048576),"",INDEX(Main!Q$4:Q$1048576,MATCH(ROW(A189),Main!$D$4:$D$1048576,0))), "yyyy/m/d")</f>
        <v/>
      </c>
      <c r="N191" s="1" t="str">
        <f>IF(IF(ROW(A189)&gt;MAX(Main!$D$4:$D$1048576),"",INDEX(Main!G$4:G$1048576,MATCH(ROW(A189),Main!$D$4:$D$1048576,0)))="",IF(M191="","",N190),IF(ROW(A189)&gt;MAX(Main!$D$4:$D$1048576),"",INDEX(Main!G$4:G$1048576,MATCH(ROW(A189),Main!$D$4:$D$1048576,0))))</f>
        <v/>
      </c>
      <c r="O191" s="1" t="str">
        <f>IF(IF(ROW(B189)&gt;MAX(Main!$D$4:$D$1048576),"",INDEX(Main!H$4:H$1048576,MATCH(ROW(B189),Main!$D$4:$D$1048576,0)))="",IF(N191="","",O190),IF(ROW(B189)&gt;MAX(Main!$D$4:$D$1048576),"",INDEX(Main!H$4:H$1048576,MATCH(ROW(B189),Main!$D$4:$D$1048576,0))))</f>
        <v/>
      </c>
      <c r="P191" s="1" t="str">
        <f>IF(IF(ROW(C189)&gt;MAX(Main!$D$4:$D$1048576),"",INDEX(Main!I$4:I$1048576,MATCH(ROW(C189),Main!$D$4:$D$1048576,0)))="",IF(O191="","",P190),IF(ROW(C189)&gt;MAX(Main!$D$4:$D$1048576),"",INDEX(Main!I$4:I$1048576,MATCH(ROW(C189),Main!$D$4:$D$1048576,0))))</f>
        <v/>
      </c>
      <c r="Q191" s="1" t="str">
        <f t="shared" si="8"/>
        <v/>
      </c>
      <c r="R191" s="1" t="str">
        <f>IF(IF(ROW(D189)&gt;MAX(Main!$D$4:$D$1048576),"",INDEX(Main!J$4:J$1048576,MATCH(ROW(D189),Main!$D$4:$D$1048576,0)))="",IF(P191="","",R190),IF(ROW(D189)&gt;MAX(Main!$D$4:$D$1048576),"",INDEX(Main!J$4:J$1048576,MATCH(ROW(D189),Main!$D$4:$D$1048576,0))))</f>
        <v/>
      </c>
      <c r="S191" s="9" t="str">
        <f>IF(ROW(G189)&gt;MAX(Main!$D$4:$D$1048576),"",INDEX(Main!K$4:K$1048576,MATCH(ROW(G189),Main!$D$4:$D$1048576,0)))</f>
        <v/>
      </c>
      <c r="T191" s="1" t="str">
        <f>IF(S191&lt;&gt;"",IF(ROW(G189)&gt;MAX(Main!$D$4:$D$1048576),"",INDEX(Main!N$4:N$1048576,MATCH(ROW(G189),Main!$D$4:$D$1048576,0))),"")</f>
        <v/>
      </c>
      <c r="U191" s="1" t="str">
        <f>IF(IF(ROW(H189)&gt;MAX(Main!$D$4:$D$1048576),"",INDEX(Main!O$4:O$1048576,MATCH(ROW(H189),Main!$D$4:$D$1048576,0)))="",IF(T191="","",U190),IF(ROW(H189)&gt;MAX(Main!$D$4:$D$1048576),"",INDEX(Main!O$4:O$1048576,MATCH(ROW(H189),Main!$D$4:$D$1048576,0))))</f>
        <v/>
      </c>
    </row>
    <row r="192" spans="1:21" x14ac:dyDescent="0.4">
      <c r="A192" t="s">
        <v>21</v>
      </c>
      <c r="B192" s="4" t="str">
        <f>TEXT(IF(ROW(A190)&gt;MAX(Main!$C$4:$C$1048576),"",INDEX(Main!Q$4:Q$1048576,MATCH(ROW(A190),Main!$C$4:$C$1048576,0))), "yyyy/m/d")</f>
        <v/>
      </c>
      <c r="C192" s="1" t="str">
        <f>IF(IF(ROW(A190)&gt;MAX(Main!$C$4:$C$1048576),"",INDEX(Main!G$4:G$1048576,MATCH(ROW(A190),Main!$C$4:$C$1048576,0)))="",IF(B192="","",C191),IF(ROW(A190)&gt;MAX(Main!$C$4:$C$1048576),"",INDEX(Main!G$4:G$1048576,MATCH(ROW(A190),Main!$C$4:$C$1048576,0))))</f>
        <v/>
      </c>
      <c r="D192" s="1" t="str">
        <f>IF(IF(ROW(B190)&gt;MAX(Main!$C$4:$C$1048576),"",INDEX(Main!H$4:H$1048576,MATCH(ROW(B190),Main!$C$4:$C$1048576,0)))="",IF(C192="","",D191),IF(ROW(B190)&gt;MAX(Main!$C$4:$C$1048576),"",INDEX(Main!H$4:H$1048576,MATCH(ROW(B190),Main!$C$4:$C$1048576,0))))</f>
        <v/>
      </c>
      <c r="E192" s="1" t="str">
        <f>IF(IF(ROW(C190)&gt;MAX(Main!$C$4:$C$1048576),"",INDEX(Main!I$4:I$1048576,MATCH(ROW(C190),Main!$C$4:$C$1048576,0)))="",IF(D192="","",E191),IF(ROW(C190)&gt;MAX(Main!$C$4:$C$1048576),"",INDEX(Main!I$4:I$1048576,MATCH(ROW(C190),Main!$C$4:$C$1048576,0))))</f>
        <v/>
      </c>
      <c r="F192" s="1" t="str">
        <f t="shared" si="6"/>
        <v/>
      </c>
      <c r="G192" s="1" t="str">
        <f>IF(IF(ROW(D190)&gt;MAX(Main!$C$4:$C$1048576),"",INDEX(Main!J$4:J$1048576,MATCH(ROW(D190),Main!$C$4:$C$1048576,0)))="",IF(E192="","",G191),IF(ROW(D190)&gt;MAX(Main!$C$4:$C$1048576),"",INDEX(Main!J$4:J$1048576,MATCH(ROW(D190),Main!$C$4:$C$1048576,0))))</f>
        <v/>
      </c>
      <c r="H192" s="10" t="str">
        <f>IF(ROW(G190)&gt;MAX(Main!$C$4:$C$1048576),"",INDEX(Main!K$4:K$1048576,MATCH(ROW(G190),Main!$C$4:$C$1048576,0)))</f>
        <v/>
      </c>
      <c r="I192" s="1" t="str">
        <f>IF(H192&lt;&gt;"",IF(ROW(G190)&gt;MAX(Main!$C$4:$C$1048576),"",INDEX(Main!N$4:N$1048576,MATCH(ROW(G190),Main!$C$4:$C$1048576,0))),"")</f>
        <v/>
      </c>
      <c r="J192" s="1" t="str">
        <f>IF(IF(ROW(H190)&gt;MAX(Main!$C$4:$C$1048576),"",INDEX(Main!O$4:O$1048576,MATCH(ROW(H190),Main!$C$4:$C$1048576,0)))="",IF(I192="","",J191),IF(ROW(H190)&gt;MAX(Main!$C$4:$C$1048576),"",INDEX(Main!O$4:O$1048576,MATCH(ROW(H190),Main!$C$4:$C$1048576,0))))</f>
        <v/>
      </c>
      <c r="K192" s="27" t="str">
        <f t="shared" si="7"/>
        <v>例目</v>
      </c>
      <c r="M192" s="4" t="str">
        <f>TEXT(IF(ROW(A190)&gt;MAX(Main!$D$4:$D$1048576),"",INDEX(Main!Q$4:Q$1048576,MATCH(ROW(A190),Main!$D$4:$D$1048576,0))), "yyyy/m/d")</f>
        <v/>
      </c>
      <c r="N192" s="1" t="str">
        <f>IF(IF(ROW(A190)&gt;MAX(Main!$D$4:$D$1048576),"",INDEX(Main!G$4:G$1048576,MATCH(ROW(A190),Main!$D$4:$D$1048576,0)))="",IF(M192="","",N191),IF(ROW(A190)&gt;MAX(Main!$D$4:$D$1048576),"",INDEX(Main!G$4:G$1048576,MATCH(ROW(A190),Main!$D$4:$D$1048576,0))))</f>
        <v/>
      </c>
      <c r="O192" s="1" t="str">
        <f>IF(IF(ROW(B190)&gt;MAX(Main!$D$4:$D$1048576),"",INDEX(Main!H$4:H$1048576,MATCH(ROW(B190),Main!$D$4:$D$1048576,0)))="",IF(N192="","",O191),IF(ROW(B190)&gt;MAX(Main!$D$4:$D$1048576),"",INDEX(Main!H$4:H$1048576,MATCH(ROW(B190),Main!$D$4:$D$1048576,0))))</f>
        <v/>
      </c>
      <c r="P192" s="1" t="str">
        <f>IF(IF(ROW(C190)&gt;MAX(Main!$D$4:$D$1048576),"",INDEX(Main!I$4:I$1048576,MATCH(ROW(C190),Main!$D$4:$D$1048576,0)))="",IF(O192="","",P191),IF(ROW(C190)&gt;MAX(Main!$D$4:$D$1048576),"",INDEX(Main!I$4:I$1048576,MATCH(ROW(C190),Main!$D$4:$D$1048576,0))))</f>
        <v/>
      </c>
      <c r="Q192" s="1" t="str">
        <f t="shared" si="8"/>
        <v/>
      </c>
      <c r="R192" s="1" t="str">
        <f>IF(IF(ROW(D190)&gt;MAX(Main!$D$4:$D$1048576),"",INDEX(Main!J$4:J$1048576,MATCH(ROW(D190),Main!$D$4:$D$1048576,0)))="",IF(P192="","",R191),IF(ROW(D190)&gt;MAX(Main!$D$4:$D$1048576),"",INDEX(Main!J$4:J$1048576,MATCH(ROW(D190),Main!$D$4:$D$1048576,0))))</f>
        <v/>
      </c>
      <c r="S192" s="9" t="str">
        <f>IF(ROW(G190)&gt;MAX(Main!$D$4:$D$1048576),"",INDEX(Main!K$4:K$1048576,MATCH(ROW(G190),Main!$D$4:$D$1048576,0)))</f>
        <v/>
      </c>
      <c r="T192" s="1" t="str">
        <f>IF(S192&lt;&gt;"",IF(ROW(G190)&gt;MAX(Main!$D$4:$D$1048576),"",INDEX(Main!N$4:N$1048576,MATCH(ROW(G190),Main!$D$4:$D$1048576,0))),"")</f>
        <v/>
      </c>
      <c r="U192" s="1" t="str">
        <f>IF(IF(ROW(H190)&gt;MAX(Main!$D$4:$D$1048576),"",INDEX(Main!O$4:O$1048576,MATCH(ROW(H190),Main!$D$4:$D$1048576,0)))="",IF(T192="","",U191),IF(ROW(H190)&gt;MAX(Main!$D$4:$D$1048576),"",INDEX(Main!O$4:O$1048576,MATCH(ROW(H190),Main!$D$4:$D$1048576,0))))</f>
        <v/>
      </c>
    </row>
    <row r="193" spans="1:21" x14ac:dyDescent="0.4">
      <c r="A193" t="s">
        <v>21</v>
      </c>
      <c r="B193" s="4" t="str">
        <f>TEXT(IF(ROW(A191)&gt;MAX(Main!$C$4:$C$1048576),"",INDEX(Main!Q$4:Q$1048576,MATCH(ROW(A191),Main!$C$4:$C$1048576,0))), "yyyy/m/d")</f>
        <v/>
      </c>
      <c r="C193" s="1" t="str">
        <f>IF(IF(ROW(A191)&gt;MAX(Main!$C$4:$C$1048576),"",INDEX(Main!G$4:G$1048576,MATCH(ROW(A191),Main!$C$4:$C$1048576,0)))="",IF(B193="","",C192),IF(ROW(A191)&gt;MAX(Main!$C$4:$C$1048576),"",INDEX(Main!G$4:G$1048576,MATCH(ROW(A191),Main!$C$4:$C$1048576,0))))</f>
        <v/>
      </c>
      <c r="D193" s="1" t="str">
        <f>IF(IF(ROW(B191)&gt;MAX(Main!$C$4:$C$1048576),"",INDEX(Main!H$4:H$1048576,MATCH(ROW(B191),Main!$C$4:$C$1048576,0)))="",IF(C193="","",D192),IF(ROW(B191)&gt;MAX(Main!$C$4:$C$1048576),"",INDEX(Main!H$4:H$1048576,MATCH(ROW(B191),Main!$C$4:$C$1048576,0))))</f>
        <v/>
      </c>
      <c r="E193" s="1" t="str">
        <f>IF(IF(ROW(C191)&gt;MAX(Main!$C$4:$C$1048576),"",INDEX(Main!I$4:I$1048576,MATCH(ROW(C191),Main!$C$4:$C$1048576,0)))="",IF(D193="","",E192),IF(ROW(C191)&gt;MAX(Main!$C$4:$C$1048576),"",INDEX(Main!I$4:I$1048576,MATCH(ROW(C191),Main!$C$4:$C$1048576,0))))</f>
        <v/>
      </c>
      <c r="F193" s="1" t="str">
        <f t="shared" si="6"/>
        <v/>
      </c>
      <c r="G193" s="1" t="str">
        <f>IF(IF(ROW(D191)&gt;MAX(Main!$C$4:$C$1048576),"",INDEX(Main!J$4:J$1048576,MATCH(ROW(D191),Main!$C$4:$C$1048576,0)))="",IF(E193="","",G192),IF(ROW(D191)&gt;MAX(Main!$C$4:$C$1048576),"",INDEX(Main!J$4:J$1048576,MATCH(ROW(D191),Main!$C$4:$C$1048576,0))))</f>
        <v/>
      </c>
      <c r="H193" s="10" t="str">
        <f>IF(ROW(G191)&gt;MAX(Main!$C$4:$C$1048576),"",INDEX(Main!K$4:K$1048576,MATCH(ROW(G191),Main!$C$4:$C$1048576,0)))</f>
        <v/>
      </c>
      <c r="I193" s="1" t="str">
        <f>IF(H193&lt;&gt;"",IF(ROW(G191)&gt;MAX(Main!$C$4:$C$1048576),"",INDEX(Main!N$4:N$1048576,MATCH(ROW(G191),Main!$C$4:$C$1048576,0))),"")</f>
        <v/>
      </c>
      <c r="J193" s="1" t="str">
        <f>IF(IF(ROW(H191)&gt;MAX(Main!$C$4:$C$1048576),"",INDEX(Main!O$4:O$1048576,MATCH(ROW(H191),Main!$C$4:$C$1048576,0)))="",IF(I193="","",J192),IF(ROW(H191)&gt;MAX(Main!$C$4:$C$1048576),"",INDEX(Main!O$4:O$1048576,MATCH(ROW(H191),Main!$C$4:$C$1048576,0))))</f>
        <v/>
      </c>
      <c r="K193" s="27" t="str">
        <f t="shared" si="7"/>
        <v>例目</v>
      </c>
      <c r="M193" s="4" t="str">
        <f>TEXT(IF(ROW(A191)&gt;MAX(Main!$D$4:$D$1048576),"",INDEX(Main!Q$4:Q$1048576,MATCH(ROW(A191),Main!$D$4:$D$1048576,0))), "yyyy/m/d")</f>
        <v/>
      </c>
      <c r="N193" s="1" t="str">
        <f>IF(IF(ROW(A191)&gt;MAX(Main!$D$4:$D$1048576),"",INDEX(Main!G$4:G$1048576,MATCH(ROW(A191),Main!$D$4:$D$1048576,0)))="",IF(M193="","",N192),IF(ROW(A191)&gt;MAX(Main!$D$4:$D$1048576),"",INDEX(Main!G$4:G$1048576,MATCH(ROW(A191),Main!$D$4:$D$1048576,0))))</f>
        <v/>
      </c>
      <c r="O193" s="1" t="str">
        <f>IF(IF(ROW(B191)&gt;MAX(Main!$D$4:$D$1048576),"",INDEX(Main!H$4:H$1048576,MATCH(ROW(B191),Main!$D$4:$D$1048576,0)))="",IF(N193="","",O192),IF(ROW(B191)&gt;MAX(Main!$D$4:$D$1048576),"",INDEX(Main!H$4:H$1048576,MATCH(ROW(B191),Main!$D$4:$D$1048576,0))))</f>
        <v/>
      </c>
      <c r="P193" s="1" t="str">
        <f>IF(IF(ROW(C191)&gt;MAX(Main!$D$4:$D$1048576),"",INDEX(Main!I$4:I$1048576,MATCH(ROW(C191),Main!$D$4:$D$1048576,0)))="",IF(O193="","",P192),IF(ROW(C191)&gt;MAX(Main!$D$4:$D$1048576),"",INDEX(Main!I$4:I$1048576,MATCH(ROW(C191),Main!$D$4:$D$1048576,0))))</f>
        <v/>
      </c>
      <c r="Q193" s="1" t="str">
        <f t="shared" si="8"/>
        <v/>
      </c>
      <c r="R193" s="1" t="str">
        <f>IF(IF(ROW(D191)&gt;MAX(Main!$D$4:$D$1048576),"",INDEX(Main!J$4:J$1048576,MATCH(ROW(D191),Main!$D$4:$D$1048576,0)))="",IF(P193="","",R192),IF(ROW(D191)&gt;MAX(Main!$D$4:$D$1048576),"",INDEX(Main!J$4:J$1048576,MATCH(ROW(D191),Main!$D$4:$D$1048576,0))))</f>
        <v/>
      </c>
      <c r="S193" s="9" t="str">
        <f>IF(ROW(G191)&gt;MAX(Main!$D$4:$D$1048576),"",INDEX(Main!K$4:K$1048576,MATCH(ROW(G191),Main!$D$4:$D$1048576,0)))</f>
        <v/>
      </c>
      <c r="T193" s="1" t="str">
        <f>IF(S193&lt;&gt;"",IF(ROW(G191)&gt;MAX(Main!$D$4:$D$1048576),"",INDEX(Main!N$4:N$1048576,MATCH(ROW(G191),Main!$D$4:$D$1048576,0))),"")</f>
        <v/>
      </c>
      <c r="U193" s="1" t="str">
        <f>IF(IF(ROW(H191)&gt;MAX(Main!$D$4:$D$1048576),"",INDEX(Main!O$4:O$1048576,MATCH(ROW(H191),Main!$D$4:$D$1048576,0)))="",IF(T193="","",U192),IF(ROW(H191)&gt;MAX(Main!$D$4:$D$1048576),"",INDEX(Main!O$4:O$1048576,MATCH(ROW(H191),Main!$D$4:$D$1048576,0))))</f>
        <v/>
      </c>
    </row>
    <row r="194" spans="1:21" x14ac:dyDescent="0.4">
      <c r="A194" t="s">
        <v>21</v>
      </c>
      <c r="B194" s="4" t="str">
        <f>TEXT(IF(ROW(A192)&gt;MAX(Main!$C$4:$C$1048576),"",INDEX(Main!Q$4:Q$1048576,MATCH(ROW(A192),Main!$C$4:$C$1048576,0))), "yyyy/m/d")</f>
        <v/>
      </c>
      <c r="C194" s="1" t="str">
        <f>IF(IF(ROW(A192)&gt;MAX(Main!$C$4:$C$1048576),"",INDEX(Main!G$4:G$1048576,MATCH(ROW(A192),Main!$C$4:$C$1048576,0)))="",IF(B194="","",C193),IF(ROW(A192)&gt;MAX(Main!$C$4:$C$1048576),"",INDEX(Main!G$4:G$1048576,MATCH(ROW(A192),Main!$C$4:$C$1048576,0))))</f>
        <v/>
      </c>
      <c r="D194" s="1" t="str">
        <f>IF(IF(ROW(B192)&gt;MAX(Main!$C$4:$C$1048576),"",INDEX(Main!H$4:H$1048576,MATCH(ROW(B192),Main!$C$4:$C$1048576,0)))="",IF(C194="","",D193),IF(ROW(B192)&gt;MAX(Main!$C$4:$C$1048576),"",INDEX(Main!H$4:H$1048576,MATCH(ROW(B192),Main!$C$4:$C$1048576,0))))</f>
        <v/>
      </c>
      <c r="E194" s="1" t="str">
        <f>IF(IF(ROW(C192)&gt;MAX(Main!$C$4:$C$1048576),"",INDEX(Main!I$4:I$1048576,MATCH(ROW(C192),Main!$C$4:$C$1048576,0)))="",IF(D194="","",E193),IF(ROW(C192)&gt;MAX(Main!$C$4:$C$1048576),"",INDEX(Main!I$4:I$1048576,MATCH(ROW(C192),Main!$C$4:$C$1048576,0))))</f>
        <v/>
      </c>
      <c r="F194" s="1" t="str">
        <f t="shared" si="6"/>
        <v/>
      </c>
      <c r="G194" s="1" t="str">
        <f>IF(IF(ROW(D192)&gt;MAX(Main!$C$4:$C$1048576),"",INDEX(Main!J$4:J$1048576,MATCH(ROW(D192),Main!$C$4:$C$1048576,0)))="",IF(E194="","",G193),IF(ROW(D192)&gt;MAX(Main!$C$4:$C$1048576),"",INDEX(Main!J$4:J$1048576,MATCH(ROW(D192),Main!$C$4:$C$1048576,0))))</f>
        <v/>
      </c>
      <c r="H194" s="10" t="str">
        <f>IF(ROW(G192)&gt;MAX(Main!$C$4:$C$1048576),"",INDEX(Main!K$4:K$1048576,MATCH(ROW(G192),Main!$C$4:$C$1048576,0)))</f>
        <v/>
      </c>
      <c r="I194" s="1" t="str">
        <f>IF(H194&lt;&gt;"",IF(ROW(G192)&gt;MAX(Main!$C$4:$C$1048576),"",INDEX(Main!N$4:N$1048576,MATCH(ROW(G192),Main!$C$4:$C$1048576,0))),"")</f>
        <v/>
      </c>
      <c r="J194" s="1" t="str">
        <f>IF(IF(ROW(H192)&gt;MAX(Main!$C$4:$C$1048576),"",INDEX(Main!O$4:O$1048576,MATCH(ROW(H192),Main!$C$4:$C$1048576,0)))="",IF(I194="","",J193),IF(ROW(H192)&gt;MAX(Main!$C$4:$C$1048576),"",INDEX(Main!O$4:O$1048576,MATCH(ROW(H192),Main!$C$4:$C$1048576,0))))</f>
        <v/>
      </c>
      <c r="K194" s="27" t="str">
        <f t="shared" si="7"/>
        <v>例目</v>
      </c>
      <c r="M194" s="4" t="str">
        <f>TEXT(IF(ROW(A192)&gt;MAX(Main!$D$4:$D$1048576),"",INDEX(Main!Q$4:Q$1048576,MATCH(ROW(A192),Main!$D$4:$D$1048576,0))), "yyyy/m/d")</f>
        <v/>
      </c>
      <c r="N194" s="1" t="str">
        <f>IF(IF(ROW(A192)&gt;MAX(Main!$D$4:$D$1048576),"",INDEX(Main!G$4:G$1048576,MATCH(ROW(A192),Main!$D$4:$D$1048576,0)))="",IF(M194="","",N193),IF(ROW(A192)&gt;MAX(Main!$D$4:$D$1048576),"",INDEX(Main!G$4:G$1048576,MATCH(ROW(A192),Main!$D$4:$D$1048576,0))))</f>
        <v/>
      </c>
      <c r="O194" s="1" t="str">
        <f>IF(IF(ROW(B192)&gt;MAX(Main!$D$4:$D$1048576),"",INDEX(Main!H$4:H$1048576,MATCH(ROW(B192),Main!$D$4:$D$1048576,0)))="",IF(N194="","",O193),IF(ROW(B192)&gt;MAX(Main!$D$4:$D$1048576),"",INDEX(Main!H$4:H$1048576,MATCH(ROW(B192),Main!$D$4:$D$1048576,0))))</f>
        <v/>
      </c>
      <c r="P194" s="1" t="str">
        <f>IF(IF(ROW(C192)&gt;MAX(Main!$D$4:$D$1048576),"",INDEX(Main!I$4:I$1048576,MATCH(ROW(C192),Main!$D$4:$D$1048576,0)))="",IF(O194="","",P193),IF(ROW(C192)&gt;MAX(Main!$D$4:$D$1048576),"",INDEX(Main!I$4:I$1048576,MATCH(ROW(C192),Main!$D$4:$D$1048576,0))))</f>
        <v/>
      </c>
      <c r="Q194" s="1" t="str">
        <f t="shared" si="8"/>
        <v/>
      </c>
      <c r="R194" s="1" t="str">
        <f>IF(IF(ROW(D192)&gt;MAX(Main!$D$4:$D$1048576),"",INDEX(Main!J$4:J$1048576,MATCH(ROW(D192),Main!$D$4:$D$1048576,0)))="",IF(P194="","",R193),IF(ROW(D192)&gt;MAX(Main!$D$4:$D$1048576),"",INDEX(Main!J$4:J$1048576,MATCH(ROW(D192),Main!$D$4:$D$1048576,0))))</f>
        <v/>
      </c>
      <c r="S194" s="9" t="str">
        <f>IF(ROW(G192)&gt;MAX(Main!$D$4:$D$1048576),"",INDEX(Main!K$4:K$1048576,MATCH(ROW(G192),Main!$D$4:$D$1048576,0)))</f>
        <v/>
      </c>
      <c r="T194" s="1" t="str">
        <f>IF(S194&lt;&gt;"",IF(ROW(G192)&gt;MAX(Main!$D$4:$D$1048576),"",INDEX(Main!N$4:N$1048576,MATCH(ROW(G192),Main!$D$4:$D$1048576,0))),"")</f>
        <v/>
      </c>
      <c r="U194" s="1" t="str">
        <f>IF(IF(ROW(H192)&gt;MAX(Main!$D$4:$D$1048576),"",INDEX(Main!O$4:O$1048576,MATCH(ROW(H192),Main!$D$4:$D$1048576,0)))="",IF(T194="","",U193),IF(ROW(H192)&gt;MAX(Main!$D$4:$D$1048576),"",INDEX(Main!O$4:O$1048576,MATCH(ROW(H192),Main!$D$4:$D$1048576,0))))</f>
        <v/>
      </c>
    </row>
    <row r="195" spans="1:21" x14ac:dyDescent="0.4">
      <c r="A195" t="s">
        <v>21</v>
      </c>
      <c r="B195" s="4" t="str">
        <f>TEXT(IF(ROW(A193)&gt;MAX(Main!$C$4:$C$1048576),"",INDEX(Main!Q$4:Q$1048576,MATCH(ROW(A193),Main!$C$4:$C$1048576,0))), "yyyy/m/d")</f>
        <v/>
      </c>
      <c r="C195" s="1" t="str">
        <f>IF(IF(ROW(A193)&gt;MAX(Main!$C$4:$C$1048576),"",INDEX(Main!G$4:G$1048576,MATCH(ROW(A193),Main!$C$4:$C$1048576,0)))="",IF(B195="","",C194),IF(ROW(A193)&gt;MAX(Main!$C$4:$C$1048576),"",INDEX(Main!G$4:G$1048576,MATCH(ROW(A193),Main!$C$4:$C$1048576,0))))</f>
        <v/>
      </c>
      <c r="D195" s="1" t="str">
        <f>IF(IF(ROW(B193)&gt;MAX(Main!$C$4:$C$1048576),"",INDEX(Main!H$4:H$1048576,MATCH(ROW(B193),Main!$C$4:$C$1048576,0)))="",IF(C195="","",D194),IF(ROW(B193)&gt;MAX(Main!$C$4:$C$1048576),"",INDEX(Main!H$4:H$1048576,MATCH(ROW(B193),Main!$C$4:$C$1048576,0))))</f>
        <v/>
      </c>
      <c r="E195" s="1" t="str">
        <f>IF(IF(ROW(C193)&gt;MAX(Main!$C$4:$C$1048576),"",INDEX(Main!I$4:I$1048576,MATCH(ROW(C193),Main!$C$4:$C$1048576,0)))="",IF(D195="","",E194),IF(ROW(C193)&gt;MAX(Main!$C$4:$C$1048576),"",INDEX(Main!I$4:I$1048576,MATCH(ROW(C193),Main!$C$4:$C$1048576,0))))</f>
        <v/>
      </c>
      <c r="F195" s="1" t="str">
        <f t="shared" ref="F195:F200" si="9">IF(E195&lt;&gt;"",IF(E195="男性","male",IF(E195="女性","female","else")),"")</f>
        <v/>
      </c>
      <c r="G195" s="1" t="str">
        <f>IF(IF(ROW(D193)&gt;MAX(Main!$C$4:$C$1048576),"",INDEX(Main!J$4:J$1048576,MATCH(ROW(D193),Main!$C$4:$C$1048576,0)))="",IF(E195="","",G194),IF(ROW(D193)&gt;MAX(Main!$C$4:$C$1048576),"",INDEX(Main!J$4:J$1048576,MATCH(ROW(D193),Main!$C$4:$C$1048576,0))))</f>
        <v/>
      </c>
      <c r="H195" s="10" t="str">
        <f>IF(ROW(G193)&gt;MAX(Main!$C$4:$C$1048576),"",INDEX(Main!K$4:K$1048576,MATCH(ROW(G193),Main!$C$4:$C$1048576,0)))</f>
        <v/>
      </c>
      <c r="I195" s="1" t="str">
        <f>IF(H195&lt;&gt;"",IF(ROW(G193)&gt;MAX(Main!$C$4:$C$1048576),"",INDEX(Main!N$4:N$1048576,MATCH(ROW(G193),Main!$C$4:$C$1048576,0))),"")</f>
        <v/>
      </c>
      <c r="J195" s="1" t="str">
        <f>IF(IF(ROW(H193)&gt;MAX(Main!$C$4:$C$1048576),"",INDEX(Main!O$4:O$1048576,MATCH(ROW(H193),Main!$C$4:$C$1048576,0)))="",IF(I195="","",J194),IF(ROW(H193)&gt;MAX(Main!$C$4:$C$1048576),"",INDEX(Main!O$4:O$1048576,MATCH(ROW(H193),Main!$C$4:$C$1048576,0))))</f>
        <v/>
      </c>
      <c r="K195" s="27" t="str">
        <f t="shared" ref="K195:K200" si="10">IF(ISERROR(FIND($Y$1, $C195)), $C195&amp;
"例目",
"クラスターNo."&amp;LEFT(REPLACE($C195, 1, LEN($Y$1), ""), LEN($C195)-3-LEN($Y$1)))</f>
        <v>例目</v>
      </c>
      <c r="M195" s="4" t="str">
        <f>TEXT(IF(ROW(A193)&gt;MAX(Main!$D$4:$D$1048576),"",INDEX(Main!Q$4:Q$1048576,MATCH(ROW(A193),Main!$D$4:$D$1048576,0))), "yyyy/m/d")</f>
        <v/>
      </c>
      <c r="N195" s="1" t="str">
        <f>IF(IF(ROW(A193)&gt;MAX(Main!$D$4:$D$1048576),"",INDEX(Main!G$4:G$1048576,MATCH(ROW(A193),Main!$D$4:$D$1048576,0)))="",IF(M195="","",N194),IF(ROW(A193)&gt;MAX(Main!$D$4:$D$1048576),"",INDEX(Main!G$4:G$1048576,MATCH(ROW(A193),Main!$D$4:$D$1048576,0))))</f>
        <v/>
      </c>
      <c r="O195" s="1" t="str">
        <f>IF(IF(ROW(B193)&gt;MAX(Main!$D$4:$D$1048576),"",INDEX(Main!H$4:H$1048576,MATCH(ROW(B193),Main!$D$4:$D$1048576,0)))="",IF(N195="","",O194),IF(ROW(B193)&gt;MAX(Main!$D$4:$D$1048576),"",INDEX(Main!H$4:H$1048576,MATCH(ROW(B193),Main!$D$4:$D$1048576,0))))</f>
        <v/>
      </c>
      <c r="P195" s="1" t="str">
        <f>IF(IF(ROW(C193)&gt;MAX(Main!$D$4:$D$1048576),"",INDEX(Main!I$4:I$1048576,MATCH(ROW(C193),Main!$D$4:$D$1048576,0)))="",IF(O195="","",P194),IF(ROW(C193)&gt;MAX(Main!$D$4:$D$1048576),"",INDEX(Main!I$4:I$1048576,MATCH(ROW(C193),Main!$D$4:$D$1048576,0))))</f>
        <v/>
      </c>
      <c r="Q195" s="1" t="str">
        <f t="shared" ref="Q195:Q200" si="11">IF(P195&lt;&gt;"",IF(P195="男性","male",IF(P195="女性","female","else")),"")</f>
        <v/>
      </c>
      <c r="R195" s="1" t="str">
        <f>IF(IF(ROW(D193)&gt;MAX(Main!$D$4:$D$1048576),"",INDEX(Main!J$4:J$1048576,MATCH(ROW(D193),Main!$D$4:$D$1048576,0)))="",IF(P195="","",R194),IF(ROW(D193)&gt;MAX(Main!$D$4:$D$1048576),"",INDEX(Main!J$4:J$1048576,MATCH(ROW(D193),Main!$D$4:$D$1048576,0))))</f>
        <v/>
      </c>
      <c r="S195" s="9" t="str">
        <f>IF(ROW(G193)&gt;MAX(Main!$D$4:$D$1048576),"",INDEX(Main!K$4:K$1048576,MATCH(ROW(G193),Main!$D$4:$D$1048576,0)))</f>
        <v/>
      </c>
      <c r="T195" s="1" t="str">
        <f>IF(S195&lt;&gt;"",IF(ROW(G193)&gt;MAX(Main!$D$4:$D$1048576),"",INDEX(Main!N$4:N$1048576,MATCH(ROW(G193),Main!$D$4:$D$1048576,0))),"")</f>
        <v/>
      </c>
      <c r="U195" s="1" t="str">
        <f>IF(IF(ROW(H193)&gt;MAX(Main!$D$4:$D$1048576),"",INDEX(Main!O$4:O$1048576,MATCH(ROW(H193),Main!$D$4:$D$1048576,0)))="",IF(T195="","",U194),IF(ROW(H193)&gt;MAX(Main!$D$4:$D$1048576),"",INDEX(Main!O$4:O$1048576,MATCH(ROW(H193),Main!$D$4:$D$1048576,0))))</f>
        <v/>
      </c>
    </row>
    <row r="196" spans="1:21" x14ac:dyDescent="0.4">
      <c r="A196" t="s">
        <v>21</v>
      </c>
      <c r="B196" s="4" t="str">
        <f>TEXT(IF(ROW(A194)&gt;MAX(Main!$C$4:$C$1048576),"",INDEX(Main!Q$4:Q$1048576,MATCH(ROW(A194),Main!$C$4:$C$1048576,0))), "yyyy/m/d")</f>
        <v/>
      </c>
      <c r="C196" s="1" t="str">
        <f>IF(IF(ROW(A194)&gt;MAX(Main!$C$4:$C$1048576),"",INDEX(Main!G$4:G$1048576,MATCH(ROW(A194),Main!$C$4:$C$1048576,0)))="",IF(B196="","",C195),IF(ROW(A194)&gt;MAX(Main!$C$4:$C$1048576),"",INDEX(Main!G$4:G$1048576,MATCH(ROW(A194),Main!$C$4:$C$1048576,0))))</f>
        <v/>
      </c>
      <c r="D196" s="1" t="str">
        <f>IF(IF(ROW(B194)&gt;MAX(Main!$C$4:$C$1048576),"",INDEX(Main!H$4:H$1048576,MATCH(ROW(B194),Main!$C$4:$C$1048576,0)))="",IF(C196="","",D195),IF(ROW(B194)&gt;MAX(Main!$C$4:$C$1048576),"",INDEX(Main!H$4:H$1048576,MATCH(ROW(B194),Main!$C$4:$C$1048576,0))))</f>
        <v/>
      </c>
      <c r="E196" s="1" t="str">
        <f>IF(IF(ROW(C194)&gt;MAX(Main!$C$4:$C$1048576),"",INDEX(Main!I$4:I$1048576,MATCH(ROW(C194),Main!$C$4:$C$1048576,0)))="",IF(D196="","",E195),IF(ROW(C194)&gt;MAX(Main!$C$4:$C$1048576),"",INDEX(Main!I$4:I$1048576,MATCH(ROW(C194),Main!$C$4:$C$1048576,0))))</f>
        <v/>
      </c>
      <c r="F196" s="1" t="str">
        <f t="shared" si="9"/>
        <v/>
      </c>
      <c r="G196" s="1" t="str">
        <f>IF(IF(ROW(D194)&gt;MAX(Main!$C$4:$C$1048576),"",INDEX(Main!J$4:J$1048576,MATCH(ROW(D194),Main!$C$4:$C$1048576,0)))="",IF(E196="","",G195),IF(ROW(D194)&gt;MAX(Main!$C$4:$C$1048576),"",INDEX(Main!J$4:J$1048576,MATCH(ROW(D194),Main!$C$4:$C$1048576,0))))</f>
        <v/>
      </c>
      <c r="H196" s="10" t="str">
        <f>IF(ROW(G194)&gt;MAX(Main!$C$4:$C$1048576),"",INDEX(Main!K$4:K$1048576,MATCH(ROW(G194),Main!$C$4:$C$1048576,0)))</f>
        <v/>
      </c>
      <c r="I196" s="1" t="str">
        <f>IF(H196&lt;&gt;"",IF(ROW(G194)&gt;MAX(Main!$C$4:$C$1048576),"",INDEX(Main!N$4:N$1048576,MATCH(ROW(G194),Main!$C$4:$C$1048576,0))),"")</f>
        <v/>
      </c>
      <c r="J196" s="1" t="str">
        <f>IF(IF(ROW(H194)&gt;MAX(Main!$C$4:$C$1048576),"",INDEX(Main!O$4:O$1048576,MATCH(ROW(H194),Main!$C$4:$C$1048576,0)))="",IF(I196="","",J195),IF(ROW(H194)&gt;MAX(Main!$C$4:$C$1048576),"",INDEX(Main!O$4:O$1048576,MATCH(ROW(H194),Main!$C$4:$C$1048576,0))))</f>
        <v/>
      </c>
      <c r="K196" s="27" t="str">
        <f t="shared" si="10"/>
        <v>例目</v>
      </c>
      <c r="M196" s="4" t="str">
        <f>TEXT(IF(ROW(A194)&gt;MAX(Main!$D$4:$D$1048576),"",INDEX(Main!Q$4:Q$1048576,MATCH(ROW(A194),Main!$D$4:$D$1048576,0))), "yyyy/m/d")</f>
        <v/>
      </c>
      <c r="N196" s="1" t="str">
        <f>IF(IF(ROW(A194)&gt;MAX(Main!$D$4:$D$1048576),"",INDEX(Main!G$4:G$1048576,MATCH(ROW(A194),Main!$D$4:$D$1048576,0)))="",IF(M196="","",N195),IF(ROW(A194)&gt;MAX(Main!$D$4:$D$1048576),"",INDEX(Main!G$4:G$1048576,MATCH(ROW(A194),Main!$D$4:$D$1048576,0))))</f>
        <v/>
      </c>
      <c r="O196" s="1" t="str">
        <f>IF(IF(ROW(B194)&gt;MAX(Main!$D$4:$D$1048576),"",INDEX(Main!H$4:H$1048576,MATCH(ROW(B194),Main!$D$4:$D$1048576,0)))="",IF(N196="","",O195),IF(ROW(B194)&gt;MAX(Main!$D$4:$D$1048576),"",INDEX(Main!H$4:H$1048576,MATCH(ROW(B194),Main!$D$4:$D$1048576,0))))</f>
        <v/>
      </c>
      <c r="P196" s="1" t="str">
        <f>IF(IF(ROW(C194)&gt;MAX(Main!$D$4:$D$1048576),"",INDEX(Main!I$4:I$1048576,MATCH(ROW(C194),Main!$D$4:$D$1048576,0)))="",IF(O196="","",P195),IF(ROW(C194)&gt;MAX(Main!$D$4:$D$1048576),"",INDEX(Main!I$4:I$1048576,MATCH(ROW(C194),Main!$D$4:$D$1048576,0))))</f>
        <v/>
      </c>
      <c r="Q196" s="1" t="str">
        <f t="shared" si="11"/>
        <v/>
      </c>
      <c r="R196" s="1" t="str">
        <f>IF(IF(ROW(D194)&gt;MAX(Main!$D$4:$D$1048576),"",INDEX(Main!J$4:J$1048576,MATCH(ROW(D194),Main!$D$4:$D$1048576,0)))="",IF(P196="","",R195),IF(ROW(D194)&gt;MAX(Main!$D$4:$D$1048576),"",INDEX(Main!J$4:J$1048576,MATCH(ROW(D194),Main!$D$4:$D$1048576,0))))</f>
        <v/>
      </c>
      <c r="S196" s="9" t="str">
        <f>IF(ROW(G194)&gt;MAX(Main!$D$4:$D$1048576),"",INDEX(Main!K$4:K$1048576,MATCH(ROW(G194),Main!$D$4:$D$1048576,0)))</f>
        <v/>
      </c>
      <c r="T196" s="1" t="str">
        <f>IF(S196&lt;&gt;"",IF(ROW(G194)&gt;MAX(Main!$D$4:$D$1048576),"",INDEX(Main!N$4:N$1048576,MATCH(ROW(G194),Main!$D$4:$D$1048576,0))),"")</f>
        <v/>
      </c>
      <c r="U196" s="1" t="str">
        <f>IF(IF(ROW(H194)&gt;MAX(Main!$D$4:$D$1048576),"",INDEX(Main!O$4:O$1048576,MATCH(ROW(H194),Main!$D$4:$D$1048576,0)))="",IF(T196="","",U195),IF(ROW(H194)&gt;MAX(Main!$D$4:$D$1048576),"",INDEX(Main!O$4:O$1048576,MATCH(ROW(H194),Main!$D$4:$D$1048576,0))))</f>
        <v/>
      </c>
    </row>
    <row r="197" spans="1:21" x14ac:dyDescent="0.4">
      <c r="A197" t="s">
        <v>21</v>
      </c>
      <c r="B197" s="4" t="str">
        <f>TEXT(IF(ROW(A195)&gt;MAX(Main!$C$4:$C$1048576),"",INDEX(Main!Q$4:Q$1048576,MATCH(ROW(A195),Main!$C$4:$C$1048576,0))), "yyyy/m/d")</f>
        <v/>
      </c>
      <c r="C197" s="1" t="str">
        <f>IF(IF(ROW(A195)&gt;MAX(Main!$C$4:$C$1048576),"",INDEX(Main!G$4:G$1048576,MATCH(ROW(A195),Main!$C$4:$C$1048576,0)))="",IF(B197="","",C196),IF(ROW(A195)&gt;MAX(Main!$C$4:$C$1048576),"",INDEX(Main!G$4:G$1048576,MATCH(ROW(A195),Main!$C$4:$C$1048576,0))))</f>
        <v/>
      </c>
      <c r="D197" s="1" t="str">
        <f>IF(IF(ROW(B195)&gt;MAX(Main!$C$4:$C$1048576),"",INDEX(Main!H$4:H$1048576,MATCH(ROW(B195),Main!$C$4:$C$1048576,0)))="",IF(C197="","",D196),IF(ROW(B195)&gt;MAX(Main!$C$4:$C$1048576),"",INDEX(Main!H$4:H$1048576,MATCH(ROW(B195),Main!$C$4:$C$1048576,0))))</f>
        <v/>
      </c>
      <c r="E197" s="1" t="str">
        <f>IF(IF(ROW(C195)&gt;MAX(Main!$C$4:$C$1048576),"",INDEX(Main!I$4:I$1048576,MATCH(ROW(C195),Main!$C$4:$C$1048576,0)))="",IF(D197="","",E196),IF(ROW(C195)&gt;MAX(Main!$C$4:$C$1048576),"",INDEX(Main!I$4:I$1048576,MATCH(ROW(C195),Main!$C$4:$C$1048576,0))))</f>
        <v/>
      </c>
      <c r="F197" s="1" t="str">
        <f t="shared" si="9"/>
        <v/>
      </c>
      <c r="G197" s="1" t="str">
        <f>IF(IF(ROW(D195)&gt;MAX(Main!$C$4:$C$1048576),"",INDEX(Main!J$4:J$1048576,MATCH(ROW(D195),Main!$C$4:$C$1048576,0)))="",IF(E197="","",G196),IF(ROW(D195)&gt;MAX(Main!$C$4:$C$1048576),"",INDEX(Main!J$4:J$1048576,MATCH(ROW(D195),Main!$C$4:$C$1048576,0))))</f>
        <v/>
      </c>
      <c r="H197" s="10" t="str">
        <f>IF(ROW(G195)&gt;MAX(Main!$C$4:$C$1048576),"",INDEX(Main!K$4:K$1048576,MATCH(ROW(G195),Main!$C$4:$C$1048576,0)))</f>
        <v/>
      </c>
      <c r="I197" s="1" t="str">
        <f>IF(H197&lt;&gt;"",IF(ROW(G195)&gt;MAX(Main!$C$4:$C$1048576),"",INDEX(Main!N$4:N$1048576,MATCH(ROW(G195),Main!$C$4:$C$1048576,0))),"")</f>
        <v/>
      </c>
      <c r="J197" s="1" t="str">
        <f>IF(IF(ROW(H195)&gt;MAX(Main!$C$4:$C$1048576),"",INDEX(Main!O$4:O$1048576,MATCH(ROW(H195),Main!$C$4:$C$1048576,0)))="",IF(I197="","",J196),IF(ROW(H195)&gt;MAX(Main!$C$4:$C$1048576),"",INDEX(Main!O$4:O$1048576,MATCH(ROW(H195),Main!$C$4:$C$1048576,0))))</f>
        <v/>
      </c>
      <c r="K197" s="27" t="str">
        <f t="shared" si="10"/>
        <v>例目</v>
      </c>
      <c r="M197" s="4" t="str">
        <f>TEXT(IF(ROW(A195)&gt;MAX(Main!$D$4:$D$1048576),"",INDEX(Main!Q$4:Q$1048576,MATCH(ROW(A195),Main!$D$4:$D$1048576,0))), "yyyy/m/d")</f>
        <v/>
      </c>
      <c r="N197" s="1" t="str">
        <f>IF(IF(ROW(A195)&gt;MAX(Main!$D$4:$D$1048576),"",INDEX(Main!G$4:G$1048576,MATCH(ROW(A195),Main!$D$4:$D$1048576,0)))="",IF(M197="","",N196),IF(ROW(A195)&gt;MAX(Main!$D$4:$D$1048576),"",INDEX(Main!G$4:G$1048576,MATCH(ROW(A195),Main!$D$4:$D$1048576,0))))</f>
        <v/>
      </c>
      <c r="O197" s="1" t="str">
        <f>IF(IF(ROW(B195)&gt;MAX(Main!$D$4:$D$1048576),"",INDEX(Main!H$4:H$1048576,MATCH(ROW(B195),Main!$D$4:$D$1048576,0)))="",IF(N197="","",O196),IF(ROW(B195)&gt;MAX(Main!$D$4:$D$1048576),"",INDEX(Main!H$4:H$1048576,MATCH(ROW(B195),Main!$D$4:$D$1048576,0))))</f>
        <v/>
      </c>
      <c r="P197" s="1" t="str">
        <f>IF(IF(ROW(C195)&gt;MAX(Main!$D$4:$D$1048576),"",INDEX(Main!I$4:I$1048576,MATCH(ROW(C195),Main!$D$4:$D$1048576,0)))="",IF(O197="","",P196),IF(ROW(C195)&gt;MAX(Main!$D$4:$D$1048576),"",INDEX(Main!I$4:I$1048576,MATCH(ROW(C195),Main!$D$4:$D$1048576,0))))</f>
        <v/>
      </c>
      <c r="Q197" s="1" t="str">
        <f t="shared" si="11"/>
        <v/>
      </c>
      <c r="R197" s="1" t="str">
        <f>IF(IF(ROW(D195)&gt;MAX(Main!$D$4:$D$1048576),"",INDEX(Main!J$4:J$1048576,MATCH(ROW(D195),Main!$D$4:$D$1048576,0)))="",IF(P197="","",R196),IF(ROW(D195)&gt;MAX(Main!$D$4:$D$1048576),"",INDEX(Main!J$4:J$1048576,MATCH(ROW(D195),Main!$D$4:$D$1048576,0))))</f>
        <v/>
      </c>
      <c r="S197" s="9" t="str">
        <f>IF(ROW(G195)&gt;MAX(Main!$D$4:$D$1048576),"",INDEX(Main!K$4:K$1048576,MATCH(ROW(G195),Main!$D$4:$D$1048576,0)))</f>
        <v/>
      </c>
      <c r="T197" s="1" t="str">
        <f>IF(S197&lt;&gt;"",IF(ROW(G195)&gt;MAX(Main!$D$4:$D$1048576),"",INDEX(Main!N$4:N$1048576,MATCH(ROW(G195),Main!$D$4:$D$1048576,0))),"")</f>
        <v/>
      </c>
      <c r="U197" s="1" t="str">
        <f>IF(IF(ROW(H195)&gt;MAX(Main!$D$4:$D$1048576),"",INDEX(Main!O$4:O$1048576,MATCH(ROW(H195),Main!$D$4:$D$1048576,0)))="",IF(T197="","",U196),IF(ROW(H195)&gt;MAX(Main!$D$4:$D$1048576),"",INDEX(Main!O$4:O$1048576,MATCH(ROW(H195),Main!$D$4:$D$1048576,0))))</f>
        <v/>
      </c>
    </row>
    <row r="198" spans="1:21" x14ac:dyDescent="0.4">
      <c r="A198" t="s">
        <v>21</v>
      </c>
      <c r="B198" s="4" t="str">
        <f>TEXT(IF(ROW(A196)&gt;MAX(Main!$C$4:$C$1048576),"",INDEX(Main!Q$4:Q$1048576,MATCH(ROW(A196),Main!$C$4:$C$1048576,0))), "yyyy/m/d")</f>
        <v/>
      </c>
      <c r="C198" s="1" t="str">
        <f>IF(IF(ROW(A196)&gt;MAX(Main!$C$4:$C$1048576),"",INDEX(Main!G$4:G$1048576,MATCH(ROW(A196),Main!$C$4:$C$1048576,0)))="",IF(B198="","",C197),IF(ROW(A196)&gt;MAX(Main!$C$4:$C$1048576),"",INDEX(Main!G$4:G$1048576,MATCH(ROW(A196),Main!$C$4:$C$1048576,0))))</f>
        <v/>
      </c>
      <c r="D198" s="1" t="str">
        <f>IF(IF(ROW(B196)&gt;MAX(Main!$C$4:$C$1048576),"",INDEX(Main!H$4:H$1048576,MATCH(ROW(B196),Main!$C$4:$C$1048576,0)))="",IF(C198="","",D197),IF(ROW(B196)&gt;MAX(Main!$C$4:$C$1048576),"",INDEX(Main!H$4:H$1048576,MATCH(ROW(B196),Main!$C$4:$C$1048576,0))))</f>
        <v/>
      </c>
      <c r="E198" s="1" t="str">
        <f>IF(IF(ROW(C196)&gt;MAX(Main!$C$4:$C$1048576),"",INDEX(Main!I$4:I$1048576,MATCH(ROW(C196),Main!$C$4:$C$1048576,0)))="",IF(D198="","",E197),IF(ROW(C196)&gt;MAX(Main!$C$4:$C$1048576),"",INDEX(Main!I$4:I$1048576,MATCH(ROW(C196),Main!$C$4:$C$1048576,0))))</f>
        <v/>
      </c>
      <c r="F198" s="1" t="str">
        <f t="shared" si="9"/>
        <v/>
      </c>
      <c r="G198" s="1" t="str">
        <f>IF(IF(ROW(D196)&gt;MAX(Main!$C$4:$C$1048576),"",INDEX(Main!J$4:J$1048576,MATCH(ROW(D196),Main!$C$4:$C$1048576,0)))="",IF(E198="","",G197),IF(ROW(D196)&gt;MAX(Main!$C$4:$C$1048576),"",INDEX(Main!J$4:J$1048576,MATCH(ROW(D196),Main!$C$4:$C$1048576,0))))</f>
        <v/>
      </c>
      <c r="H198" s="10" t="str">
        <f>IF(ROW(G196)&gt;MAX(Main!$C$4:$C$1048576),"",INDEX(Main!K$4:K$1048576,MATCH(ROW(G196),Main!$C$4:$C$1048576,0)))</f>
        <v/>
      </c>
      <c r="I198" s="1" t="str">
        <f>IF(H198&lt;&gt;"",IF(ROW(G196)&gt;MAX(Main!$C$4:$C$1048576),"",INDEX(Main!N$4:N$1048576,MATCH(ROW(G196),Main!$C$4:$C$1048576,0))),"")</f>
        <v/>
      </c>
      <c r="J198" s="1" t="str">
        <f>IF(IF(ROW(H196)&gt;MAX(Main!$C$4:$C$1048576),"",INDEX(Main!O$4:O$1048576,MATCH(ROW(H196),Main!$C$4:$C$1048576,0)))="",IF(I198="","",J197),IF(ROW(H196)&gt;MAX(Main!$C$4:$C$1048576),"",INDEX(Main!O$4:O$1048576,MATCH(ROW(H196),Main!$C$4:$C$1048576,0))))</f>
        <v/>
      </c>
      <c r="K198" s="27" t="str">
        <f t="shared" si="10"/>
        <v>例目</v>
      </c>
      <c r="M198" s="4" t="str">
        <f>TEXT(IF(ROW(A196)&gt;MAX(Main!$D$4:$D$1048576),"",INDEX(Main!Q$4:Q$1048576,MATCH(ROW(A196),Main!$D$4:$D$1048576,0))), "yyyy/m/d")</f>
        <v/>
      </c>
      <c r="N198" s="1" t="str">
        <f>IF(IF(ROW(A196)&gt;MAX(Main!$D$4:$D$1048576),"",INDEX(Main!G$4:G$1048576,MATCH(ROW(A196),Main!$D$4:$D$1048576,0)))="",IF(M198="","",N197),IF(ROW(A196)&gt;MAX(Main!$D$4:$D$1048576),"",INDEX(Main!G$4:G$1048576,MATCH(ROW(A196),Main!$D$4:$D$1048576,0))))</f>
        <v/>
      </c>
      <c r="O198" s="1" t="str">
        <f>IF(IF(ROW(B196)&gt;MAX(Main!$D$4:$D$1048576),"",INDEX(Main!H$4:H$1048576,MATCH(ROW(B196),Main!$D$4:$D$1048576,0)))="",IF(N198="","",O197),IF(ROW(B196)&gt;MAX(Main!$D$4:$D$1048576),"",INDEX(Main!H$4:H$1048576,MATCH(ROW(B196),Main!$D$4:$D$1048576,0))))</f>
        <v/>
      </c>
      <c r="P198" s="1" t="str">
        <f>IF(IF(ROW(C196)&gt;MAX(Main!$D$4:$D$1048576),"",INDEX(Main!I$4:I$1048576,MATCH(ROW(C196),Main!$D$4:$D$1048576,0)))="",IF(O198="","",P197),IF(ROW(C196)&gt;MAX(Main!$D$4:$D$1048576),"",INDEX(Main!I$4:I$1048576,MATCH(ROW(C196),Main!$D$4:$D$1048576,0))))</f>
        <v/>
      </c>
      <c r="Q198" s="1" t="str">
        <f t="shared" si="11"/>
        <v/>
      </c>
      <c r="R198" s="1" t="str">
        <f>IF(IF(ROW(D196)&gt;MAX(Main!$D$4:$D$1048576),"",INDEX(Main!J$4:J$1048576,MATCH(ROW(D196),Main!$D$4:$D$1048576,0)))="",IF(P198="","",R197),IF(ROW(D196)&gt;MAX(Main!$D$4:$D$1048576),"",INDEX(Main!J$4:J$1048576,MATCH(ROW(D196),Main!$D$4:$D$1048576,0))))</f>
        <v/>
      </c>
      <c r="S198" s="9" t="str">
        <f>IF(ROW(G196)&gt;MAX(Main!$D$4:$D$1048576),"",INDEX(Main!K$4:K$1048576,MATCH(ROW(G196),Main!$D$4:$D$1048576,0)))</f>
        <v/>
      </c>
      <c r="T198" s="1" t="str">
        <f>IF(S198&lt;&gt;"",IF(ROW(G196)&gt;MAX(Main!$D$4:$D$1048576),"",INDEX(Main!N$4:N$1048576,MATCH(ROW(G196),Main!$D$4:$D$1048576,0))),"")</f>
        <v/>
      </c>
      <c r="U198" s="1" t="str">
        <f>IF(IF(ROW(H196)&gt;MAX(Main!$D$4:$D$1048576),"",INDEX(Main!O$4:O$1048576,MATCH(ROW(H196),Main!$D$4:$D$1048576,0)))="",IF(T198="","",U197),IF(ROW(H196)&gt;MAX(Main!$D$4:$D$1048576),"",INDEX(Main!O$4:O$1048576,MATCH(ROW(H196),Main!$D$4:$D$1048576,0))))</f>
        <v/>
      </c>
    </row>
    <row r="199" spans="1:21" x14ac:dyDescent="0.4">
      <c r="A199" t="s">
        <v>21</v>
      </c>
      <c r="B199" s="4" t="str">
        <f>TEXT(IF(ROW(A197)&gt;MAX(Main!$C$4:$C$1048576),"",INDEX(Main!Q$4:Q$1048576,MATCH(ROW(A197),Main!$C$4:$C$1048576,0))), "yyyy/m/d")</f>
        <v/>
      </c>
      <c r="C199" s="1" t="str">
        <f>IF(IF(ROW(A197)&gt;MAX(Main!$C$4:$C$1048576),"",INDEX(Main!G$4:G$1048576,MATCH(ROW(A197),Main!$C$4:$C$1048576,0)))="",IF(B199="","",C198),IF(ROW(A197)&gt;MAX(Main!$C$4:$C$1048576),"",INDEX(Main!G$4:G$1048576,MATCH(ROW(A197),Main!$C$4:$C$1048576,0))))</f>
        <v/>
      </c>
      <c r="D199" s="1" t="str">
        <f>IF(IF(ROW(B197)&gt;MAX(Main!$C$4:$C$1048576),"",INDEX(Main!H$4:H$1048576,MATCH(ROW(B197),Main!$C$4:$C$1048576,0)))="",IF(C199="","",D198),IF(ROW(B197)&gt;MAX(Main!$C$4:$C$1048576),"",INDEX(Main!H$4:H$1048576,MATCH(ROW(B197),Main!$C$4:$C$1048576,0))))</f>
        <v/>
      </c>
      <c r="E199" s="1" t="str">
        <f>IF(IF(ROW(C197)&gt;MAX(Main!$C$4:$C$1048576),"",INDEX(Main!I$4:I$1048576,MATCH(ROW(C197),Main!$C$4:$C$1048576,0)))="",IF(D199="","",E198),IF(ROW(C197)&gt;MAX(Main!$C$4:$C$1048576),"",INDEX(Main!I$4:I$1048576,MATCH(ROW(C197),Main!$C$4:$C$1048576,0))))</f>
        <v/>
      </c>
      <c r="F199" s="1" t="str">
        <f t="shared" si="9"/>
        <v/>
      </c>
      <c r="G199" s="1" t="str">
        <f>IF(IF(ROW(D197)&gt;MAX(Main!$C$4:$C$1048576),"",INDEX(Main!J$4:J$1048576,MATCH(ROW(D197),Main!$C$4:$C$1048576,0)))="",IF(E199="","",G198),IF(ROW(D197)&gt;MAX(Main!$C$4:$C$1048576),"",INDEX(Main!J$4:J$1048576,MATCH(ROW(D197),Main!$C$4:$C$1048576,0))))</f>
        <v/>
      </c>
      <c r="H199" s="10" t="str">
        <f>IF(ROW(G197)&gt;MAX(Main!$C$4:$C$1048576),"",INDEX(Main!K$4:K$1048576,MATCH(ROW(G197),Main!$C$4:$C$1048576,0)))</f>
        <v/>
      </c>
      <c r="I199" s="1" t="str">
        <f>IF(H199&lt;&gt;"",IF(ROW(G197)&gt;MAX(Main!$C$4:$C$1048576),"",INDEX(Main!N$4:N$1048576,MATCH(ROW(G197),Main!$C$4:$C$1048576,0))),"")</f>
        <v/>
      </c>
      <c r="J199" s="1" t="str">
        <f>IF(IF(ROW(H197)&gt;MAX(Main!$C$4:$C$1048576),"",INDEX(Main!O$4:O$1048576,MATCH(ROW(H197),Main!$C$4:$C$1048576,0)))="",IF(I199="","",J198),IF(ROW(H197)&gt;MAX(Main!$C$4:$C$1048576),"",INDEX(Main!O$4:O$1048576,MATCH(ROW(H197),Main!$C$4:$C$1048576,0))))</f>
        <v/>
      </c>
      <c r="K199" s="27" t="str">
        <f t="shared" si="10"/>
        <v>例目</v>
      </c>
      <c r="M199" s="4" t="str">
        <f>TEXT(IF(ROW(A197)&gt;MAX(Main!$D$4:$D$1048576),"",INDEX(Main!Q$4:Q$1048576,MATCH(ROW(A197),Main!$D$4:$D$1048576,0))), "yyyy/m/d")</f>
        <v/>
      </c>
      <c r="N199" s="1" t="str">
        <f>IF(IF(ROW(A197)&gt;MAX(Main!$D$4:$D$1048576),"",INDEX(Main!G$4:G$1048576,MATCH(ROW(A197),Main!$D$4:$D$1048576,0)))="",IF(M199="","",N198),IF(ROW(A197)&gt;MAX(Main!$D$4:$D$1048576),"",INDEX(Main!G$4:G$1048576,MATCH(ROW(A197),Main!$D$4:$D$1048576,0))))</f>
        <v/>
      </c>
      <c r="O199" s="1" t="str">
        <f>IF(IF(ROW(B197)&gt;MAX(Main!$D$4:$D$1048576),"",INDEX(Main!H$4:H$1048576,MATCH(ROW(B197),Main!$D$4:$D$1048576,0)))="",IF(N199="","",O198),IF(ROW(B197)&gt;MAX(Main!$D$4:$D$1048576),"",INDEX(Main!H$4:H$1048576,MATCH(ROW(B197),Main!$D$4:$D$1048576,0))))</f>
        <v/>
      </c>
      <c r="P199" s="1" t="str">
        <f>IF(IF(ROW(C197)&gt;MAX(Main!$D$4:$D$1048576),"",INDEX(Main!I$4:I$1048576,MATCH(ROW(C197),Main!$D$4:$D$1048576,0)))="",IF(O199="","",P198),IF(ROW(C197)&gt;MAX(Main!$D$4:$D$1048576),"",INDEX(Main!I$4:I$1048576,MATCH(ROW(C197),Main!$D$4:$D$1048576,0))))</f>
        <v/>
      </c>
      <c r="Q199" s="1" t="str">
        <f t="shared" si="11"/>
        <v/>
      </c>
      <c r="R199" s="1" t="str">
        <f>IF(IF(ROW(D197)&gt;MAX(Main!$D$4:$D$1048576),"",INDEX(Main!J$4:J$1048576,MATCH(ROW(D197),Main!$D$4:$D$1048576,0)))="",IF(P199="","",R198),IF(ROW(D197)&gt;MAX(Main!$D$4:$D$1048576),"",INDEX(Main!J$4:J$1048576,MATCH(ROW(D197),Main!$D$4:$D$1048576,0))))</f>
        <v/>
      </c>
      <c r="S199" s="9" t="str">
        <f>IF(ROW(G197)&gt;MAX(Main!$D$4:$D$1048576),"",INDEX(Main!K$4:K$1048576,MATCH(ROW(G197),Main!$D$4:$D$1048576,0)))</f>
        <v/>
      </c>
      <c r="T199" s="1" t="str">
        <f>IF(S199&lt;&gt;"",IF(ROW(G197)&gt;MAX(Main!$D$4:$D$1048576),"",INDEX(Main!N$4:N$1048576,MATCH(ROW(G197),Main!$D$4:$D$1048576,0))),"")</f>
        <v/>
      </c>
      <c r="U199" s="1" t="str">
        <f>IF(IF(ROW(H197)&gt;MAX(Main!$D$4:$D$1048576),"",INDEX(Main!O$4:O$1048576,MATCH(ROW(H197),Main!$D$4:$D$1048576,0)))="",IF(T199="","",U198),IF(ROW(H197)&gt;MAX(Main!$D$4:$D$1048576),"",INDEX(Main!O$4:O$1048576,MATCH(ROW(H197),Main!$D$4:$D$1048576,0))))</f>
        <v/>
      </c>
    </row>
    <row r="200" spans="1:21" x14ac:dyDescent="0.4">
      <c r="A200" t="s">
        <v>21</v>
      </c>
      <c r="B200" s="4" t="str">
        <f>TEXT(IF(ROW(A198)&gt;MAX(Main!$C$4:$C$1048576),"",INDEX(Main!Q$4:Q$1048576,MATCH(ROW(A198),Main!$C$4:$C$1048576,0))), "yyyy/m/d")</f>
        <v/>
      </c>
      <c r="C200" s="1" t="str">
        <f>IF(IF(ROW(A198)&gt;MAX(Main!$C$4:$C$1048576),"",INDEX(Main!G$4:G$1048576,MATCH(ROW(A198),Main!$C$4:$C$1048576,0)))="",IF(B200="","",C199),IF(ROW(A198)&gt;MAX(Main!$C$4:$C$1048576),"",INDEX(Main!G$4:G$1048576,MATCH(ROW(A198),Main!$C$4:$C$1048576,0))))</f>
        <v/>
      </c>
      <c r="D200" s="1" t="str">
        <f>IF(IF(ROW(B198)&gt;MAX(Main!$C$4:$C$1048576),"",INDEX(Main!H$4:H$1048576,MATCH(ROW(B198),Main!$C$4:$C$1048576,0)))="",IF(C200="","",D199),IF(ROW(B198)&gt;MAX(Main!$C$4:$C$1048576),"",INDEX(Main!H$4:H$1048576,MATCH(ROW(B198),Main!$C$4:$C$1048576,0))))</f>
        <v/>
      </c>
      <c r="E200" s="1" t="str">
        <f>IF(IF(ROW(C198)&gt;MAX(Main!$C$4:$C$1048576),"",INDEX(Main!I$4:I$1048576,MATCH(ROW(C198),Main!$C$4:$C$1048576,0)))="",IF(D200="","",E199),IF(ROW(C198)&gt;MAX(Main!$C$4:$C$1048576),"",INDEX(Main!I$4:I$1048576,MATCH(ROW(C198),Main!$C$4:$C$1048576,0))))</f>
        <v/>
      </c>
      <c r="F200" s="1" t="str">
        <f t="shared" si="9"/>
        <v/>
      </c>
      <c r="G200" s="1" t="str">
        <f>IF(IF(ROW(D198)&gt;MAX(Main!$C$4:$C$1048576),"",INDEX(Main!J$4:J$1048576,MATCH(ROW(D198),Main!$C$4:$C$1048576,0)))="",IF(E200="","",G199),IF(ROW(D198)&gt;MAX(Main!$C$4:$C$1048576),"",INDEX(Main!J$4:J$1048576,MATCH(ROW(D198),Main!$C$4:$C$1048576,0))))</f>
        <v/>
      </c>
      <c r="H200" s="10" t="str">
        <f>IF(ROW(G198)&gt;MAX(Main!$C$4:$C$1048576),"",INDEX(Main!K$4:K$1048576,MATCH(ROW(G198),Main!$C$4:$C$1048576,0)))</f>
        <v/>
      </c>
      <c r="I200" s="1" t="str">
        <f>IF(H200&lt;&gt;"",IF(ROW(G198)&gt;MAX(Main!$C$4:$C$1048576),"",INDEX(Main!N$4:N$1048576,MATCH(ROW(G198),Main!$C$4:$C$1048576,0))),"")</f>
        <v/>
      </c>
      <c r="J200" s="1" t="str">
        <f>IF(IF(ROW(H198)&gt;MAX(Main!$C$4:$C$1048576),"",INDEX(Main!O$4:O$1048576,MATCH(ROW(H198),Main!$C$4:$C$1048576,0)))="",IF(I200="","",J199),IF(ROW(H198)&gt;MAX(Main!$C$4:$C$1048576),"",INDEX(Main!O$4:O$1048576,MATCH(ROW(H198),Main!$C$4:$C$1048576,0))))</f>
        <v/>
      </c>
      <c r="K200" s="27" t="str">
        <f t="shared" si="10"/>
        <v>例目</v>
      </c>
      <c r="M200" s="4" t="str">
        <f>TEXT(IF(ROW(A198)&gt;MAX(Main!$D$4:$D$1048576),"",INDEX(Main!Q$4:Q$1048576,MATCH(ROW(A198),Main!$D$4:$D$1048576,0))), "yyyy/m/d")</f>
        <v/>
      </c>
      <c r="N200" s="1" t="str">
        <f>IF(IF(ROW(A198)&gt;MAX(Main!$D$4:$D$1048576),"",INDEX(Main!G$4:G$1048576,MATCH(ROW(A198),Main!$D$4:$D$1048576,0)))="",IF(M200="","",N199),IF(ROW(A198)&gt;MAX(Main!$D$4:$D$1048576),"",INDEX(Main!G$4:G$1048576,MATCH(ROW(A198),Main!$D$4:$D$1048576,0))))</f>
        <v/>
      </c>
      <c r="O200" s="1" t="str">
        <f>IF(IF(ROW(B198)&gt;MAX(Main!$D$4:$D$1048576),"",INDEX(Main!H$4:H$1048576,MATCH(ROW(B198),Main!$D$4:$D$1048576,0)))="",IF(N200="","",O199),IF(ROW(B198)&gt;MAX(Main!$D$4:$D$1048576),"",INDEX(Main!H$4:H$1048576,MATCH(ROW(B198),Main!$D$4:$D$1048576,0))))</f>
        <v/>
      </c>
      <c r="P200" s="1" t="str">
        <f>IF(IF(ROW(C198)&gt;MAX(Main!$D$4:$D$1048576),"",INDEX(Main!I$4:I$1048576,MATCH(ROW(C198),Main!$D$4:$D$1048576,0)))="",IF(O200="","",P199),IF(ROW(C198)&gt;MAX(Main!$D$4:$D$1048576),"",INDEX(Main!I$4:I$1048576,MATCH(ROW(C198),Main!$D$4:$D$1048576,0))))</f>
        <v/>
      </c>
      <c r="Q200" s="1" t="str">
        <f t="shared" si="11"/>
        <v/>
      </c>
      <c r="R200" s="1" t="str">
        <f>IF(IF(ROW(D198)&gt;MAX(Main!$D$4:$D$1048576),"",INDEX(Main!J$4:J$1048576,MATCH(ROW(D198),Main!$D$4:$D$1048576,0)))="",IF(P200="","",R199),IF(ROW(D198)&gt;MAX(Main!$D$4:$D$1048576),"",INDEX(Main!J$4:J$1048576,MATCH(ROW(D198),Main!$D$4:$D$1048576,0))))</f>
        <v/>
      </c>
      <c r="S200" s="9" t="str">
        <f>IF(ROW(G198)&gt;MAX(Main!$D$4:$D$1048576),"",INDEX(Main!K$4:K$1048576,MATCH(ROW(G198),Main!$D$4:$D$1048576,0)))</f>
        <v/>
      </c>
      <c r="T200" s="1" t="str">
        <f>IF(S200&lt;&gt;"",IF(ROW(G198)&gt;MAX(Main!$D$4:$D$1048576),"",INDEX(Main!N$4:N$1048576,MATCH(ROW(G198),Main!$D$4:$D$1048576,0))),"")</f>
        <v/>
      </c>
      <c r="U200" s="1" t="str">
        <f>IF(IF(ROW(H198)&gt;MAX(Main!$D$4:$D$1048576),"",INDEX(Main!O$4:O$1048576,MATCH(ROW(H198),Main!$D$4:$D$1048576,0)))="",IF(T200="","",U199),IF(ROW(H198)&gt;MAX(Main!$D$4:$D$1048576),"",INDEX(Main!O$4:O$1048576,MATCH(ROW(H198),Main!$D$4:$D$1048576,0))))</f>
        <v/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B2C7-AD3A-43E5-8530-4AC68C2CBC94}">
  <sheetPr codeName="Sheet3"/>
  <dimension ref="A2:D200"/>
  <sheetViews>
    <sheetView topLeftCell="A186" zoomScale="70" zoomScaleNormal="70" workbookViewId="0">
      <selection activeCell="B200" sqref="B200"/>
    </sheetView>
  </sheetViews>
  <sheetFormatPr defaultRowHeight="18.75" x14ac:dyDescent="0.4"/>
  <cols>
    <col min="1" max="1" width="7" customWidth="1"/>
    <col min="2" max="2" width="14.5" customWidth="1"/>
    <col min="3" max="3" width="64.75" style="2" customWidth="1"/>
    <col min="5" max="5" width="9.375" bestFit="1" customWidth="1"/>
  </cols>
  <sheetData>
    <row r="2" spans="1:4" ht="138" customHeight="1" x14ac:dyDescent="0.4">
      <c r="B2" s="20" t="s">
        <v>32</v>
      </c>
      <c r="C2" s="2" t="s">
        <v>442</v>
      </c>
    </row>
    <row r="4" spans="1:4" x14ac:dyDescent="0.4">
      <c r="B4" t="s">
        <v>33</v>
      </c>
      <c r="C4" s="2" t="s">
        <v>34</v>
      </c>
      <c r="D4">
        <v>3</v>
      </c>
    </row>
    <row r="5" spans="1:4" x14ac:dyDescent="0.4">
      <c r="C5" s="2" t="s">
        <v>35</v>
      </c>
      <c r="D5">
        <v>2</v>
      </c>
    </row>
    <row r="6" spans="1:4" x14ac:dyDescent="0.4">
      <c r="C6" s="2" t="s">
        <v>36</v>
      </c>
      <c r="D6">
        <v>7</v>
      </c>
    </row>
    <row r="7" spans="1:4" x14ac:dyDescent="0.4">
      <c r="C7" s="2" t="s">
        <v>37</v>
      </c>
      <c r="D7">
        <v>4</v>
      </c>
    </row>
    <row r="8" spans="1:4" x14ac:dyDescent="0.4">
      <c r="C8" s="2" t="s">
        <v>38</v>
      </c>
      <c r="D8">
        <v>5</v>
      </c>
    </row>
    <row r="9" spans="1:4" x14ac:dyDescent="0.4">
      <c r="C9" s="2" t="s">
        <v>39</v>
      </c>
      <c r="D9">
        <v>6</v>
      </c>
    </row>
    <row r="10" spans="1:4" x14ac:dyDescent="0.4">
      <c r="C10" s="2" t="s">
        <v>443</v>
      </c>
      <c r="D10">
        <v>11</v>
      </c>
    </row>
    <row r="12" spans="1:4" x14ac:dyDescent="0.4">
      <c r="A12">
        <f>COUNTIF(prepareData!B:B,"?*")-2</f>
        <v>16</v>
      </c>
      <c r="B12" t="s">
        <v>41</v>
      </c>
      <c r="C12" s="2" t="s">
        <v>445</v>
      </c>
    </row>
    <row r="13" spans="1:4" ht="168.75" x14ac:dyDescent="0.4">
      <c r="B13" t="s">
        <v>21</v>
      </c>
      <c r="C13" s="2" t="str" cm="1">
        <f t="array" aca="1" ref="C13" ca="1" xml:space="preserve">
IF(INDIRECT(ADDRESS(ROW(A3), $D$4, 1, TRUE, "prepareData"))&lt;&gt;"",
SUBSTITUTE(SUBSTITUTE(SUBSTITUTE(SUBSTITUTE(SUBSTITUTE(SUBSTITUTE(SUBSTITUTE($C$2,
$C$4,INDIRECT(ADDRESS(ROW(A3), $D$4, 1, TRUE, "prepareData"))),
$C$5,INDIRECT(ADDRESS(ROW(A3), $D$5, 1, TRUE, "prepareData"))),
$C$6,INDIRECT(ADDRESS(ROW(A3), $D$6, 1, TRUE, "prepareData"))),
$C$7,INDIRECT(ADDRESS(ROW(A3), $D$7, 1, TRUE, "prepareData"))),
$C$8,INDIRECT(ADDRESS(ROW(A3), $D$8, 1, TRUE, "prepareData"))),
$C$9,INDIRECT(ADDRESS(ROW(A3), $D$9, 1, TRUE, "prepareData"))),
$C$10,INDIRECT(ADDRESS(ROW(A3), $D$10, 1, TRUE, "prepareData"))),
IF(AND(C12&lt;&gt;"",C12&lt;&gt;CHAR(10)&amp;"]"),"",""))
&amp;IF(ROW(C1)&lt;$A$12,","&amp;CHAR(10),"")</f>
        <v xml:space="preserve">    {
        "data": {
            "id": 99999936001,
            "date": "2023/1/25",
            "label": "クラスターNo.936\n2023/1/25\n酒田市\n- ー"
        },
        "classes": ["multiline-manual", "else"]
    },
</v>
      </c>
    </row>
    <row r="14" spans="1:4" ht="150" x14ac:dyDescent="0.4">
      <c r="B14" t="s">
        <v>21</v>
      </c>
      <c r="C14" s="2" t="str" cm="1">
        <f t="array" aca="1" ref="C14" ca="1" xml:space="preserve">
IF(INDIRECT(ADDRESS(ROW(A4), $D$4, 1, TRUE, "prepareData"))&lt;&gt;"",
SUBSTITUTE(SUBSTITUTE(SUBSTITUTE(SUBSTITUTE(SUBSTITUTE(SUBSTITUTE(SUBSTITUTE($C$2,
$C$4,INDIRECT(ADDRESS(ROW(A4), $D$4, 1, TRUE, "prepareData"))),
$C$5,INDIRECT(ADDRESS(ROW(A4), $D$5, 1, TRUE, "prepareData"))),
$C$6,INDIRECT(ADDRESS(ROW(A4), $D$6, 1, TRUE, "prepareData"))),
$C$7,INDIRECT(ADDRESS(ROW(A4), $D$7, 1, TRUE, "prepareData"))),
$C$8,INDIRECT(ADDRESS(ROW(A4), $D$8, 1, TRUE, "prepareData"))),
$C$9,INDIRECT(ADDRESS(ROW(A4), $D$9, 1, TRUE, "prepareData"))),
$C$10,INDIRECT(ADDRESS(ROW(A4), $D$10, 1, TRUE, "prepareData"))),
IF(AND(C13&lt;&gt;"",C13&lt;&gt;CHAR(10)&amp;"]"),"",""))
&amp;IF(ROW(C2)&lt;$A$12,","&amp;CHAR(10),"")</f>
        <v xml:space="preserve">    {
        "data": {
            "id": 99999936002,
            "date": "2023/1/25",
            "label": "クラスターNo.936\n2023/1/25\n酒田市\n- ー"
        },
        "classes": ["multiline-manual", "else"]
    },
</v>
      </c>
    </row>
    <row r="15" spans="1:4" x14ac:dyDescent="0.4">
      <c r="B15" t="s">
        <v>21</v>
      </c>
      <c r="C15" s="2" t="str" cm="1">
        <f t="array" aca="1" ref="C15" ca="1" xml:space="preserve">
IF(INDIRECT(ADDRESS(ROW(A5), $D$4, 1, TRUE, "prepareData"))&lt;&gt;"",
SUBSTITUTE(SUBSTITUTE(SUBSTITUTE(SUBSTITUTE(SUBSTITUTE(SUBSTITUTE(SUBSTITUTE($C$2,
$C$4,INDIRECT(ADDRESS(ROW(A5), $D$4, 1, TRUE, "prepareData"))),
$C$5,INDIRECT(ADDRESS(ROW(A5), $D$5, 1, TRUE, "prepareData"))),
$C$6,INDIRECT(ADDRESS(ROW(A5), $D$6, 1, TRUE, "prepareData"))),
$C$7,INDIRECT(ADDRESS(ROW(A5), $D$7, 1, TRUE, "prepareData"))),
$C$8,INDIRECT(ADDRESS(ROW(A5), $D$8, 1, TRUE, "prepareData"))),
$C$9,INDIRECT(ADDRESS(ROW(A5), $D$9, 1, TRUE, "prepareData"))),
$C$10,INDIRECT(ADDRESS(ROW(A5), $D$10, 1, TRUE, "prepareData"))),
IF(AND(C14&lt;&gt;"",C14&lt;&gt;CHAR(10)&amp;"]"),"",""))
&amp;IF(ROW(C3)&lt;$A$12,","&amp;CHAR(10),"")</f>
        <v xml:space="preserve">    {
        "data": {
            "id": 99999936003,
            "date": "2023/1/25",
            "label": "クラスターNo.936\n2023/1/25\n酒田市\n- ー"
        },
        "classes": ["multiline-manual", "else"]
    },
</v>
      </c>
    </row>
    <row r="16" spans="1:4" x14ac:dyDescent="0.4">
      <c r="B16" t="s">
        <v>21</v>
      </c>
      <c r="C16" s="2" t="str" cm="1">
        <f t="array" aca="1" ref="C16" ca="1" xml:space="preserve">
IF(INDIRECT(ADDRESS(ROW(A6), $D$4, 1, TRUE, "prepareData"))&lt;&gt;"",
SUBSTITUTE(SUBSTITUTE(SUBSTITUTE(SUBSTITUTE(SUBSTITUTE(SUBSTITUTE(SUBSTITUTE($C$2,
$C$4,INDIRECT(ADDRESS(ROW(A6), $D$4, 1, TRUE, "prepareData"))),
$C$5,INDIRECT(ADDRESS(ROW(A6), $D$5, 1, TRUE, "prepareData"))),
$C$6,INDIRECT(ADDRESS(ROW(A6), $D$6, 1, TRUE, "prepareData"))),
$C$7,INDIRECT(ADDRESS(ROW(A6), $D$7, 1, TRUE, "prepareData"))),
$C$8,INDIRECT(ADDRESS(ROW(A6), $D$8, 1, TRUE, "prepareData"))),
$C$9,INDIRECT(ADDRESS(ROW(A6), $D$9, 1, TRUE, "prepareData"))),
$C$10,INDIRECT(ADDRESS(ROW(A6), $D$10, 1, TRUE, "prepareData"))),
IF(AND(C15&lt;&gt;"",C15&lt;&gt;CHAR(10)&amp;"]"),"",""))
&amp;IF(ROW(C4)&lt;$A$12,","&amp;CHAR(10),"")</f>
        <v xml:space="preserve">    {
        "data": {
            "id": 99999936004,
            "date": "2023/1/25",
            "label": "クラスターNo.936\n2023/1/25\n酒田市\n- ー"
        },
        "classes": ["multiline-manual", "else"]
    },
</v>
      </c>
    </row>
    <row r="17" spans="2:3" x14ac:dyDescent="0.4">
      <c r="B17" t="s">
        <v>21</v>
      </c>
      <c r="C17" s="2" t="str" cm="1">
        <f t="array" aca="1" ref="C17" ca="1" xml:space="preserve">
IF(INDIRECT(ADDRESS(ROW(A7), $D$4, 1, TRUE, "prepareData"))&lt;&gt;"",
SUBSTITUTE(SUBSTITUTE(SUBSTITUTE(SUBSTITUTE(SUBSTITUTE(SUBSTITUTE(SUBSTITUTE($C$2,
$C$4,INDIRECT(ADDRESS(ROW(A7), $D$4, 1, TRUE, "prepareData"))),
$C$5,INDIRECT(ADDRESS(ROW(A7), $D$5, 1, TRUE, "prepareData"))),
$C$6,INDIRECT(ADDRESS(ROW(A7), $D$6, 1, TRUE, "prepareData"))),
$C$7,INDIRECT(ADDRESS(ROW(A7), $D$7, 1, TRUE, "prepareData"))),
$C$8,INDIRECT(ADDRESS(ROW(A7), $D$8, 1, TRUE, "prepareData"))),
$C$9,INDIRECT(ADDRESS(ROW(A7), $D$9, 1, TRUE, "prepareData"))),
$C$10,INDIRECT(ADDRESS(ROW(A7), $D$10, 1, TRUE, "prepareData"))),
IF(AND(C16&lt;&gt;"",C16&lt;&gt;CHAR(10)&amp;"]"),"",""))
&amp;IF(ROW(C5)&lt;$A$12,","&amp;CHAR(10),"")</f>
        <v xml:space="preserve">    {
        "data": {
            "id": 99999936005,
            "date": "2023/1/25",
            "label": "クラスターNo.936\n2023/1/25\n酒田市\n- ー"
        },
        "classes": ["multiline-manual", "else"]
    },
</v>
      </c>
    </row>
    <row r="18" spans="2:3" x14ac:dyDescent="0.4">
      <c r="B18" t="s">
        <v>21</v>
      </c>
      <c r="C18" s="2" t="str" cm="1">
        <f t="array" aca="1" ref="C18" ca="1" xml:space="preserve">
IF(INDIRECT(ADDRESS(ROW(A8), $D$4, 1, TRUE, "prepareData"))&lt;&gt;"",
SUBSTITUTE(SUBSTITUTE(SUBSTITUTE(SUBSTITUTE(SUBSTITUTE(SUBSTITUTE(SUBSTITUTE($C$2,
$C$4,INDIRECT(ADDRESS(ROW(A8), $D$4, 1, TRUE, "prepareData"))),
$C$5,INDIRECT(ADDRESS(ROW(A8), $D$5, 1, TRUE, "prepareData"))),
$C$6,INDIRECT(ADDRESS(ROW(A8), $D$6, 1, TRUE, "prepareData"))),
$C$7,INDIRECT(ADDRESS(ROW(A8), $D$7, 1, TRUE, "prepareData"))),
$C$8,INDIRECT(ADDRESS(ROW(A8), $D$8, 1, TRUE, "prepareData"))),
$C$9,INDIRECT(ADDRESS(ROW(A8), $D$9, 1, TRUE, "prepareData"))),
$C$10,INDIRECT(ADDRESS(ROW(A8), $D$10, 1, TRUE, "prepareData"))),
IF(AND(C17&lt;&gt;"",C17&lt;&gt;CHAR(10)&amp;"]"),"",""))
&amp;IF(ROW(C6)&lt;$A$12,","&amp;CHAR(10),"")</f>
        <v xml:space="preserve">    {
        "data": {
            "id": 99999936006,
            "date": "2023/1/25",
            "label": "クラスターNo.936\n2023/1/25\n酒田市\n- ー"
        },
        "classes": ["multiline-manual", "else"]
    },
</v>
      </c>
    </row>
    <row r="19" spans="2:3" x14ac:dyDescent="0.4">
      <c r="B19" t="s">
        <v>21</v>
      </c>
      <c r="C19" s="2" t="str" cm="1">
        <f t="array" aca="1" ref="C19" ca="1" xml:space="preserve">
IF(INDIRECT(ADDRESS(ROW(A9), $D$4, 1, TRUE, "prepareData"))&lt;&gt;"",
SUBSTITUTE(SUBSTITUTE(SUBSTITUTE(SUBSTITUTE(SUBSTITUTE(SUBSTITUTE(SUBSTITUTE($C$2,
$C$4,INDIRECT(ADDRESS(ROW(A9), $D$4, 1, TRUE, "prepareData"))),
$C$5,INDIRECT(ADDRESS(ROW(A9), $D$5, 1, TRUE, "prepareData"))),
$C$6,INDIRECT(ADDRESS(ROW(A9), $D$6, 1, TRUE, "prepareData"))),
$C$7,INDIRECT(ADDRESS(ROW(A9), $D$7, 1, TRUE, "prepareData"))),
$C$8,INDIRECT(ADDRESS(ROW(A9), $D$8, 1, TRUE, "prepareData"))),
$C$9,INDIRECT(ADDRESS(ROW(A9), $D$9, 1, TRUE, "prepareData"))),
$C$10,INDIRECT(ADDRESS(ROW(A9), $D$10, 1, TRUE, "prepareData"))),
IF(AND(C18&lt;&gt;"",C18&lt;&gt;CHAR(10)&amp;"]"),"",""))
&amp;IF(ROW(C7)&lt;$A$12,","&amp;CHAR(10),"")</f>
        <v xml:space="preserve">    {
        "data": {
            "id": 99999936007,
            "date": "2023/1/25",
            "label": "クラスターNo.936\n2023/1/25\n酒田市\n- ー"
        },
        "classes": ["multiline-manual", "else"]
    },
</v>
      </c>
    </row>
    <row r="20" spans="2:3" x14ac:dyDescent="0.4">
      <c r="B20" t="s">
        <v>21</v>
      </c>
      <c r="C20" s="2" t="str" cm="1">
        <f t="array" aca="1" ref="C20" ca="1" xml:space="preserve">
IF(INDIRECT(ADDRESS(ROW(A10), $D$4, 1, TRUE, "prepareData"))&lt;&gt;"",
SUBSTITUTE(SUBSTITUTE(SUBSTITUTE(SUBSTITUTE(SUBSTITUTE(SUBSTITUTE(SUBSTITUTE($C$2,
$C$4,INDIRECT(ADDRESS(ROW(A10), $D$4, 1, TRUE, "prepareData"))),
$C$5,INDIRECT(ADDRESS(ROW(A10), $D$5, 1, TRUE, "prepareData"))),
$C$6,INDIRECT(ADDRESS(ROW(A10), $D$6, 1, TRUE, "prepareData"))),
$C$7,INDIRECT(ADDRESS(ROW(A10), $D$7, 1, TRUE, "prepareData"))),
$C$8,INDIRECT(ADDRESS(ROW(A10), $D$8, 1, TRUE, "prepareData"))),
$C$9,INDIRECT(ADDRESS(ROW(A10), $D$9, 1, TRUE, "prepareData"))),
$C$10,INDIRECT(ADDRESS(ROW(A10), $D$10, 1, TRUE, "prepareData"))),
IF(AND(C19&lt;&gt;"",C19&lt;&gt;CHAR(10)&amp;"]"),"",""))
&amp;IF(ROW(C8)&lt;$A$12,","&amp;CHAR(10),"")</f>
        <v xml:space="preserve">    {
        "data": {
            "id": 99999936008,
            "date": "2023/1/25",
            "label": "クラスターNo.936\n2023/1/25\n酒田市\n- ー"
        },
        "classes": ["multiline-manual", "else"]
    },
</v>
      </c>
    </row>
    <row r="21" spans="2:3" x14ac:dyDescent="0.4">
      <c r="B21" t="s">
        <v>21</v>
      </c>
      <c r="C21" s="2" t="str" cm="1">
        <f t="array" aca="1" ref="C21" ca="1" xml:space="preserve">
IF(INDIRECT(ADDRESS(ROW(A11), $D$4, 1, TRUE, "prepareData"))&lt;&gt;"",
SUBSTITUTE(SUBSTITUTE(SUBSTITUTE(SUBSTITUTE(SUBSTITUTE(SUBSTITUTE(SUBSTITUTE($C$2,
$C$4,INDIRECT(ADDRESS(ROW(A11), $D$4, 1, TRUE, "prepareData"))),
$C$5,INDIRECT(ADDRESS(ROW(A11), $D$5, 1, TRUE, "prepareData"))),
$C$6,INDIRECT(ADDRESS(ROW(A11), $D$6, 1, TRUE, "prepareData"))),
$C$7,INDIRECT(ADDRESS(ROW(A11), $D$7, 1, TRUE, "prepareData"))),
$C$8,INDIRECT(ADDRESS(ROW(A11), $D$8, 1, TRUE, "prepareData"))),
$C$9,INDIRECT(ADDRESS(ROW(A11), $D$9, 1, TRUE, "prepareData"))),
$C$10,INDIRECT(ADDRESS(ROW(A11), $D$10, 1, TRUE, "prepareData"))),
IF(AND(C20&lt;&gt;"",C20&lt;&gt;CHAR(10)&amp;"]"),"",""))
&amp;IF(ROW(C9)&lt;$A$12,","&amp;CHAR(10),"")</f>
        <v xml:space="preserve">    {
        "data": {
            "id": 99999936009,
            "date": "2023/1/25",
            "label": "クラスターNo.936\n2023/1/25\n酒田市\n- ー"
        },
        "classes": ["multiline-manual", "else"]
    },
</v>
      </c>
    </row>
    <row r="22" spans="2:3" x14ac:dyDescent="0.4">
      <c r="B22" t="s">
        <v>21</v>
      </c>
      <c r="C22" s="2" t="str" cm="1">
        <f t="array" aca="1" ref="C22" ca="1" xml:space="preserve">
IF(INDIRECT(ADDRESS(ROW(A12), $D$4, 1, TRUE, "prepareData"))&lt;&gt;"",
SUBSTITUTE(SUBSTITUTE(SUBSTITUTE(SUBSTITUTE(SUBSTITUTE(SUBSTITUTE(SUBSTITUTE($C$2,
$C$4,INDIRECT(ADDRESS(ROW(A12), $D$4, 1, TRUE, "prepareData"))),
$C$5,INDIRECT(ADDRESS(ROW(A12), $D$5, 1, TRUE, "prepareData"))),
$C$6,INDIRECT(ADDRESS(ROW(A12), $D$6, 1, TRUE, "prepareData"))),
$C$7,INDIRECT(ADDRESS(ROW(A12), $D$7, 1, TRUE, "prepareData"))),
$C$8,INDIRECT(ADDRESS(ROW(A12), $D$8, 1, TRUE, "prepareData"))),
$C$9,INDIRECT(ADDRESS(ROW(A12), $D$9, 1, TRUE, "prepareData"))),
$C$10,INDIRECT(ADDRESS(ROW(A12), $D$10, 1, TRUE, "prepareData"))),
IF(AND(C21&lt;&gt;"",C21&lt;&gt;CHAR(10)&amp;"]"),"",""))
&amp;IF(ROW(C10)&lt;$A$12,","&amp;CHAR(10),"")</f>
        <v xml:space="preserve">    {
        "data": {
            "id": 99999936010,
            "date": "2023/1/25",
            "label": "クラスターNo.936\n2023/1/25\n酒田市\n- ー"
        },
        "classes": ["multiline-manual", "else"]
    },
</v>
      </c>
    </row>
    <row r="23" spans="2:3" x14ac:dyDescent="0.4">
      <c r="B23" t="s">
        <v>21</v>
      </c>
      <c r="C23" s="2" t="str" cm="1">
        <f t="array" aca="1" ref="C23" ca="1" xml:space="preserve">
IF(INDIRECT(ADDRESS(ROW(A13), $D$4, 1, TRUE, "prepareData"))&lt;&gt;"",
SUBSTITUTE(SUBSTITUTE(SUBSTITUTE(SUBSTITUTE(SUBSTITUTE(SUBSTITUTE(SUBSTITUTE($C$2,
$C$4,INDIRECT(ADDRESS(ROW(A13), $D$4, 1, TRUE, "prepareData"))),
$C$5,INDIRECT(ADDRESS(ROW(A13), $D$5, 1, TRUE, "prepareData"))),
$C$6,INDIRECT(ADDRESS(ROW(A13), $D$6, 1, TRUE, "prepareData"))),
$C$7,INDIRECT(ADDRESS(ROW(A13), $D$7, 1, TRUE, "prepareData"))),
$C$8,INDIRECT(ADDRESS(ROW(A13), $D$8, 1, TRUE, "prepareData"))),
$C$9,INDIRECT(ADDRESS(ROW(A13), $D$9, 1, TRUE, "prepareData"))),
$C$10,INDIRECT(ADDRESS(ROW(A13), $D$10, 1, TRUE, "prepareData"))),
IF(AND(C22&lt;&gt;"",C22&lt;&gt;CHAR(10)&amp;"]"),"",""))
&amp;IF(ROW(C11)&lt;$A$12,","&amp;CHAR(10),"")</f>
        <v xml:space="preserve">    {
        "data": {
            "id": 99999936011,
            "date": "2023/1/25",
            "label": "クラスターNo.936\n2023/1/25\n酒田市\n- ー"
        },
        "classes": ["multiline-manual", "else"]
    },
</v>
      </c>
    </row>
    <row r="24" spans="2:3" x14ac:dyDescent="0.4">
      <c r="B24" t="s">
        <v>21</v>
      </c>
      <c r="C24" s="2" t="str" cm="1">
        <f t="array" aca="1" ref="C24" ca="1" xml:space="preserve">
IF(INDIRECT(ADDRESS(ROW(A14), $D$4, 1, TRUE, "prepareData"))&lt;&gt;"",
SUBSTITUTE(SUBSTITUTE(SUBSTITUTE(SUBSTITUTE(SUBSTITUTE(SUBSTITUTE(SUBSTITUTE($C$2,
$C$4,INDIRECT(ADDRESS(ROW(A14), $D$4, 1, TRUE, "prepareData"))),
$C$5,INDIRECT(ADDRESS(ROW(A14), $D$5, 1, TRUE, "prepareData"))),
$C$6,INDIRECT(ADDRESS(ROW(A14), $D$6, 1, TRUE, "prepareData"))),
$C$7,INDIRECT(ADDRESS(ROW(A14), $D$7, 1, TRUE, "prepareData"))),
$C$8,INDIRECT(ADDRESS(ROW(A14), $D$8, 1, TRUE, "prepareData"))),
$C$9,INDIRECT(ADDRESS(ROW(A14), $D$9, 1, TRUE, "prepareData"))),
$C$10,INDIRECT(ADDRESS(ROW(A14), $D$10, 1, TRUE, "prepareData"))),
IF(AND(C23&lt;&gt;"",C23&lt;&gt;CHAR(10)&amp;"]"),"",""))
&amp;IF(ROW(C12)&lt;$A$12,","&amp;CHAR(10),"")</f>
        <v xml:space="preserve">    {
        "data": {
            "id": 99999936012,
            "date": "2023/1/25",
            "label": "クラスターNo.936\n2023/1/25\n酒田市\n- ー"
        },
        "classes": ["multiline-manual", "else"]
    },
</v>
      </c>
    </row>
    <row r="25" spans="2:3" x14ac:dyDescent="0.4">
      <c r="B25" t="s">
        <v>21</v>
      </c>
      <c r="C25" s="2" t="str" cm="1">
        <f t="array" aca="1" ref="C25" ca="1" xml:space="preserve">
IF(INDIRECT(ADDRESS(ROW(A15), $D$4, 1, TRUE, "prepareData"))&lt;&gt;"",
SUBSTITUTE(SUBSTITUTE(SUBSTITUTE(SUBSTITUTE(SUBSTITUTE(SUBSTITUTE(SUBSTITUTE($C$2,
$C$4,INDIRECT(ADDRESS(ROW(A15), $D$4, 1, TRUE, "prepareData"))),
$C$5,INDIRECT(ADDRESS(ROW(A15), $D$5, 1, TRUE, "prepareData"))),
$C$6,INDIRECT(ADDRESS(ROW(A15), $D$6, 1, TRUE, "prepareData"))),
$C$7,INDIRECT(ADDRESS(ROW(A15), $D$7, 1, TRUE, "prepareData"))),
$C$8,INDIRECT(ADDRESS(ROW(A15), $D$8, 1, TRUE, "prepareData"))),
$C$9,INDIRECT(ADDRESS(ROW(A15), $D$9, 1, TRUE, "prepareData"))),
$C$10,INDIRECT(ADDRESS(ROW(A15), $D$10, 1, TRUE, "prepareData"))),
IF(AND(C24&lt;&gt;"",C24&lt;&gt;CHAR(10)&amp;"]"),"",""))
&amp;IF(ROW(C13)&lt;$A$12,","&amp;CHAR(10),"")</f>
        <v xml:space="preserve">    {
        "data": {
            "id": 99999936013,
            "date": "2023/1/25",
            "label": "クラスターNo.936\n2023/1/25\n酒田市\n- ー"
        },
        "classes": ["multiline-manual", "else"]
    },
</v>
      </c>
    </row>
    <row r="26" spans="2:3" x14ac:dyDescent="0.4">
      <c r="B26" t="s">
        <v>21</v>
      </c>
      <c r="C26" s="2" t="str" cm="1">
        <f t="array" aca="1" ref="C26" ca="1" xml:space="preserve">
IF(INDIRECT(ADDRESS(ROW(A16), $D$4, 1, TRUE, "prepareData"))&lt;&gt;"",
SUBSTITUTE(SUBSTITUTE(SUBSTITUTE(SUBSTITUTE(SUBSTITUTE(SUBSTITUTE(SUBSTITUTE($C$2,
$C$4,INDIRECT(ADDRESS(ROW(A16), $D$4, 1, TRUE, "prepareData"))),
$C$5,INDIRECT(ADDRESS(ROW(A16), $D$5, 1, TRUE, "prepareData"))),
$C$6,INDIRECT(ADDRESS(ROW(A16), $D$6, 1, TRUE, "prepareData"))),
$C$7,INDIRECT(ADDRESS(ROW(A16), $D$7, 1, TRUE, "prepareData"))),
$C$8,INDIRECT(ADDRESS(ROW(A16), $D$8, 1, TRUE, "prepareData"))),
$C$9,INDIRECT(ADDRESS(ROW(A16), $D$9, 1, TRUE, "prepareData"))),
$C$10,INDIRECT(ADDRESS(ROW(A16), $D$10, 1, TRUE, "prepareData"))),
IF(AND(C25&lt;&gt;"",C25&lt;&gt;CHAR(10)&amp;"]"),"",""))
&amp;IF(ROW(C14)&lt;$A$12,","&amp;CHAR(10),"")</f>
        <v xml:space="preserve">    {
        "data": {
            "id": 99999936014,
            "date": "2023/1/25",
            "label": "クラスターNo.936\n2023/1/25\n酒田市\n- ー"
        },
        "classes": ["multiline-manual", "else"]
    },
</v>
      </c>
    </row>
    <row r="27" spans="2:3" x14ac:dyDescent="0.4">
      <c r="B27" t="s">
        <v>21</v>
      </c>
      <c r="C27" s="2" t="str" cm="1">
        <f t="array" aca="1" ref="C27" ca="1" xml:space="preserve">
IF(INDIRECT(ADDRESS(ROW(A17), $D$4, 1, TRUE, "prepareData"))&lt;&gt;"",
SUBSTITUTE(SUBSTITUTE(SUBSTITUTE(SUBSTITUTE(SUBSTITUTE(SUBSTITUTE(SUBSTITUTE($C$2,
$C$4,INDIRECT(ADDRESS(ROW(A17), $D$4, 1, TRUE, "prepareData"))),
$C$5,INDIRECT(ADDRESS(ROW(A17), $D$5, 1, TRUE, "prepareData"))),
$C$6,INDIRECT(ADDRESS(ROW(A17), $D$6, 1, TRUE, "prepareData"))),
$C$7,INDIRECT(ADDRESS(ROW(A17), $D$7, 1, TRUE, "prepareData"))),
$C$8,INDIRECT(ADDRESS(ROW(A17), $D$8, 1, TRUE, "prepareData"))),
$C$9,INDIRECT(ADDRESS(ROW(A17), $D$9, 1, TRUE, "prepareData"))),
$C$10,INDIRECT(ADDRESS(ROW(A17), $D$10, 1, TRUE, "prepareData"))),
IF(AND(C26&lt;&gt;"",C26&lt;&gt;CHAR(10)&amp;"]"),"",""))
&amp;IF(ROW(C15)&lt;$A$12,","&amp;CHAR(10),"")</f>
        <v xml:space="preserve">    {
        "data": {
            "id": 99999937001,
            "date": "2023/1/25",
            "label": "クラスターNo.937\n2023/1/25\n山形市\n- ー"
        },
        "classes": ["multiline-manual", "else"]
    },
</v>
      </c>
    </row>
    <row r="28" spans="2:3" x14ac:dyDescent="0.4">
      <c r="B28" t="s">
        <v>21</v>
      </c>
      <c r="C28" s="2" t="str" cm="1">
        <f t="array" aca="1" ref="C28" ca="1" xml:space="preserve">
IF(INDIRECT(ADDRESS(ROW(A18), $D$4, 1, TRUE, "prepareData"))&lt;&gt;"",
SUBSTITUTE(SUBSTITUTE(SUBSTITUTE(SUBSTITUTE(SUBSTITUTE(SUBSTITUTE(SUBSTITUTE($C$2,
$C$4,INDIRECT(ADDRESS(ROW(A18), $D$4, 1, TRUE, "prepareData"))),
$C$5,INDIRECT(ADDRESS(ROW(A18), $D$5, 1, TRUE, "prepareData"))),
$C$6,INDIRECT(ADDRESS(ROW(A18), $D$6, 1, TRUE, "prepareData"))),
$C$7,INDIRECT(ADDRESS(ROW(A18), $D$7, 1, TRUE, "prepareData"))),
$C$8,INDIRECT(ADDRESS(ROW(A18), $D$8, 1, TRUE, "prepareData"))),
$C$9,INDIRECT(ADDRESS(ROW(A18), $D$9, 1, TRUE, "prepareData"))),
$C$10,INDIRECT(ADDRESS(ROW(A18), $D$10, 1, TRUE, "prepareData"))),
IF(AND(C27&lt;&gt;"",C27&lt;&gt;CHAR(10)&amp;"]"),"",""))
&amp;IF(ROW(C16)&lt;$A$12,","&amp;CHAR(10),"")</f>
        <v xml:space="preserve">    {
        "data": {
            "id": 99999938001,
            "date": "2023/1/25",
            "label": "クラスターNo.938\n2023/1/25\n山形市\n- ー"
        },
        "classes": ["multiline-manual", "else"]
    }</v>
      </c>
    </row>
    <row r="29" spans="2:3" x14ac:dyDescent="0.4">
      <c r="B29" t="s">
        <v>21</v>
      </c>
      <c r="C29" s="2" t="str" cm="1">
        <f t="array" aca="1" ref="C29" ca="1" xml:space="preserve">
IF(INDIRECT(ADDRESS(ROW(A19), $D$4, 1, TRUE, "prepareData"))&lt;&gt;"",
SUBSTITUTE(SUBSTITUTE(SUBSTITUTE(SUBSTITUTE(SUBSTITUTE(SUBSTITUTE(SUBSTITUTE($C$2,
$C$4,INDIRECT(ADDRESS(ROW(A19), $D$4, 1, TRUE, "prepareData"))),
$C$5,INDIRECT(ADDRESS(ROW(A19), $D$5, 1, TRUE, "prepareData"))),
$C$6,INDIRECT(ADDRESS(ROW(A19), $D$6, 1, TRUE, "prepareData"))),
$C$7,INDIRECT(ADDRESS(ROW(A19), $D$7, 1, TRUE, "prepareData"))),
$C$8,INDIRECT(ADDRESS(ROW(A19), $D$8, 1, TRUE, "prepareData"))),
$C$9,INDIRECT(ADDRESS(ROW(A19), $D$9, 1, TRUE, "prepareData"))),
$C$10,INDIRECT(ADDRESS(ROW(A19), $D$10, 1, TRUE, "prepareData"))),
IF(AND(C28&lt;&gt;"",C28&lt;&gt;CHAR(10)&amp;"]"),"",""))
&amp;IF(ROW(C17)&lt;$A$12,","&amp;CHAR(10),"")</f>
        <v/>
      </c>
    </row>
    <row r="30" spans="2:3" x14ac:dyDescent="0.4">
      <c r="B30" t="s">
        <v>21</v>
      </c>
      <c r="C30" s="2" t="str" cm="1">
        <f t="array" aca="1" ref="C30" ca="1" xml:space="preserve">
IF(INDIRECT(ADDRESS(ROW(A20), $D$4, 1, TRUE, "prepareData"))&lt;&gt;"",
SUBSTITUTE(SUBSTITUTE(SUBSTITUTE(SUBSTITUTE(SUBSTITUTE(SUBSTITUTE(SUBSTITUTE($C$2,
$C$4,INDIRECT(ADDRESS(ROW(A20), $D$4, 1, TRUE, "prepareData"))),
$C$5,INDIRECT(ADDRESS(ROW(A20), $D$5, 1, TRUE, "prepareData"))),
$C$6,INDIRECT(ADDRESS(ROW(A20), $D$6, 1, TRUE, "prepareData"))),
$C$7,INDIRECT(ADDRESS(ROW(A20), $D$7, 1, TRUE, "prepareData"))),
$C$8,INDIRECT(ADDRESS(ROW(A20), $D$8, 1, TRUE, "prepareData"))),
$C$9,INDIRECT(ADDRESS(ROW(A20), $D$9, 1, TRUE, "prepareData"))),
$C$10,INDIRECT(ADDRESS(ROW(A20), $D$10, 1, TRUE, "prepareData"))),
IF(AND(C29&lt;&gt;"",C29&lt;&gt;CHAR(10)&amp;"]"),"",""))
&amp;IF(ROW(C18)&lt;$A$12,","&amp;CHAR(10),"")</f>
        <v/>
      </c>
    </row>
    <row r="31" spans="2:3" x14ac:dyDescent="0.4">
      <c r="B31" t="s">
        <v>21</v>
      </c>
      <c r="C31" s="2" t="str" cm="1">
        <f t="array" aca="1" ref="C31" ca="1" xml:space="preserve">
IF(INDIRECT(ADDRESS(ROW(A21), $D$4, 1, TRUE, "prepareData"))&lt;&gt;"",
SUBSTITUTE(SUBSTITUTE(SUBSTITUTE(SUBSTITUTE(SUBSTITUTE(SUBSTITUTE(SUBSTITUTE($C$2,
$C$4,INDIRECT(ADDRESS(ROW(A21), $D$4, 1, TRUE, "prepareData"))),
$C$5,INDIRECT(ADDRESS(ROW(A21), $D$5, 1, TRUE, "prepareData"))),
$C$6,INDIRECT(ADDRESS(ROW(A21), $D$6, 1, TRUE, "prepareData"))),
$C$7,INDIRECT(ADDRESS(ROW(A21), $D$7, 1, TRUE, "prepareData"))),
$C$8,INDIRECT(ADDRESS(ROW(A21), $D$8, 1, TRUE, "prepareData"))),
$C$9,INDIRECT(ADDRESS(ROW(A21), $D$9, 1, TRUE, "prepareData"))),
$C$10,INDIRECT(ADDRESS(ROW(A21), $D$10, 1, TRUE, "prepareData"))),
IF(AND(C30&lt;&gt;"",C30&lt;&gt;CHAR(10)&amp;"]"),"",""))
&amp;IF(ROW(C19)&lt;$A$12,","&amp;CHAR(10),"")</f>
        <v/>
      </c>
    </row>
    <row r="32" spans="2:3" x14ac:dyDescent="0.4">
      <c r="B32" t="s">
        <v>21</v>
      </c>
      <c r="C32" s="2" t="str" cm="1">
        <f t="array" aca="1" ref="C32" ca="1" xml:space="preserve">
IF(INDIRECT(ADDRESS(ROW(A22), $D$4, 1, TRUE, "prepareData"))&lt;&gt;"",
SUBSTITUTE(SUBSTITUTE(SUBSTITUTE(SUBSTITUTE(SUBSTITUTE(SUBSTITUTE(SUBSTITUTE($C$2,
$C$4,INDIRECT(ADDRESS(ROW(A22), $D$4, 1, TRUE, "prepareData"))),
$C$5,INDIRECT(ADDRESS(ROW(A22), $D$5, 1, TRUE, "prepareData"))),
$C$6,INDIRECT(ADDRESS(ROW(A22), $D$6, 1, TRUE, "prepareData"))),
$C$7,INDIRECT(ADDRESS(ROW(A22), $D$7, 1, TRUE, "prepareData"))),
$C$8,INDIRECT(ADDRESS(ROW(A22), $D$8, 1, TRUE, "prepareData"))),
$C$9,INDIRECT(ADDRESS(ROW(A22), $D$9, 1, TRUE, "prepareData"))),
$C$10,INDIRECT(ADDRESS(ROW(A22), $D$10, 1, TRUE, "prepareData"))),
IF(AND(C31&lt;&gt;"",C31&lt;&gt;CHAR(10)&amp;"]"),"",""))
&amp;IF(ROW(C20)&lt;$A$12,","&amp;CHAR(10),"")</f>
        <v/>
      </c>
    </row>
    <row r="33" spans="2:3" x14ac:dyDescent="0.4">
      <c r="B33" t="s">
        <v>21</v>
      </c>
      <c r="C33" s="2" t="str" cm="1">
        <f t="array" aca="1" ref="C33" ca="1" xml:space="preserve">
IF(INDIRECT(ADDRESS(ROW(A23), $D$4, 1, TRUE, "prepareData"))&lt;&gt;"",
SUBSTITUTE(SUBSTITUTE(SUBSTITUTE(SUBSTITUTE(SUBSTITUTE(SUBSTITUTE(SUBSTITUTE($C$2,
$C$4,INDIRECT(ADDRESS(ROW(A23), $D$4, 1, TRUE, "prepareData"))),
$C$5,INDIRECT(ADDRESS(ROW(A23), $D$5, 1, TRUE, "prepareData"))),
$C$6,INDIRECT(ADDRESS(ROW(A23), $D$6, 1, TRUE, "prepareData"))),
$C$7,INDIRECT(ADDRESS(ROW(A23), $D$7, 1, TRUE, "prepareData"))),
$C$8,INDIRECT(ADDRESS(ROW(A23), $D$8, 1, TRUE, "prepareData"))),
$C$9,INDIRECT(ADDRESS(ROW(A23), $D$9, 1, TRUE, "prepareData"))),
$C$10,INDIRECT(ADDRESS(ROW(A23), $D$10, 1, TRUE, "prepareData"))),
IF(AND(C32&lt;&gt;"",C32&lt;&gt;CHAR(10)&amp;"]"),"",""))
&amp;IF(ROW(C21)&lt;$A$12,","&amp;CHAR(10),"")</f>
        <v/>
      </c>
    </row>
    <row r="34" spans="2:3" x14ac:dyDescent="0.4">
      <c r="B34" t="s">
        <v>21</v>
      </c>
      <c r="C34" s="2" t="str" cm="1">
        <f t="array" aca="1" ref="C34" ca="1" xml:space="preserve">
IF(INDIRECT(ADDRESS(ROW(A24), $D$4, 1, TRUE, "prepareData"))&lt;&gt;"",
SUBSTITUTE(SUBSTITUTE(SUBSTITUTE(SUBSTITUTE(SUBSTITUTE(SUBSTITUTE(SUBSTITUTE($C$2,
$C$4,INDIRECT(ADDRESS(ROW(A24), $D$4, 1, TRUE, "prepareData"))),
$C$5,INDIRECT(ADDRESS(ROW(A24), $D$5, 1, TRUE, "prepareData"))),
$C$6,INDIRECT(ADDRESS(ROW(A24), $D$6, 1, TRUE, "prepareData"))),
$C$7,INDIRECT(ADDRESS(ROW(A24), $D$7, 1, TRUE, "prepareData"))),
$C$8,INDIRECT(ADDRESS(ROW(A24), $D$8, 1, TRUE, "prepareData"))),
$C$9,INDIRECT(ADDRESS(ROW(A24), $D$9, 1, TRUE, "prepareData"))),
$C$10,INDIRECT(ADDRESS(ROW(A24), $D$10, 1, TRUE, "prepareData"))),
IF(AND(C33&lt;&gt;"",C33&lt;&gt;CHAR(10)&amp;"]"),"",""))
&amp;IF(ROW(C22)&lt;$A$12,","&amp;CHAR(10),"")</f>
        <v/>
      </c>
    </row>
    <row r="35" spans="2:3" x14ac:dyDescent="0.4">
      <c r="B35" t="s">
        <v>21</v>
      </c>
      <c r="C35" s="2" t="str" cm="1">
        <f t="array" aca="1" ref="C35" ca="1" xml:space="preserve">
IF(INDIRECT(ADDRESS(ROW(A25), $D$4, 1, TRUE, "prepareData"))&lt;&gt;"",
SUBSTITUTE(SUBSTITUTE(SUBSTITUTE(SUBSTITUTE(SUBSTITUTE(SUBSTITUTE(SUBSTITUTE($C$2,
$C$4,INDIRECT(ADDRESS(ROW(A25), $D$4, 1, TRUE, "prepareData"))),
$C$5,INDIRECT(ADDRESS(ROW(A25), $D$5, 1, TRUE, "prepareData"))),
$C$6,INDIRECT(ADDRESS(ROW(A25), $D$6, 1, TRUE, "prepareData"))),
$C$7,INDIRECT(ADDRESS(ROW(A25), $D$7, 1, TRUE, "prepareData"))),
$C$8,INDIRECT(ADDRESS(ROW(A25), $D$8, 1, TRUE, "prepareData"))),
$C$9,INDIRECT(ADDRESS(ROW(A25), $D$9, 1, TRUE, "prepareData"))),
$C$10,INDIRECT(ADDRESS(ROW(A25), $D$10, 1, TRUE, "prepareData"))),
IF(AND(C34&lt;&gt;"",C34&lt;&gt;CHAR(10)&amp;"]"),"",""))
&amp;IF(ROW(C23)&lt;$A$12,","&amp;CHAR(10),"")</f>
        <v/>
      </c>
    </row>
    <row r="36" spans="2:3" x14ac:dyDescent="0.4">
      <c r="B36" t="s">
        <v>21</v>
      </c>
      <c r="C36" s="2" t="str" cm="1">
        <f t="array" aca="1" ref="C36" ca="1" xml:space="preserve">
IF(INDIRECT(ADDRESS(ROW(A26), $D$4, 1, TRUE, "prepareData"))&lt;&gt;"",
SUBSTITUTE(SUBSTITUTE(SUBSTITUTE(SUBSTITUTE(SUBSTITUTE(SUBSTITUTE(SUBSTITUTE($C$2,
$C$4,INDIRECT(ADDRESS(ROW(A26), $D$4, 1, TRUE, "prepareData"))),
$C$5,INDIRECT(ADDRESS(ROW(A26), $D$5, 1, TRUE, "prepareData"))),
$C$6,INDIRECT(ADDRESS(ROW(A26), $D$6, 1, TRUE, "prepareData"))),
$C$7,INDIRECT(ADDRESS(ROW(A26), $D$7, 1, TRUE, "prepareData"))),
$C$8,INDIRECT(ADDRESS(ROW(A26), $D$8, 1, TRUE, "prepareData"))),
$C$9,INDIRECT(ADDRESS(ROW(A26), $D$9, 1, TRUE, "prepareData"))),
$C$10,INDIRECT(ADDRESS(ROW(A26), $D$10, 1, TRUE, "prepareData"))),
IF(AND(C35&lt;&gt;"",C35&lt;&gt;CHAR(10)&amp;"]"),"",""))
&amp;IF(ROW(C24)&lt;$A$12,","&amp;CHAR(10),"")</f>
        <v/>
      </c>
    </row>
    <row r="37" spans="2:3" x14ac:dyDescent="0.4">
      <c r="B37" t="s">
        <v>21</v>
      </c>
      <c r="C37" s="2" t="str" cm="1">
        <f t="array" aca="1" ref="C37" ca="1" xml:space="preserve">
IF(INDIRECT(ADDRESS(ROW(A27), $D$4, 1, TRUE, "prepareData"))&lt;&gt;"",
SUBSTITUTE(SUBSTITUTE(SUBSTITUTE(SUBSTITUTE(SUBSTITUTE(SUBSTITUTE(SUBSTITUTE($C$2,
$C$4,INDIRECT(ADDRESS(ROW(A27), $D$4, 1, TRUE, "prepareData"))),
$C$5,INDIRECT(ADDRESS(ROW(A27), $D$5, 1, TRUE, "prepareData"))),
$C$6,INDIRECT(ADDRESS(ROW(A27), $D$6, 1, TRUE, "prepareData"))),
$C$7,INDIRECT(ADDRESS(ROW(A27), $D$7, 1, TRUE, "prepareData"))),
$C$8,INDIRECT(ADDRESS(ROW(A27), $D$8, 1, TRUE, "prepareData"))),
$C$9,INDIRECT(ADDRESS(ROW(A27), $D$9, 1, TRUE, "prepareData"))),
$C$10,INDIRECT(ADDRESS(ROW(A27), $D$10, 1, TRUE, "prepareData"))),
IF(AND(C36&lt;&gt;"",C36&lt;&gt;CHAR(10)&amp;"]"),"",""))
&amp;IF(ROW(C25)&lt;$A$12,","&amp;CHAR(10),"")</f>
        <v/>
      </c>
    </row>
    <row r="38" spans="2:3" x14ac:dyDescent="0.4">
      <c r="B38" t="s">
        <v>21</v>
      </c>
      <c r="C38" s="2" t="str" cm="1">
        <f t="array" aca="1" ref="C38" ca="1" xml:space="preserve">
IF(INDIRECT(ADDRESS(ROW(A28), $D$4, 1, TRUE, "prepareData"))&lt;&gt;"",
SUBSTITUTE(SUBSTITUTE(SUBSTITUTE(SUBSTITUTE(SUBSTITUTE(SUBSTITUTE(SUBSTITUTE($C$2,
$C$4,INDIRECT(ADDRESS(ROW(A28), $D$4, 1, TRUE, "prepareData"))),
$C$5,INDIRECT(ADDRESS(ROW(A28), $D$5, 1, TRUE, "prepareData"))),
$C$6,INDIRECT(ADDRESS(ROW(A28), $D$6, 1, TRUE, "prepareData"))),
$C$7,INDIRECT(ADDRESS(ROW(A28), $D$7, 1, TRUE, "prepareData"))),
$C$8,INDIRECT(ADDRESS(ROW(A28), $D$8, 1, TRUE, "prepareData"))),
$C$9,INDIRECT(ADDRESS(ROW(A28), $D$9, 1, TRUE, "prepareData"))),
$C$10,INDIRECT(ADDRESS(ROW(A28), $D$10, 1, TRUE, "prepareData"))),
IF(AND(C37&lt;&gt;"",C37&lt;&gt;CHAR(10)&amp;"]"),"",""))
&amp;IF(ROW(C26)&lt;$A$12,","&amp;CHAR(10),"")</f>
        <v/>
      </c>
    </row>
    <row r="39" spans="2:3" x14ac:dyDescent="0.4">
      <c r="B39" t="s">
        <v>21</v>
      </c>
      <c r="C39" s="2" t="str" cm="1">
        <f t="array" aca="1" ref="C39" ca="1" xml:space="preserve">
IF(INDIRECT(ADDRESS(ROW(A29), $D$4, 1, TRUE, "prepareData"))&lt;&gt;"",
SUBSTITUTE(SUBSTITUTE(SUBSTITUTE(SUBSTITUTE(SUBSTITUTE(SUBSTITUTE(SUBSTITUTE($C$2,
$C$4,INDIRECT(ADDRESS(ROW(A29), $D$4, 1, TRUE, "prepareData"))),
$C$5,INDIRECT(ADDRESS(ROW(A29), $D$5, 1, TRUE, "prepareData"))),
$C$6,INDIRECT(ADDRESS(ROW(A29), $D$6, 1, TRUE, "prepareData"))),
$C$7,INDIRECT(ADDRESS(ROW(A29), $D$7, 1, TRUE, "prepareData"))),
$C$8,INDIRECT(ADDRESS(ROW(A29), $D$8, 1, TRUE, "prepareData"))),
$C$9,INDIRECT(ADDRESS(ROW(A29), $D$9, 1, TRUE, "prepareData"))),
$C$10,INDIRECT(ADDRESS(ROW(A29), $D$10, 1, TRUE, "prepareData"))),
IF(AND(C38&lt;&gt;"",C38&lt;&gt;CHAR(10)&amp;"]"),"",""))
&amp;IF(ROW(C27)&lt;$A$12,","&amp;CHAR(10),"")</f>
        <v/>
      </c>
    </row>
    <row r="40" spans="2:3" x14ac:dyDescent="0.4">
      <c r="B40" t="s">
        <v>21</v>
      </c>
      <c r="C40" s="2" t="str" cm="1">
        <f t="array" aca="1" ref="C40" ca="1" xml:space="preserve">
IF(INDIRECT(ADDRESS(ROW(A30), $D$4, 1, TRUE, "prepareData"))&lt;&gt;"",
SUBSTITUTE(SUBSTITUTE(SUBSTITUTE(SUBSTITUTE(SUBSTITUTE(SUBSTITUTE(SUBSTITUTE($C$2,
$C$4,INDIRECT(ADDRESS(ROW(A30), $D$4, 1, TRUE, "prepareData"))),
$C$5,INDIRECT(ADDRESS(ROW(A30), $D$5, 1, TRUE, "prepareData"))),
$C$6,INDIRECT(ADDRESS(ROW(A30), $D$6, 1, TRUE, "prepareData"))),
$C$7,INDIRECT(ADDRESS(ROW(A30), $D$7, 1, TRUE, "prepareData"))),
$C$8,INDIRECT(ADDRESS(ROW(A30), $D$8, 1, TRUE, "prepareData"))),
$C$9,INDIRECT(ADDRESS(ROW(A30), $D$9, 1, TRUE, "prepareData"))),
$C$10,INDIRECT(ADDRESS(ROW(A30), $D$10, 1, TRUE, "prepareData"))),
IF(AND(C39&lt;&gt;"",C39&lt;&gt;CHAR(10)&amp;"]"),"",""))
&amp;IF(ROW(C28)&lt;$A$12,","&amp;CHAR(10),"")</f>
        <v/>
      </c>
    </row>
    <row r="41" spans="2:3" x14ac:dyDescent="0.4">
      <c r="B41" t="s">
        <v>21</v>
      </c>
      <c r="C41" s="2" t="str" cm="1">
        <f t="array" aca="1" ref="C41" ca="1" xml:space="preserve">
IF(INDIRECT(ADDRESS(ROW(A31), $D$4, 1, TRUE, "prepareData"))&lt;&gt;"",
SUBSTITUTE(SUBSTITUTE(SUBSTITUTE(SUBSTITUTE(SUBSTITUTE(SUBSTITUTE(SUBSTITUTE($C$2,
$C$4,INDIRECT(ADDRESS(ROW(A31), $D$4, 1, TRUE, "prepareData"))),
$C$5,INDIRECT(ADDRESS(ROW(A31), $D$5, 1, TRUE, "prepareData"))),
$C$6,INDIRECT(ADDRESS(ROW(A31), $D$6, 1, TRUE, "prepareData"))),
$C$7,INDIRECT(ADDRESS(ROW(A31), $D$7, 1, TRUE, "prepareData"))),
$C$8,INDIRECT(ADDRESS(ROW(A31), $D$8, 1, TRUE, "prepareData"))),
$C$9,INDIRECT(ADDRESS(ROW(A31), $D$9, 1, TRUE, "prepareData"))),
$C$10,INDIRECT(ADDRESS(ROW(A31), $D$10, 1, TRUE, "prepareData"))),
IF(AND(C40&lt;&gt;"",C40&lt;&gt;CHAR(10)&amp;"]"),"",""))
&amp;IF(ROW(C29)&lt;$A$12,","&amp;CHAR(10),"")</f>
        <v/>
      </c>
    </row>
    <row r="42" spans="2:3" x14ac:dyDescent="0.4">
      <c r="B42" t="s">
        <v>21</v>
      </c>
      <c r="C42" s="2" t="str" cm="1">
        <f t="array" aca="1" ref="C42" ca="1" xml:space="preserve">
IF(INDIRECT(ADDRESS(ROW(A32), $D$4, 1, TRUE, "prepareData"))&lt;&gt;"",
SUBSTITUTE(SUBSTITUTE(SUBSTITUTE(SUBSTITUTE(SUBSTITUTE(SUBSTITUTE(SUBSTITUTE($C$2,
$C$4,INDIRECT(ADDRESS(ROW(A32), $D$4, 1, TRUE, "prepareData"))),
$C$5,INDIRECT(ADDRESS(ROW(A32), $D$5, 1, TRUE, "prepareData"))),
$C$6,INDIRECT(ADDRESS(ROW(A32), $D$6, 1, TRUE, "prepareData"))),
$C$7,INDIRECT(ADDRESS(ROW(A32), $D$7, 1, TRUE, "prepareData"))),
$C$8,INDIRECT(ADDRESS(ROW(A32), $D$8, 1, TRUE, "prepareData"))),
$C$9,INDIRECT(ADDRESS(ROW(A32), $D$9, 1, TRUE, "prepareData"))),
$C$10,INDIRECT(ADDRESS(ROW(A32), $D$10, 1, TRUE, "prepareData"))),
IF(AND(C41&lt;&gt;"",C41&lt;&gt;CHAR(10)&amp;"]"),"",""))
&amp;IF(ROW(C30)&lt;$A$12,","&amp;CHAR(10),"")</f>
        <v/>
      </c>
    </row>
    <row r="43" spans="2:3" x14ac:dyDescent="0.4">
      <c r="B43" t="s">
        <v>21</v>
      </c>
      <c r="C43" s="2" t="str" cm="1">
        <f t="array" aca="1" ref="C43" ca="1" xml:space="preserve">
IF(INDIRECT(ADDRESS(ROW(A33), $D$4, 1, TRUE, "prepareData"))&lt;&gt;"",
SUBSTITUTE(SUBSTITUTE(SUBSTITUTE(SUBSTITUTE(SUBSTITUTE(SUBSTITUTE(SUBSTITUTE($C$2,
$C$4,INDIRECT(ADDRESS(ROW(A33), $D$4, 1, TRUE, "prepareData"))),
$C$5,INDIRECT(ADDRESS(ROW(A33), $D$5, 1, TRUE, "prepareData"))),
$C$6,INDIRECT(ADDRESS(ROW(A33), $D$6, 1, TRUE, "prepareData"))),
$C$7,INDIRECT(ADDRESS(ROW(A33), $D$7, 1, TRUE, "prepareData"))),
$C$8,INDIRECT(ADDRESS(ROW(A33), $D$8, 1, TRUE, "prepareData"))),
$C$9,INDIRECT(ADDRESS(ROW(A33), $D$9, 1, TRUE, "prepareData"))),
$C$10,INDIRECT(ADDRESS(ROW(A33), $D$10, 1, TRUE, "prepareData"))),
IF(AND(C42&lt;&gt;"",C42&lt;&gt;CHAR(10)&amp;"]"),"",""))
&amp;IF(ROW(C31)&lt;$A$12,","&amp;CHAR(10),"")</f>
        <v/>
      </c>
    </row>
    <row r="44" spans="2:3" x14ac:dyDescent="0.4">
      <c r="B44" t="s">
        <v>21</v>
      </c>
      <c r="C44" s="2" t="str" cm="1">
        <f t="array" aca="1" ref="C44" ca="1" xml:space="preserve">
IF(INDIRECT(ADDRESS(ROW(A34), $D$4, 1, TRUE, "prepareData"))&lt;&gt;"",
SUBSTITUTE(SUBSTITUTE(SUBSTITUTE(SUBSTITUTE(SUBSTITUTE(SUBSTITUTE(SUBSTITUTE($C$2,
$C$4,INDIRECT(ADDRESS(ROW(A34), $D$4, 1, TRUE, "prepareData"))),
$C$5,INDIRECT(ADDRESS(ROW(A34), $D$5, 1, TRUE, "prepareData"))),
$C$6,INDIRECT(ADDRESS(ROW(A34), $D$6, 1, TRUE, "prepareData"))),
$C$7,INDIRECT(ADDRESS(ROW(A34), $D$7, 1, TRUE, "prepareData"))),
$C$8,INDIRECT(ADDRESS(ROW(A34), $D$8, 1, TRUE, "prepareData"))),
$C$9,INDIRECT(ADDRESS(ROW(A34), $D$9, 1, TRUE, "prepareData"))),
$C$10,INDIRECT(ADDRESS(ROW(A34), $D$10, 1, TRUE, "prepareData"))),
IF(AND(C43&lt;&gt;"",C43&lt;&gt;CHAR(10)&amp;"]"),"",""))
&amp;IF(ROW(C32)&lt;$A$12,","&amp;CHAR(10),"")</f>
        <v/>
      </c>
    </row>
    <row r="45" spans="2:3" x14ac:dyDescent="0.4">
      <c r="B45" t="s">
        <v>21</v>
      </c>
      <c r="C45" s="2" t="str" cm="1">
        <f t="array" aca="1" ref="C45" ca="1" xml:space="preserve">
IF(INDIRECT(ADDRESS(ROW(A35), $D$4, 1, TRUE, "prepareData"))&lt;&gt;"",
SUBSTITUTE(SUBSTITUTE(SUBSTITUTE(SUBSTITUTE(SUBSTITUTE(SUBSTITUTE(SUBSTITUTE($C$2,
$C$4,INDIRECT(ADDRESS(ROW(A35), $D$4, 1, TRUE, "prepareData"))),
$C$5,INDIRECT(ADDRESS(ROW(A35), $D$5, 1, TRUE, "prepareData"))),
$C$6,INDIRECT(ADDRESS(ROW(A35), $D$6, 1, TRUE, "prepareData"))),
$C$7,INDIRECT(ADDRESS(ROW(A35), $D$7, 1, TRUE, "prepareData"))),
$C$8,INDIRECT(ADDRESS(ROW(A35), $D$8, 1, TRUE, "prepareData"))),
$C$9,INDIRECT(ADDRESS(ROW(A35), $D$9, 1, TRUE, "prepareData"))),
$C$10,INDIRECT(ADDRESS(ROW(A35), $D$10, 1, TRUE, "prepareData"))),
IF(AND(C44&lt;&gt;"",C44&lt;&gt;CHAR(10)&amp;"]"),"",""))
&amp;IF(ROW(C33)&lt;$A$12,","&amp;CHAR(10),"")</f>
        <v/>
      </c>
    </row>
    <row r="46" spans="2:3" x14ac:dyDescent="0.4">
      <c r="B46" t="s">
        <v>21</v>
      </c>
      <c r="C46" s="2" t="str" cm="1">
        <f t="array" aca="1" ref="C46" ca="1" xml:space="preserve">
IF(INDIRECT(ADDRESS(ROW(A36), $D$4, 1, TRUE, "prepareData"))&lt;&gt;"",
SUBSTITUTE(SUBSTITUTE(SUBSTITUTE(SUBSTITUTE(SUBSTITUTE(SUBSTITUTE(SUBSTITUTE($C$2,
$C$4,INDIRECT(ADDRESS(ROW(A36), $D$4, 1, TRUE, "prepareData"))),
$C$5,INDIRECT(ADDRESS(ROW(A36), $D$5, 1, TRUE, "prepareData"))),
$C$6,INDIRECT(ADDRESS(ROW(A36), $D$6, 1, TRUE, "prepareData"))),
$C$7,INDIRECT(ADDRESS(ROW(A36), $D$7, 1, TRUE, "prepareData"))),
$C$8,INDIRECT(ADDRESS(ROW(A36), $D$8, 1, TRUE, "prepareData"))),
$C$9,INDIRECT(ADDRESS(ROW(A36), $D$9, 1, TRUE, "prepareData"))),
$C$10,INDIRECT(ADDRESS(ROW(A36), $D$10, 1, TRUE, "prepareData"))),
IF(AND(C45&lt;&gt;"",C45&lt;&gt;CHAR(10)&amp;"]"),"",""))
&amp;IF(ROW(C34)&lt;$A$12,","&amp;CHAR(10),"")</f>
        <v/>
      </c>
    </row>
    <row r="47" spans="2:3" x14ac:dyDescent="0.4">
      <c r="B47" t="s">
        <v>21</v>
      </c>
      <c r="C47" s="2" t="str" cm="1">
        <f t="array" aca="1" ref="C47" ca="1" xml:space="preserve">
IF(INDIRECT(ADDRESS(ROW(A37), $D$4, 1, TRUE, "prepareData"))&lt;&gt;"",
SUBSTITUTE(SUBSTITUTE(SUBSTITUTE(SUBSTITUTE(SUBSTITUTE(SUBSTITUTE(SUBSTITUTE($C$2,
$C$4,INDIRECT(ADDRESS(ROW(A37), $D$4, 1, TRUE, "prepareData"))),
$C$5,INDIRECT(ADDRESS(ROW(A37), $D$5, 1, TRUE, "prepareData"))),
$C$6,INDIRECT(ADDRESS(ROW(A37), $D$6, 1, TRUE, "prepareData"))),
$C$7,INDIRECT(ADDRESS(ROW(A37), $D$7, 1, TRUE, "prepareData"))),
$C$8,INDIRECT(ADDRESS(ROW(A37), $D$8, 1, TRUE, "prepareData"))),
$C$9,INDIRECT(ADDRESS(ROW(A37), $D$9, 1, TRUE, "prepareData"))),
$C$10,INDIRECT(ADDRESS(ROW(A37), $D$10, 1, TRUE, "prepareData"))),
IF(AND(C46&lt;&gt;"",C46&lt;&gt;CHAR(10)&amp;"]"),"",""))
&amp;IF(ROW(C35)&lt;$A$12,","&amp;CHAR(10),"")</f>
        <v/>
      </c>
    </row>
    <row r="48" spans="2:3" x14ac:dyDescent="0.4">
      <c r="B48" t="s">
        <v>21</v>
      </c>
      <c r="C48" s="2" t="str" cm="1">
        <f t="array" aca="1" ref="C48" ca="1" xml:space="preserve">
IF(INDIRECT(ADDRESS(ROW(A38), $D$4, 1, TRUE, "prepareData"))&lt;&gt;"",
SUBSTITUTE(SUBSTITUTE(SUBSTITUTE(SUBSTITUTE(SUBSTITUTE(SUBSTITUTE(SUBSTITUTE($C$2,
$C$4,INDIRECT(ADDRESS(ROW(A38), $D$4, 1, TRUE, "prepareData"))),
$C$5,INDIRECT(ADDRESS(ROW(A38), $D$5, 1, TRUE, "prepareData"))),
$C$6,INDIRECT(ADDRESS(ROW(A38), $D$6, 1, TRUE, "prepareData"))),
$C$7,INDIRECT(ADDRESS(ROW(A38), $D$7, 1, TRUE, "prepareData"))),
$C$8,INDIRECT(ADDRESS(ROW(A38), $D$8, 1, TRUE, "prepareData"))),
$C$9,INDIRECT(ADDRESS(ROW(A38), $D$9, 1, TRUE, "prepareData"))),
$C$10,INDIRECT(ADDRESS(ROW(A38), $D$10, 1, TRUE, "prepareData"))),
IF(AND(C47&lt;&gt;"",C47&lt;&gt;CHAR(10)&amp;"]"),"",""))
&amp;IF(ROW(C36)&lt;$A$12,","&amp;CHAR(10),"")</f>
        <v/>
      </c>
    </row>
    <row r="49" spans="2:3" x14ac:dyDescent="0.4">
      <c r="B49" t="s">
        <v>21</v>
      </c>
      <c r="C49" s="2" t="str" cm="1">
        <f t="array" aca="1" ref="C49" ca="1" xml:space="preserve">
IF(INDIRECT(ADDRESS(ROW(A39), $D$4, 1, TRUE, "prepareData"))&lt;&gt;"",
SUBSTITUTE(SUBSTITUTE(SUBSTITUTE(SUBSTITUTE(SUBSTITUTE(SUBSTITUTE(SUBSTITUTE($C$2,
$C$4,INDIRECT(ADDRESS(ROW(A39), $D$4, 1, TRUE, "prepareData"))),
$C$5,INDIRECT(ADDRESS(ROW(A39), $D$5, 1, TRUE, "prepareData"))),
$C$6,INDIRECT(ADDRESS(ROW(A39), $D$6, 1, TRUE, "prepareData"))),
$C$7,INDIRECT(ADDRESS(ROW(A39), $D$7, 1, TRUE, "prepareData"))),
$C$8,INDIRECT(ADDRESS(ROW(A39), $D$8, 1, TRUE, "prepareData"))),
$C$9,INDIRECT(ADDRESS(ROW(A39), $D$9, 1, TRUE, "prepareData"))),
$C$10,INDIRECT(ADDRESS(ROW(A39), $D$10, 1, TRUE, "prepareData"))),
IF(AND(C48&lt;&gt;"",C48&lt;&gt;CHAR(10)&amp;"]"),"",""))
&amp;IF(ROW(C37)&lt;$A$12,","&amp;CHAR(10),"")</f>
        <v/>
      </c>
    </row>
    <row r="50" spans="2:3" x14ac:dyDescent="0.4">
      <c r="B50" t="s">
        <v>21</v>
      </c>
      <c r="C50" s="2" t="str" cm="1">
        <f t="array" aca="1" ref="C50" ca="1" xml:space="preserve">
IF(INDIRECT(ADDRESS(ROW(A40), $D$4, 1, TRUE, "prepareData"))&lt;&gt;"",
SUBSTITUTE(SUBSTITUTE(SUBSTITUTE(SUBSTITUTE(SUBSTITUTE(SUBSTITUTE(SUBSTITUTE($C$2,
$C$4,INDIRECT(ADDRESS(ROW(A40), $D$4, 1, TRUE, "prepareData"))),
$C$5,INDIRECT(ADDRESS(ROW(A40), $D$5, 1, TRUE, "prepareData"))),
$C$6,INDIRECT(ADDRESS(ROW(A40), $D$6, 1, TRUE, "prepareData"))),
$C$7,INDIRECT(ADDRESS(ROW(A40), $D$7, 1, TRUE, "prepareData"))),
$C$8,INDIRECT(ADDRESS(ROW(A40), $D$8, 1, TRUE, "prepareData"))),
$C$9,INDIRECT(ADDRESS(ROW(A40), $D$9, 1, TRUE, "prepareData"))),
$C$10,INDIRECT(ADDRESS(ROW(A40), $D$10, 1, TRUE, "prepareData"))),
IF(AND(C49&lt;&gt;"",C49&lt;&gt;CHAR(10)&amp;"]"),"",""))
&amp;IF(ROW(C38)&lt;$A$12,","&amp;CHAR(10),"")</f>
        <v/>
      </c>
    </row>
    <row r="51" spans="2:3" x14ac:dyDescent="0.4">
      <c r="B51" t="s">
        <v>21</v>
      </c>
      <c r="C51" s="2" t="str" cm="1">
        <f t="array" aca="1" ref="C51" ca="1" xml:space="preserve">
IF(INDIRECT(ADDRESS(ROW(A41), $D$4, 1, TRUE, "prepareData"))&lt;&gt;"",
SUBSTITUTE(SUBSTITUTE(SUBSTITUTE(SUBSTITUTE(SUBSTITUTE(SUBSTITUTE(SUBSTITUTE($C$2,
$C$4,INDIRECT(ADDRESS(ROW(A41), $D$4, 1, TRUE, "prepareData"))),
$C$5,INDIRECT(ADDRESS(ROW(A41), $D$5, 1, TRUE, "prepareData"))),
$C$6,INDIRECT(ADDRESS(ROW(A41), $D$6, 1, TRUE, "prepareData"))),
$C$7,INDIRECT(ADDRESS(ROW(A41), $D$7, 1, TRUE, "prepareData"))),
$C$8,INDIRECT(ADDRESS(ROW(A41), $D$8, 1, TRUE, "prepareData"))),
$C$9,INDIRECT(ADDRESS(ROW(A41), $D$9, 1, TRUE, "prepareData"))),
$C$10,INDIRECT(ADDRESS(ROW(A41), $D$10, 1, TRUE, "prepareData"))),
IF(AND(C50&lt;&gt;"",C50&lt;&gt;CHAR(10)&amp;"]"),"",""))
&amp;IF(ROW(C39)&lt;$A$12,","&amp;CHAR(10),"")</f>
        <v/>
      </c>
    </row>
    <row r="52" spans="2:3" x14ac:dyDescent="0.4">
      <c r="B52" t="s">
        <v>21</v>
      </c>
      <c r="C52" s="2" t="str" cm="1">
        <f t="array" aca="1" ref="C52" ca="1" xml:space="preserve">
IF(INDIRECT(ADDRESS(ROW(A42), $D$4, 1, TRUE, "prepareData"))&lt;&gt;"",
SUBSTITUTE(SUBSTITUTE(SUBSTITUTE(SUBSTITUTE(SUBSTITUTE(SUBSTITUTE(SUBSTITUTE($C$2,
$C$4,INDIRECT(ADDRESS(ROW(A42), $D$4, 1, TRUE, "prepareData"))),
$C$5,INDIRECT(ADDRESS(ROW(A42), $D$5, 1, TRUE, "prepareData"))),
$C$6,INDIRECT(ADDRESS(ROW(A42), $D$6, 1, TRUE, "prepareData"))),
$C$7,INDIRECT(ADDRESS(ROW(A42), $D$7, 1, TRUE, "prepareData"))),
$C$8,INDIRECT(ADDRESS(ROW(A42), $D$8, 1, TRUE, "prepareData"))),
$C$9,INDIRECT(ADDRESS(ROW(A42), $D$9, 1, TRUE, "prepareData"))),
$C$10,INDIRECT(ADDRESS(ROW(A42), $D$10, 1, TRUE, "prepareData"))),
IF(AND(C51&lt;&gt;"",C51&lt;&gt;CHAR(10)&amp;"]"),"",""))
&amp;IF(ROW(C40)&lt;$A$12,","&amp;CHAR(10),"")</f>
        <v/>
      </c>
    </row>
    <row r="53" spans="2:3" x14ac:dyDescent="0.4">
      <c r="B53" t="s">
        <v>21</v>
      </c>
      <c r="C53" s="2" t="str" cm="1">
        <f t="array" aca="1" ref="C53" ca="1" xml:space="preserve">
IF(INDIRECT(ADDRESS(ROW(A43), $D$4, 1, TRUE, "prepareData"))&lt;&gt;"",
SUBSTITUTE(SUBSTITUTE(SUBSTITUTE(SUBSTITUTE(SUBSTITUTE(SUBSTITUTE(SUBSTITUTE($C$2,
$C$4,INDIRECT(ADDRESS(ROW(A43), $D$4, 1, TRUE, "prepareData"))),
$C$5,INDIRECT(ADDRESS(ROW(A43), $D$5, 1, TRUE, "prepareData"))),
$C$6,INDIRECT(ADDRESS(ROW(A43), $D$6, 1, TRUE, "prepareData"))),
$C$7,INDIRECT(ADDRESS(ROW(A43), $D$7, 1, TRUE, "prepareData"))),
$C$8,INDIRECT(ADDRESS(ROW(A43), $D$8, 1, TRUE, "prepareData"))),
$C$9,INDIRECT(ADDRESS(ROW(A43), $D$9, 1, TRUE, "prepareData"))),
$C$10,INDIRECT(ADDRESS(ROW(A43), $D$10, 1, TRUE, "prepareData"))),
IF(AND(C52&lt;&gt;"",C52&lt;&gt;CHAR(10)&amp;"]"),"",""))
&amp;IF(ROW(C41)&lt;$A$12,","&amp;CHAR(10),"")</f>
        <v/>
      </c>
    </row>
    <row r="54" spans="2:3" x14ac:dyDescent="0.4">
      <c r="B54" t="s">
        <v>21</v>
      </c>
      <c r="C54" s="2" t="str" cm="1">
        <f t="array" aca="1" ref="C54" ca="1" xml:space="preserve">
IF(INDIRECT(ADDRESS(ROW(A44), $D$4, 1, TRUE, "prepareData"))&lt;&gt;"",
SUBSTITUTE(SUBSTITUTE(SUBSTITUTE(SUBSTITUTE(SUBSTITUTE(SUBSTITUTE(SUBSTITUTE($C$2,
$C$4,INDIRECT(ADDRESS(ROW(A44), $D$4, 1, TRUE, "prepareData"))),
$C$5,INDIRECT(ADDRESS(ROW(A44), $D$5, 1, TRUE, "prepareData"))),
$C$6,INDIRECT(ADDRESS(ROW(A44), $D$6, 1, TRUE, "prepareData"))),
$C$7,INDIRECT(ADDRESS(ROW(A44), $D$7, 1, TRUE, "prepareData"))),
$C$8,INDIRECT(ADDRESS(ROW(A44), $D$8, 1, TRUE, "prepareData"))),
$C$9,INDIRECT(ADDRESS(ROW(A44), $D$9, 1, TRUE, "prepareData"))),
$C$10,INDIRECT(ADDRESS(ROW(A44), $D$10, 1, TRUE, "prepareData"))),
IF(AND(C53&lt;&gt;"",C53&lt;&gt;CHAR(10)&amp;"]"),"",""))
&amp;IF(ROW(C42)&lt;$A$12,","&amp;CHAR(10),"")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IF(INDIRECT(ADDRESS(ROW(A45), $D$4, 1, TRUE, "prepareData"))&lt;&gt;"",
SUBSTITUTE(SUBSTITUTE(SUBSTITUTE(SUBSTITUTE(SUBSTITUTE(SUBSTITUTE(SUBSTITUTE($C$2,
$C$4,INDIRECT(ADDRESS(ROW(A45), $D$4, 1, TRUE, "prepareData"))),
$C$5,INDIRECT(ADDRESS(ROW(A45), $D$5, 1, TRUE, "prepareData"))),
$C$6,INDIRECT(ADDRESS(ROW(A45), $D$6, 1, TRUE, "prepareData"))),
$C$7,INDIRECT(ADDRESS(ROW(A45), $D$7, 1, TRUE, "prepareData"))),
$C$8,INDIRECT(ADDRESS(ROW(A45), $D$8, 1, TRUE, "prepareData"))),
$C$9,INDIRECT(ADDRESS(ROW(A45), $D$9, 1, TRUE, "prepareData"))),
$C$10,INDIRECT(ADDRESS(ROW(A45), $D$10, 1, TRUE, "prepareData"))),
IF(AND(C54&lt;&gt;"",C54&lt;&gt;CHAR(10)&amp;"]"),"",""))
&amp;IF(ROW(C43)&lt;$A$12,","&amp;CHAR(10),"")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IF(INDIRECT(ADDRESS(ROW(A46), $D$4, 1, TRUE, "prepareData"))&lt;&gt;"",
SUBSTITUTE(SUBSTITUTE(SUBSTITUTE(SUBSTITUTE(SUBSTITUTE(SUBSTITUTE(SUBSTITUTE($C$2,
$C$4,INDIRECT(ADDRESS(ROW(A46), $D$4, 1, TRUE, "prepareData"))),
$C$5,INDIRECT(ADDRESS(ROW(A46), $D$5, 1, TRUE, "prepareData"))),
$C$6,INDIRECT(ADDRESS(ROW(A46), $D$6, 1, TRUE, "prepareData"))),
$C$7,INDIRECT(ADDRESS(ROW(A46), $D$7, 1, TRUE, "prepareData"))),
$C$8,INDIRECT(ADDRESS(ROW(A46), $D$8, 1, TRUE, "prepareData"))),
$C$9,INDIRECT(ADDRESS(ROW(A46), $D$9, 1, TRUE, "prepareData"))),
$C$10,INDIRECT(ADDRESS(ROW(A46), $D$10, 1, TRUE, "prepareData"))),
IF(AND(C55&lt;&gt;"",C55&lt;&gt;CHAR(10)&amp;"]"),"",""))
&amp;IF(ROW(C44)&lt;$A$12,","&amp;CHAR(10),"")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IF(INDIRECT(ADDRESS(ROW(A47), $D$4, 1, TRUE, "prepareData"))&lt;&gt;"",
SUBSTITUTE(SUBSTITUTE(SUBSTITUTE(SUBSTITUTE(SUBSTITUTE(SUBSTITUTE(SUBSTITUTE($C$2,
$C$4,INDIRECT(ADDRESS(ROW(A47), $D$4, 1, TRUE, "prepareData"))),
$C$5,INDIRECT(ADDRESS(ROW(A47), $D$5, 1, TRUE, "prepareData"))),
$C$6,INDIRECT(ADDRESS(ROW(A47), $D$6, 1, TRUE, "prepareData"))),
$C$7,INDIRECT(ADDRESS(ROW(A47), $D$7, 1, TRUE, "prepareData"))),
$C$8,INDIRECT(ADDRESS(ROW(A47), $D$8, 1, TRUE, "prepareData"))),
$C$9,INDIRECT(ADDRESS(ROW(A47), $D$9, 1, TRUE, "prepareData"))),
$C$10,INDIRECT(ADDRESS(ROW(A47), $D$10, 1, TRUE, "prepareData"))),
IF(AND(C56&lt;&gt;"",C56&lt;&gt;CHAR(10)&amp;"]"),"",""))
&amp;IF(ROW(C45)&lt;$A$12,","&amp;CHAR(10),"")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IF(INDIRECT(ADDRESS(ROW(A48), $D$4, 1, TRUE, "prepareData"))&lt;&gt;"",
SUBSTITUTE(SUBSTITUTE(SUBSTITUTE(SUBSTITUTE(SUBSTITUTE(SUBSTITUTE(SUBSTITUTE($C$2,
$C$4,INDIRECT(ADDRESS(ROW(A48), $D$4, 1, TRUE, "prepareData"))),
$C$5,INDIRECT(ADDRESS(ROW(A48), $D$5, 1, TRUE, "prepareData"))),
$C$6,INDIRECT(ADDRESS(ROW(A48), $D$6, 1, TRUE, "prepareData"))),
$C$7,INDIRECT(ADDRESS(ROW(A48), $D$7, 1, TRUE, "prepareData"))),
$C$8,INDIRECT(ADDRESS(ROW(A48), $D$8, 1, TRUE, "prepareData"))),
$C$9,INDIRECT(ADDRESS(ROW(A48), $D$9, 1, TRUE, "prepareData"))),
$C$10,INDIRECT(ADDRESS(ROW(A48), $D$10, 1, TRUE, "prepareData"))),
IF(AND(C57&lt;&gt;"",C57&lt;&gt;CHAR(10)&amp;"]"),"",""))
&amp;IF(ROW(C46)&lt;$A$12,","&amp;CHAR(10),"")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IF(INDIRECT(ADDRESS(ROW(A49), $D$4, 1, TRUE, "prepareData"))&lt;&gt;"",
SUBSTITUTE(SUBSTITUTE(SUBSTITUTE(SUBSTITUTE(SUBSTITUTE(SUBSTITUTE(SUBSTITUTE($C$2,
$C$4,INDIRECT(ADDRESS(ROW(A49), $D$4, 1, TRUE, "prepareData"))),
$C$5,INDIRECT(ADDRESS(ROW(A49), $D$5, 1, TRUE, "prepareData"))),
$C$6,INDIRECT(ADDRESS(ROW(A49), $D$6, 1, TRUE, "prepareData"))),
$C$7,INDIRECT(ADDRESS(ROW(A49), $D$7, 1, TRUE, "prepareData"))),
$C$8,INDIRECT(ADDRESS(ROW(A49), $D$8, 1, TRUE, "prepareData"))),
$C$9,INDIRECT(ADDRESS(ROW(A49), $D$9, 1, TRUE, "prepareData"))),
$C$10,INDIRECT(ADDRESS(ROW(A49), $D$10, 1, TRUE, "prepareData"))),
IF(AND(C58&lt;&gt;"",C58&lt;&gt;CHAR(10)&amp;"]"),"",""))
&amp;IF(ROW(C47)&lt;$A$12,","&amp;CHAR(10),"")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IF(INDIRECT(ADDRESS(ROW(A50), $D$4, 1, TRUE, "prepareData"))&lt;&gt;"",
SUBSTITUTE(SUBSTITUTE(SUBSTITUTE(SUBSTITUTE(SUBSTITUTE(SUBSTITUTE(SUBSTITUTE($C$2,
$C$4,INDIRECT(ADDRESS(ROW(A50), $D$4, 1, TRUE, "prepareData"))),
$C$5,INDIRECT(ADDRESS(ROW(A50), $D$5, 1, TRUE, "prepareData"))),
$C$6,INDIRECT(ADDRESS(ROW(A50), $D$6, 1, TRUE, "prepareData"))),
$C$7,INDIRECT(ADDRESS(ROW(A50), $D$7, 1, TRUE, "prepareData"))),
$C$8,INDIRECT(ADDRESS(ROW(A50), $D$8, 1, TRUE, "prepareData"))),
$C$9,INDIRECT(ADDRESS(ROW(A50), $D$9, 1, TRUE, "prepareData"))),
$C$10,INDIRECT(ADDRESS(ROW(A50), $D$10, 1, TRUE, "prepareData"))),
IF(AND(C59&lt;&gt;"",C59&lt;&gt;CHAR(10)&amp;"]"),"",""))
&amp;IF(ROW(C48)&lt;$A$12,","&amp;CHAR(10),"")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IF(INDIRECT(ADDRESS(ROW(A51), $D$4, 1, TRUE, "prepareData"))&lt;&gt;"",
SUBSTITUTE(SUBSTITUTE(SUBSTITUTE(SUBSTITUTE(SUBSTITUTE(SUBSTITUTE(SUBSTITUTE($C$2,
$C$4,INDIRECT(ADDRESS(ROW(A51), $D$4, 1, TRUE, "prepareData"))),
$C$5,INDIRECT(ADDRESS(ROW(A51), $D$5, 1, TRUE, "prepareData"))),
$C$6,INDIRECT(ADDRESS(ROW(A51), $D$6, 1, TRUE, "prepareData"))),
$C$7,INDIRECT(ADDRESS(ROW(A51), $D$7, 1, TRUE, "prepareData"))),
$C$8,INDIRECT(ADDRESS(ROW(A51), $D$8, 1, TRUE, "prepareData"))),
$C$9,INDIRECT(ADDRESS(ROW(A51), $D$9, 1, TRUE, "prepareData"))),
$C$10,INDIRECT(ADDRESS(ROW(A51), $D$10, 1, TRUE, "prepareData"))),
IF(AND(C60&lt;&gt;"",C60&lt;&gt;CHAR(10)&amp;"]"),"",""))
&amp;IF(ROW(C49)&lt;$A$12,","&amp;CHAR(10),"")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IF(INDIRECT(ADDRESS(ROW(A52), $D$4, 1, TRUE, "prepareData"))&lt;&gt;"",
SUBSTITUTE(SUBSTITUTE(SUBSTITUTE(SUBSTITUTE(SUBSTITUTE(SUBSTITUTE(SUBSTITUTE($C$2,
$C$4,INDIRECT(ADDRESS(ROW(A52), $D$4, 1, TRUE, "prepareData"))),
$C$5,INDIRECT(ADDRESS(ROW(A52), $D$5, 1, TRUE, "prepareData"))),
$C$6,INDIRECT(ADDRESS(ROW(A52), $D$6, 1, TRUE, "prepareData"))),
$C$7,INDIRECT(ADDRESS(ROW(A52), $D$7, 1, TRUE, "prepareData"))),
$C$8,INDIRECT(ADDRESS(ROW(A52), $D$8, 1, TRUE, "prepareData"))),
$C$9,INDIRECT(ADDRESS(ROW(A52), $D$9, 1, TRUE, "prepareData"))),
$C$10,INDIRECT(ADDRESS(ROW(A52), $D$10, 1, TRUE, "prepareData"))),
IF(AND(C61&lt;&gt;"",C61&lt;&gt;CHAR(10)&amp;"]"),"",""))
&amp;IF(ROW(C50)&lt;$A$12,","&amp;CHAR(10),"")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IF(INDIRECT(ADDRESS(ROW(A53), $D$4, 1, TRUE, "prepareData"))&lt;&gt;"",
SUBSTITUTE(SUBSTITUTE(SUBSTITUTE(SUBSTITUTE(SUBSTITUTE(SUBSTITUTE(SUBSTITUTE($C$2,
$C$4,INDIRECT(ADDRESS(ROW(A53), $D$4, 1, TRUE, "prepareData"))),
$C$5,INDIRECT(ADDRESS(ROW(A53), $D$5, 1, TRUE, "prepareData"))),
$C$6,INDIRECT(ADDRESS(ROW(A53), $D$6, 1, TRUE, "prepareData"))),
$C$7,INDIRECT(ADDRESS(ROW(A53), $D$7, 1, TRUE, "prepareData"))),
$C$8,INDIRECT(ADDRESS(ROW(A53), $D$8, 1, TRUE, "prepareData"))),
$C$9,INDIRECT(ADDRESS(ROW(A53), $D$9, 1, TRUE, "prepareData"))),
$C$10,INDIRECT(ADDRESS(ROW(A53), $D$10, 1, TRUE, "prepareData"))),
IF(AND(C62&lt;&gt;"",C62&lt;&gt;CHAR(10)&amp;"]"),"",""))
&amp;IF(ROW(C51)&lt;$A$12,","&amp;CHAR(10),"")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IF(INDIRECT(ADDRESS(ROW(A54), $D$4, 1, TRUE, "prepareData"))&lt;&gt;"",
SUBSTITUTE(SUBSTITUTE(SUBSTITUTE(SUBSTITUTE(SUBSTITUTE(SUBSTITUTE(SUBSTITUTE($C$2,
$C$4,INDIRECT(ADDRESS(ROW(A54), $D$4, 1, TRUE, "prepareData"))),
$C$5,INDIRECT(ADDRESS(ROW(A54), $D$5, 1, TRUE, "prepareData"))),
$C$6,INDIRECT(ADDRESS(ROW(A54), $D$6, 1, TRUE, "prepareData"))),
$C$7,INDIRECT(ADDRESS(ROW(A54), $D$7, 1, TRUE, "prepareData"))),
$C$8,INDIRECT(ADDRESS(ROW(A54), $D$8, 1, TRUE, "prepareData"))),
$C$9,INDIRECT(ADDRESS(ROW(A54), $D$9, 1, TRUE, "prepareData"))),
$C$10,INDIRECT(ADDRESS(ROW(A54), $D$10, 1, TRUE, "prepareData"))),
IF(AND(C63&lt;&gt;"",C63&lt;&gt;CHAR(10)&amp;"]"),"",""))
&amp;IF(ROW(C52)&lt;$A$12,","&amp;CHAR(10),"")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IF(INDIRECT(ADDRESS(ROW(A55), $D$4, 1, TRUE, "prepareData"))&lt;&gt;"",
SUBSTITUTE(SUBSTITUTE(SUBSTITUTE(SUBSTITUTE(SUBSTITUTE(SUBSTITUTE(SUBSTITUTE($C$2,
$C$4,INDIRECT(ADDRESS(ROW(A55), $D$4, 1, TRUE, "prepareData"))),
$C$5,INDIRECT(ADDRESS(ROW(A55), $D$5, 1, TRUE, "prepareData"))),
$C$6,INDIRECT(ADDRESS(ROW(A55), $D$6, 1, TRUE, "prepareData"))),
$C$7,INDIRECT(ADDRESS(ROW(A55), $D$7, 1, TRUE, "prepareData"))),
$C$8,INDIRECT(ADDRESS(ROW(A55), $D$8, 1, TRUE, "prepareData"))),
$C$9,INDIRECT(ADDRESS(ROW(A55), $D$9, 1, TRUE, "prepareData"))),
$C$10,INDIRECT(ADDRESS(ROW(A55), $D$10, 1, TRUE, "prepareData"))),
IF(AND(C64&lt;&gt;"",C64&lt;&gt;CHAR(10)&amp;"]"),"",""))
&amp;IF(ROW(C53)&lt;$A$12,","&amp;CHAR(10),"")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IF(INDIRECT(ADDRESS(ROW(A56), $D$4, 1, TRUE, "prepareData"))&lt;&gt;"",
SUBSTITUTE(SUBSTITUTE(SUBSTITUTE(SUBSTITUTE(SUBSTITUTE(SUBSTITUTE(SUBSTITUTE($C$2,
$C$4,INDIRECT(ADDRESS(ROW(A56), $D$4, 1, TRUE, "prepareData"))),
$C$5,INDIRECT(ADDRESS(ROW(A56), $D$5, 1, TRUE, "prepareData"))),
$C$6,INDIRECT(ADDRESS(ROW(A56), $D$6, 1, TRUE, "prepareData"))),
$C$7,INDIRECT(ADDRESS(ROW(A56), $D$7, 1, TRUE, "prepareData"))),
$C$8,INDIRECT(ADDRESS(ROW(A56), $D$8, 1, TRUE, "prepareData"))),
$C$9,INDIRECT(ADDRESS(ROW(A56), $D$9, 1, TRUE, "prepareData"))),
$C$10,INDIRECT(ADDRESS(ROW(A56), $D$10, 1, TRUE, "prepareData"))),
IF(AND(C65&lt;&gt;"",C65&lt;&gt;CHAR(10)&amp;"]"),"",""))
&amp;IF(ROW(C54)&lt;$A$12,","&amp;CHAR(10),"")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IF(INDIRECT(ADDRESS(ROW(A57), $D$4, 1, TRUE, "prepareData"))&lt;&gt;"",
SUBSTITUTE(SUBSTITUTE(SUBSTITUTE(SUBSTITUTE(SUBSTITUTE(SUBSTITUTE(SUBSTITUTE($C$2,
$C$4,INDIRECT(ADDRESS(ROW(A57), $D$4, 1, TRUE, "prepareData"))),
$C$5,INDIRECT(ADDRESS(ROW(A57), $D$5, 1, TRUE, "prepareData"))),
$C$6,INDIRECT(ADDRESS(ROW(A57), $D$6, 1, TRUE, "prepareData"))),
$C$7,INDIRECT(ADDRESS(ROW(A57), $D$7, 1, TRUE, "prepareData"))),
$C$8,INDIRECT(ADDRESS(ROW(A57), $D$8, 1, TRUE, "prepareData"))),
$C$9,INDIRECT(ADDRESS(ROW(A57), $D$9, 1, TRUE, "prepareData"))),
$C$10,INDIRECT(ADDRESS(ROW(A57), $D$10, 1, TRUE, "prepareData"))),
IF(AND(C66&lt;&gt;"",C66&lt;&gt;CHAR(10)&amp;"]"),"",""))
&amp;IF(ROW(C55)&lt;$A$12,","&amp;CHAR(10),"")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IF(INDIRECT(ADDRESS(ROW(A58), $D$4, 1, TRUE, "prepareData"))&lt;&gt;"",
SUBSTITUTE(SUBSTITUTE(SUBSTITUTE(SUBSTITUTE(SUBSTITUTE(SUBSTITUTE(SUBSTITUTE($C$2,
$C$4,INDIRECT(ADDRESS(ROW(A58), $D$4, 1, TRUE, "prepareData"))),
$C$5,INDIRECT(ADDRESS(ROW(A58), $D$5, 1, TRUE, "prepareData"))),
$C$6,INDIRECT(ADDRESS(ROW(A58), $D$6, 1, TRUE, "prepareData"))),
$C$7,INDIRECT(ADDRESS(ROW(A58), $D$7, 1, TRUE, "prepareData"))),
$C$8,INDIRECT(ADDRESS(ROW(A58), $D$8, 1, TRUE, "prepareData"))),
$C$9,INDIRECT(ADDRESS(ROW(A58), $D$9, 1, TRUE, "prepareData"))),
$C$10,INDIRECT(ADDRESS(ROW(A58), $D$10, 1, TRUE, "prepareData"))),
IF(AND(C67&lt;&gt;"",C67&lt;&gt;CHAR(10)&amp;"]"),"",""))
&amp;IF(ROW(C56)&lt;$A$12,","&amp;CHAR(10),"")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IF(INDIRECT(ADDRESS(ROW(A59), $D$4, 1, TRUE, "prepareData"))&lt;&gt;"",
SUBSTITUTE(SUBSTITUTE(SUBSTITUTE(SUBSTITUTE(SUBSTITUTE(SUBSTITUTE(SUBSTITUTE($C$2,
$C$4,INDIRECT(ADDRESS(ROW(A59), $D$4, 1, TRUE, "prepareData"))),
$C$5,INDIRECT(ADDRESS(ROW(A59), $D$5, 1, TRUE, "prepareData"))),
$C$6,INDIRECT(ADDRESS(ROW(A59), $D$6, 1, TRUE, "prepareData"))),
$C$7,INDIRECT(ADDRESS(ROW(A59), $D$7, 1, TRUE, "prepareData"))),
$C$8,INDIRECT(ADDRESS(ROW(A59), $D$8, 1, TRUE, "prepareData"))),
$C$9,INDIRECT(ADDRESS(ROW(A59), $D$9, 1, TRUE, "prepareData"))),
$C$10,INDIRECT(ADDRESS(ROW(A59), $D$10, 1, TRUE, "prepareData"))),
IF(AND(C68&lt;&gt;"",C68&lt;&gt;CHAR(10)&amp;"]"),"",""))
&amp;IF(ROW(C57)&lt;$A$12,","&amp;CHAR(10),"")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IF(INDIRECT(ADDRESS(ROW(A60), $D$4, 1, TRUE, "prepareData"))&lt;&gt;"",
SUBSTITUTE(SUBSTITUTE(SUBSTITUTE(SUBSTITUTE(SUBSTITUTE(SUBSTITUTE(SUBSTITUTE($C$2,
$C$4,INDIRECT(ADDRESS(ROW(A60), $D$4, 1, TRUE, "prepareData"))),
$C$5,INDIRECT(ADDRESS(ROW(A60), $D$5, 1, TRUE, "prepareData"))),
$C$6,INDIRECT(ADDRESS(ROW(A60), $D$6, 1, TRUE, "prepareData"))),
$C$7,INDIRECT(ADDRESS(ROW(A60), $D$7, 1, TRUE, "prepareData"))),
$C$8,INDIRECT(ADDRESS(ROW(A60), $D$8, 1, TRUE, "prepareData"))),
$C$9,INDIRECT(ADDRESS(ROW(A60), $D$9, 1, TRUE, "prepareData"))),
$C$10,INDIRECT(ADDRESS(ROW(A60), $D$10, 1, TRUE, "prepareData"))),
IF(AND(C69&lt;&gt;"",C69&lt;&gt;CHAR(10)&amp;"]"),"",""))
&amp;IF(ROW(C58)&lt;$A$12,","&amp;CHAR(10),"")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IF(INDIRECT(ADDRESS(ROW(A61), $D$4, 1, TRUE, "prepareData"))&lt;&gt;"",
SUBSTITUTE(SUBSTITUTE(SUBSTITUTE(SUBSTITUTE(SUBSTITUTE(SUBSTITUTE(SUBSTITUTE($C$2,
$C$4,INDIRECT(ADDRESS(ROW(A61), $D$4, 1, TRUE, "prepareData"))),
$C$5,INDIRECT(ADDRESS(ROW(A61), $D$5, 1, TRUE, "prepareData"))),
$C$6,INDIRECT(ADDRESS(ROW(A61), $D$6, 1, TRUE, "prepareData"))),
$C$7,INDIRECT(ADDRESS(ROW(A61), $D$7, 1, TRUE, "prepareData"))),
$C$8,INDIRECT(ADDRESS(ROW(A61), $D$8, 1, TRUE, "prepareData"))),
$C$9,INDIRECT(ADDRESS(ROW(A61), $D$9, 1, TRUE, "prepareData"))),
$C$10,INDIRECT(ADDRESS(ROW(A61), $D$10, 1, TRUE, "prepareData"))),
IF(AND(C70&lt;&gt;"",C70&lt;&gt;CHAR(10)&amp;"]"),"",""))
&amp;IF(ROW(C59)&lt;$A$12,","&amp;CHAR(10),"")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IF(INDIRECT(ADDRESS(ROW(A62), $D$4, 1, TRUE, "prepareData"))&lt;&gt;"",
SUBSTITUTE(SUBSTITUTE(SUBSTITUTE(SUBSTITUTE(SUBSTITUTE(SUBSTITUTE(SUBSTITUTE($C$2,
$C$4,INDIRECT(ADDRESS(ROW(A62), $D$4, 1, TRUE, "prepareData"))),
$C$5,INDIRECT(ADDRESS(ROW(A62), $D$5, 1, TRUE, "prepareData"))),
$C$6,INDIRECT(ADDRESS(ROW(A62), $D$6, 1, TRUE, "prepareData"))),
$C$7,INDIRECT(ADDRESS(ROW(A62), $D$7, 1, TRUE, "prepareData"))),
$C$8,INDIRECT(ADDRESS(ROW(A62), $D$8, 1, TRUE, "prepareData"))),
$C$9,INDIRECT(ADDRESS(ROW(A62), $D$9, 1, TRUE, "prepareData"))),
$C$10,INDIRECT(ADDRESS(ROW(A62), $D$10, 1, TRUE, "prepareData"))),
IF(AND(C71&lt;&gt;"",C71&lt;&gt;CHAR(10)&amp;"]"),"",""))
&amp;IF(ROW(C60)&lt;$A$12,","&amp;CHAR(10),"")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IF(INDIRECT(ADDRESS(ROW(A63), $D$4, 1, TRUE, "prepareData"))&lt;&gt;"",
SUBSTITUTE(SUBSTITUTE(SUBSTITUTE(SUBSTITUTE(SUBSTITUTE(SUBSTITUTE(SUBSTITUTE($C$2,
$C$4,INDIRECT(ADDRESS(ROW(A63), $D$4, 1, TRUE, "prepareData"))),
$C$5,INDIRECT(ADDRESS(ROW(A63), $D$5, 1, TRUE, "prepareData"))),
$C$6,INDIRECT(ADDRESS(ROW(A63), $D$6, 1, TRUE, "prepareData"))),
$C$7,INDIRECT(ADDRESS(ROW(A63), $D$7, 1, TRUE, "prepareData"))),
$C$8,INDIRECT(ADDRESS(ROW(A63), $D$8, 1, TRUE, "prepareData"))),
$C$9,INDIRECT(ADDRESS(ROW(A63), $D$9, 1, TRUE, "prepareData"))),
$C$10,INDIRECT(ADDRESS(ROW(A63), $D$10, 1, TRUE, "prepareData"))),
IF(AND(C72&lt;&gt;"",C72&lt;&gt;CHAR(10)&amp;"]"),"",""))
&amp;IF(ROW(C61)&lt;$A$12,","&amp;CHAR(10),"")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IF(INDIRECT(ADDRESS(ROW(A64), $D$4, 1, TRUE, "prepareData"))&lt;&gt;"",
SUBSTITUTE(SUBSTITUTE(SUBSTITUTE(SUBSTITUTE(SUBSTITUTE(SUBSTITUTE(SUBSTITUTE($C$2,
$C$4,INDIRECT(ADDRESS(ROW(A64), $D$4, 1, TRUE, "prepareData"))),
$C$5,INDIRECT(ADDRESS(ROW(A64), $D$5, 1, TRUE, "prepareData"))),
$C$6,INDIRECT(ADDRESS(ROW(A64), $D$6, 1, TRUE, "prepareData"))),
$C$7,INDIRECT(ADDRESS(ROW(A64), $D$7, 1, TRUE, "prepareData"))),
$C$8,INDIRECT(ADDRESS(ROW(A64), $D$8, 1, TRUE, "prepareData"))),
$C$9,INDIRECT(ADDRESS(ROW(A64), $D$9, 1, TRUE, "prepareData"))),
$C$10,INDIRECT(ADDRESS(ROW(A64), $D$10, 1, TRUE, "prepareData"))),
IF(AND(C73&lt;&gt;"",C73&lt;&gt;CHAR(10)&amp;"]"),"",""))
&amp;IF(ROW(C62)&lt;$A$12,","&amp;CHAR(10),"")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IF(INDIRECT(ADDRESS(ROW(A65), $D$4, 1, TRUE, "prepareData"))&lt;&gt;"",
SUBSTITUTE(SUBSTITUTE(SUBSTITUTE(SUBSTITUTE(SUBSTITUTE(SUBSTITUTE(SUBSTITUTE($C$2,
$C$4,INDIRECT(ADDRESS(ROW(A65), $D$4, 1, TRUE, "prepareData"))),
$C$5,INDIRECT(ADDRESS(ROW(A65), $D$5, 1, TRUE, "prepareData"))),
$C$6,INDIRECT(ADDRESS(ROW(A65), $D$6, 1, TRUE, "prepareData"))),
$C$7,INDIRECT(ADDRESS(ROW(A65), $D$7, 1, TRUE, "prepareData"))),
$C$8,INDIRECT(ADDRESS(ROW(A65), $D$8, 1, TRUE, "prepareData"))),
$C$9,INDIRECT(ADDRESS(ROW(A65), $D$9, 1, TRUE, "prepareData"))),
$C$10,INDIRECT(ADDRESS(ROW(A65), $D$10, 1, TRUE, "prepareData"))),
IF(AND(C74&lt;&gt;"",C74&lt;&gt;CHAR(10)&amp;"]"),"",""))
&amp;IF(ROW(C63)&lt;$A$12,","&amp;CHAR(10),"")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IF(INDIRECT(ADDRESS(ROW(A66), $D$4, 1, TRUE, "prepareData"))&lt;&gt;"",
SUBSTITUTE(SUBSTITUTE(SUBSTITUTE(SUBSTITUTE(SUBSTITUTE(SUBSTITUTE(SUBSTITUTE($C$2,
$C$4,INDIRECT(ADDRESS(ROW(A66), $D$4, 1, TRUE, "prepareData"))),
$C$5,INDIRECT(ADDRESS(ROW(A66), $D$5, 1, TRUE, "prepareData"))),
$C$6,INDIRECT(ADDRESS(ROW(A66), $D$6, 1, TRUE, "prepareData"))),
$C$7,INDIRECT(ADDRESS(ROW(A66), $D$7, 1, TRUE, "prepareData"))),
$C$8,INDIRECT(ADDRESS(ROW(A66), $D$8, 1, TRUE, "prepareData"))),
$C$9,INDIRECT(ADDRESS(ROW(A66), $D$9, 1, TRUE, "prepareData"))),
$C$10,INDIRECT(ADDRESS(ROW(A66), $D$10, 1, TRUE, "prepareData"))),
IF(AND(C75&lt;&gt;"",C75&lt;&gt;CHAR(10)&amp;"]"),"",""))
&amp;IF(ROW(C64)&lt;$A$12,","&amp;CHAR(10),"")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IF(INDIRECT(ADDRESS(ROW(A67), $D$4, 1, TRUE, "prepareData"))&lt;&gt;"",
SUBSTITUTE(SUBSTITUTE(SUBSTITUTE(SUBSTITUTE(SUBSTITUTE(SUBSTITUTE(SUBSTITUTE($C$2,
$C$4,INDIRECT(ADDRESS(ROW(A67), $D$4, 1, TRUE, "prepareData"))),
$C$5,INDIRECT(ADDRESS(ROW(A67), $D$5, 1, TRUE, "prepareData"))),
$C$6,INDIRECT(ADDRESS(ROW(A67), $D$6, 1, TRUE, "prepareData"))),
$C$7,INDIRECT(ADDRESS(ROW(A67), $D$7, 1, TRUE, "prepareData"))),
$C$8,INDIRECT(ADDRESS(ROW(A67), $D$8, 1, TRUE, "prepareData"))),
$C$9,INDIRECT(ADDRESS(ROW(A67), $D$9, 1, TRUE, "prepareData"))),
$C$10,INDIRECT(ADDRESS(ROW(A67), $D$10, 1, TRUE, "prepareData"))),
IF(AND(C76&lt;&gt;"",C76&lt;&gt;CHAR(10)&amp;"]"),"",""))
&amp;IF(ROW(C65)&lt;$A$12,","&amp;CHAR(10),"")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IF(INDIRECT(ADDRESS(ROW(A68), $D$4, 1, TRUE, "prepareData"))&lt;&gt;"",
SUBSTITUTE(SUBSTITUTE(SUBSTITUTE(SUBSTITUTE(SUBSTITUTE(SUBSTITUTE(SUBSTITUTE($C$2,
$C$4,INDIRECT(ADDRESS(ROW(A68), $D$4, 1, TRUE, "prepareData"))),
$C$5,INDIRECT(ADDRESS(ROW(A68), $D$5, 1, TRUE, "prepareData"))),
$C$6,INDIRECT(ADDRESS(ROW(A68), $D$6, 1, TRUE, "prepareData"))),
$C$7,INDIRECT(ADDRESS(ROW(A68), $D$7, 1, TRUE, "prepareData"))),
$C$8,INDIRECT(ADDRESS(ROW(A68), $D$8, 1, TRUE, "prepareData"))),
$C$9,INDIRECT(ADDRESS(ROW(A68), $D$9, 1, TRUE, "prepareData"))),
$C$10,INDIRECT(ADDRESS(ROW(A68), $D$10, 1, TRUE, "prepareData"))),
IF(AND(C77&lt;&gt;"",C77&lt;&gt;CHAR(10)&amp;"]"),"",""))
&amp;IF(ROW(C66)&lt;$A$12,","&amp;CHAR(10),"")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IF(INDIRECT(ADDRESS(ROW(A69), $D$4, 1, TRUE, "prepareData"))&lt;&gt;"",
SUBSTITUTE(SUBSTITUTE(SUBSTITUTE(SUBSTITUTE(SUBSTITUTE(SUBSTITUTE(SUBSTITUTE($C$2,
$C$4,INDIRECT(ADDRESS(ROW(A69), $D$4, 1, TRUE, "prepareData"))),
$C$5,INDIRECT(ADDRESS(ROW(A69), $D$5, 1, TRUE, "prepareData"))),
$C$6,INDIRECT(ADDRESS(ROW(A69), $D$6, 1, TRUE, "prepareData"))),
$C$7,INDIRECT(ADDRESS(ROW(A69), $D$7, 1, TRUE, "prepareData"))),
$C$8,INDIRECT(ADDRESS(ROW(A69), $D$8, 1, TRUE, "prepareData"))),
$C$9,INDIRECT(ADDRESS(ROW(A69), $D$9, 1, TRUE, "prepareData"))),
$C$10,INDIRECT(ADDRESS(ROW(A69), $D$10, 1, TRUE, "prepareData"))),
IF(AND(C78&lt;&gt;"",C78&lt;&gt;CHAR(10)&amp;"]"),"",""))
&amp;IF(ROW(C67)&lt;$A$12,","&amp;CHAR(10),"")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IF(INDIRECT(ADDRESS(ROW(A70), $D$4, 1, TRUE, "prepareData"))&lt;&gt;"",
SUBSTITUTE(SUBSTITUTE(SUBSTITUTE(SUBSTITUTE(SUBSTITUTE(SUBSTITUTE(SUBSTITUTE($C$2,
$C$4,INDIRECT(ADDRESS(ROW(A70), $D$4, 1, TRUE, "prepareData"))),
$C$5,INDIRECT(ADDRESS(ROW(A70), $D$5, 1, TRUE, "prepareData"))),
$C$6,INDIRECT(ADDRESS(ROW(A70), $D$6, 1, TRUE, "prepareData"))),
$C$7,INDIRECT(ADDRESS(ROW(A70), $D$7, 1, TRUE, "prepareData"))),
$C$8,INDIRECT(ADDRESS(ROW(A70), $D$8, 1, TRUE, "prepareData"))),
$C$9,INDIRECT(ADDRESS(ROW(A70), $D$9, 1, TRUE, "prepareData"))),
$C$10,INDIRECT(ADDRESS(ROW(A70), $D$10, 1, TRUE, "prepareData"))),
IF(AND(C79&lt;&gt;"",C79&lt;&gt;CHAR(10)&amp;"]"),"",""))
&amp;IF(ROW(C68)&lt;$A$12,","&amp;CHAR(10),"")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IF(INDIRECT(ADDRESS(ROW(A71), $D$4, 1, TRUE, "prepareData"))&lt;&gt;"",
SUBSTITUTE(SUBSTITUTE(SUBSTITUTE(SUBSTITUTE(SUBSTITUTE(SUBSTITUTE(SUBSTITUTE($C$2,
$C$4,INDIRECT(ADDRESS(ROW(A71), $D$4, 1, TRUE, "prepareData"))),
$C$5,INDIRECT(ADDRESS(ROW(A71), $D$5, 1, TRUE, "prepareData"))),
$C$6,INDIRECT(ADDRESS(ROW(A71), $D$6, 1, TRUE, "prepareData"))),
$C$7,INDIRECT(ADDRESS(ROW(A71), $D$7, 1, TRUE, "prepareData"))),
$C$8,INDIRECT(ADDRESS(ROW(A71), $D$8, 1, TRUE, "prepareData"))),
$C$9,INDIRECT(ADDRESS(ROW(A71), $D$9, 1, TRUE, "prepareData"))),
$C$10,INDIRECT(ADDRESS(ROW(A71), $D$10, 1, TRUE, "prepareData"))),
IF(AND(C80&lt;&gt;"",C80&lt;&gt;CHAR(10)&amp;"]"),"",""))
&amp;IF(ROW(C69)&lt;$A$12,","&amp;CHAR(10),"")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IF(INDIRECT(ADDRESS(ROW(A72), $D$4, 1, TRUE, "prepareData"))&lt;&gt;"",
SUBSTITUTE(SUBSTITUTE(SUBSTITUTE(SUBSTITUTE(SUBSTITUTE(SUBSTITUTE(SUBSTITUTE($C$2,
$C$4,INDIRECT(ADDRESS(ROW(A72), $D$4, 1, TRUE, "prepareData"))),
$C$5,INDIRECT(ADDRESS(ROW(A72), $D$5, 1, TRUE, "prepareData"))),
$C$6,INDIRECT(ADDRESS(ROW(A72), $D$6, 1, TRUE, "prepareData"))),
$C$7,INDIRECT(ADDRESS(ROW(A72), $D$7, 1, TRUE, "prepareData"))),
$C$8,INDIRECT(ADDRESS(ROW(A72), $D$8, 1, TRUE, "prepareData"))),
$C$9,INDIRECT(ADDRESS(ROW(A72), $D$9, 1, TRUE, "prepareData"))),
$C$10,INDIRECT(ADDRESS(ROW(A72), $D$10, 1, TRUE, "prepareData"))),
IF(AND(C81&lt;&gt;"",C81&lt;&gt;CHAR(10)&amp;"]"),"",""))
&amp;IF(ROW(C70)&lt;$A$12,","&amp;CHAR(10),"")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IF(INDIRECT(ADDRESS(ROW(A73), $D$4, 1, TRUE, "prepareData"))&lt;&gt;"",
SUBSTITUTE(SUBSTITUTE(SUBSTITUTE(SUBSTITUTE(SUBSTITUTE(SUBSTITUTE(SUBSTITUTE($C$2,
$C$4,INDIRECT(ADDRESS(ROW(A73), $D$4, 1, TRUE, "prepareData"))),
$C$5,INDIRECT(ADDRESS(ROW(A73), $D$5, 1, TRUE, "prepareData"))),
$C$6,INDIRECT(ADDRESS(ROW(A73), $D$6, 1, TRUE, "prepareData"))),
$C$7,INDIRECT(ADDRESS(ROW(A73), $D$7, 1, TRUE, "prepareData"))),
$C$8,INDIRECT(ADDRESS(ROW(A73), $D$8, 1, TRUE, "prepareData"))),
$C$9,INDIRECT(ADDRESS(ROW(A73), $D$9, 1, TRUE, "prepareData"))),
$C$10,INDIRECT(ADDRESS(ROW(A73), $D$10, 1, TRUE, "prepareData"))),
IF(AND(C82&lt;&gt;"",C82&lt;&gt;CHAR(10)&amp;"]"),"",""))
&amp;IF(ROW(C71)&lt;$A$12,","&amp;CHAR(10),"")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IF(INDIRECT(ADDRESS(ROW(A74), $D$4, 1, TRUE, "prepareData"))&lt;&gt;"",
SUBSTITUTE(SUBSTITUTE(SUBSTITUTE(SUBSTITUTE(SUBSTITUTE(SUBSTITUTE(SUBSTITUTE($C$2,
$C$4,INDIRECT(ADDRESS(ROW(A74), $D$4, 1, TRUE, "prepareData"))),
$C$5,INDIRECT(ADDRESS(ROW(A74), $D$5, 1, TRUE, "prepareData"))),
$C$6,INDIRECT(ADDRESS(ROW(A74), $D$6, 1, TRUE, "prepareData"))),
$C$7,INDIRECT(ADDRESS(ROW(A74), $D$7, 1, TRUE, "prepareData"))),
$C$8,INDIRECT(ADDRESS(ROW(A74), $D$8, 1, TRUE, "prepareData"))),
$C$9,INDIRECT(ADDRESS(ROW(A74), $D$9, 1, TRUE, "prepareData"))),
$C$10,INDIRECT(ADDRESS(ROW(A74), $D$10, 1, TRUE, "prepareData"))),
IF(AND(C83&lt;&gt;"",C83&lt;&gt;CHAR(10)&amp;"]"),"",""))
&amp;IF(ROW(C72)&lt;$A$12,","&amp;CHAR(10),"")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IF(INDIRECT(ADDRESS(ROW(A75), $D$4, 1, TRUE, "prepareData"))&lt;&gt;"",
SUBSTITUTE(SUBSTITUTE(SUBSTITUTE(SUBSTITUTE(SUBSTITUTE(SUBSTITUTE(SUBSTITUTE($C$2,
$C$4,INDIRECT(ADDRESS(ROW(A75), $D$4, 1, TRUE, "prepareData"))),
$C$5,INDIRECT(ADDRESS(ROW(A75), $D$5, 1, TRUE, "prepareData"))),
$C$6,INDIRECT(ADDRESS(ROW(A75), $D$6, 1, TRUE, "prepareData"))),
$C$7,INDIRECT(ADDRESS(ROW(A75), $D$7, 1, TRUE, "prepareData"))),
$C$8,INDIRECT(ADDRESS(ROW(A75), $D$8, 1, TRUE, "prepareData"))),
$C$9,INDIRECT(ADDRESS(ROW(A75), $D$9, 1, TRUE, "prepareData"))),
$C$10,INDIRECT(ADDRESS(ROW(A75), $D$10, 1, TRUE, "prepareData"))),
IF(AND(C84&lt;&gt;"",C84&lt;&gt;CHAR(10)&amp;"]"),"",""))
&amp;IF(ROW(C73)&lt;$A$12,","&amp;CHAR(10),"")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IF(INDIRECT(ADDRESS(ROW(A76), $D$4, 1, TRUE, "prepareData"))&lt;&gt;"",
SUBSTITUTE(SUBSTITUTE(SUBSTITUTE(SUBSTITUTE(SUBSTITUTE(SUBSTITUTE(SUBSTITUTE($C$2,
$C$4,INDIRECT(ADDRESS(ROW(A76), $D$4, 1, TRUE, "prepareData"))),
$C$5,INDIRECT(ADDRESS(ROW(A76), $D$5, 1, TRUE, "prepareData"))),
$C$6,INDIRECT(ADDRESS(ROW(A76), $D$6, 1, TRUE, "prepareData"))),
$C$7,INDIRECT(ADDRESS(ROW(A76), $D$7, 1, TRUE, "prepareData"))),
$C$8,INDIRECT(ADDRESS(ROW(A76), $D$8, 1, TRUE, "prepareData"))),
$C$9,INDIRECT(ADDRESS(ROW(A76), $D$9, 1, TRUE, "prepareData"))),
$C$10,INDIRECT(ADDRESS(ROW(A76), $D$10, 1, TRUE, "prepareData"))),
IF(AND(C85&lt;&gt;"",C85&lt;&gt;CHAR(10)&amp;"]"),"",""))
&amp;IF(ROW(C74)&lt;$A$12,","&amp;CHAR(10),"")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IF(INDIRECT(ADDRESS(ROW(A77), $D$4, 1, TRUE, "prepareData"))&lt;&gt;"",
SUBSTITUTE(SUBSTITUTE(SUBSTITUTE(SUBSTITUTE(SUBSTITUTE(SUBSTITUTE(SUBSTITUTE($C$2,
$C$4,INDIRECT(ADDRESS(ROW(A77), $D$4, 1, TRUE, "prepareData"))),
$C$5,INDIRECT(ADDRESS(ROW(A77), $D$5, 1, TRUE, "prepareData"))),
$C$6,INDIRECT(ADDRESS(ROW(A77), $D$6, 1, TRUE, "prepareData"))),
$C$7,INDIRECT(ADDRESS(ROW(A77), $D$7, 1, TRUE, "prepareData"))),
$C$8,INDIRECT(ADDRESS(ROW(A77), $D$8, 1, TRUE, "prepareData"))),
$C$9,INDIRECT(ADDRESS(ROW(A77), $D$9, 1, TRUE, "prepareData"))),
$C$10,INDIRECT(ADDRESS(ROW(A77), $D$10, 1, TRUE, "prepareData"))),
IF(AND(C86&lt;&gt;"",C86&lt;&gt;CHAR(10)&amp;"]"),"",""))
&amp;IF(ROW(C75)&lt;$A$12,","&amp;CHAR(10),"")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IF(INDIRECT(ADDRESS(ROW(A78), $D$4, 1, TRUE, "prepareData"))&lt;&gt;"",
SUBSTITUTE(SUBSTITUTE(SUBSTITUTE(SUBSTITUTE(SUBSTITUTE(SUBSTITUTE(SUBSTITUTE($C$2,
$C$4,INDIRECT(ADDRESS(ROW(A78), $D$4, 1, TRUE, "prepareData"))),
$C$5,INDIRECT(ADDRESS(ROW(A78), $D$5, 1, TRUE, "prepareData"))),
$C$6,INDIRECT(ADDRESS(ROW(A78), $D$6, 1, TRUE, "prepareData"))),
$C$7,INDIRECT(ADDRESS(ROW(A78), $D$7, 1, TRUE, "prepareData"))),
$C$8,INDIRECT(ADDRESS(ROW(A78), $D$8, 1, TRUE, "prepareData"))),
$C$9,INDIRECT(ADDRESS(ROW(A78), $D$9, 1, TRUE, "prepareData"))),
$C$10,INDIRECT(ADDRESS(ROW(A78), $D$10, 1, TRUE, "prepareData"))),
IF(AND(C87&lt;&gt;"",C87&lt;&gt;CHAR(10)&amp;"]"),"",""))
&amp;IF(ROW(C76)&lt;$A$12,","&amp;CHAR(10),"")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IF(INDIRECT(ADDRESS(ROW(A79), $D$4, 1, TRUE, "prepareData"))&lt;&gt;"",
SUBSTITUTE(SUBSTITUTE(SUBSTITUTE(SUBSTITUTE(SUBSTITUTE(SUBSTITUTE(SUBSTITUTE($C$2,
$C$4,INDIRECT(ADDRESS(ROW(A79), $D$4, 1, TRUE, "prepareData"))),
$C$5,INDIRECT(ADDRESS(ROW(A79), $D$5, 1, TRUE, "prepareData"))),
$C$6,INDIRECT(ADDRESS(ROW(A79), $D$6, 1, TRUE, "prepareData"))),
$C$7,INDIRECT(ADDRESS(ROW(A79), $D$7, 1, TRUE, "prepareData"))),
$C$8,INDIRECT(ADDRESS(ROW(A79), $D$8, 1, TRUE, "prepareData"))),
$C$9,INDIRECT(ADDRESS(ROW(A79), $D$9, 1, TRUE, "prepareData"))),
$C$10,INDIRECT(ADDRESS(ROW(A79), $D$10, 1, TRUE, "prepareData"))),
IF(AND(C88&lt;&gt;"",C88&lt;&gt;CHAR(10)&amp;"]"),"",""))
&amp;IF(ROW(C77)&lt;$A$12,","&amp;CHAR(10),"")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IF(INDIRECT(ADDRESS(ROW(A80), $D$4, 1, TRUE, "prepareData"))&lt;&gt;"",
SUBSTITUTE(SUBSTITUTE(SUBSTITUTE(SUBSTITUTE(SUBSTITUTE(SUBSTITUTE(SUBSTITUTE($C$2,
$C$4,INDIRECT(ADDRESS(ROW(A80), $D$4, 1, TRUE, "prepareData"))),
$C$5,INDIRECT(ADDRESS(ROW(A80), $D$5, 1, TRUE, "prepareData"))),
$C$6,INDIRECT(ADDRESS(ROW(A80), $D$6, 1, TRUE, "prepareData"))),
$C$7,INDIRECT(ADDRESS(ROW(A80), $D$7, 1, TRUE, "prepareData"))),
$C$8,INDIRECT(ADDRESS(ROW(A80), $D$8, 1, TRUE, "prepareData"))),
$C$9,INDIRECT(ADDRESS(ROW(A80), $D$9, 1, TRUE, "prepareData"))),
$C$10,INDIRECT(ADDRESS(ROW(A80), $D$10, 1, TRUE, "prepareData"))),
IF(AND(C89&lt;&gt;"",C89&lt;&gt;CHAR(10)&amp;"]"),"",""))
&amp;IF(ROW(C78)&lt;$A$12,","&amp;CHAR(10),"")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IF(INDIRECT(ADDRESS(ROW(A81), $D$4, 1, TRUE, "prepareData"))&lt;&gt;"",
SUBSTITUTE(SUBSTITUTE(SUBSTITUTE(SUBSTITUTE(SUBSTITUTE(SUBSTITUTE(SUBSTITUTE($C$2,
$C$4,INDIRECT(ADDRESS(ROW(A81), $D$4, 1, TRUE, "prepareData"))),
$C$5,INDIRECT(ADDRESS(ROW(A81), $D$5, 1, TRUE, "prepareData"))),
$C$6,INDIRECT(ADDRESS(ROW(A81), $D$6, 1, TRUE, "prepareData"))),
$C$7,INDIRECT(ADDRESS(ROW(A81), $D$7, 1, TRUE, "prepareData"))),
$C$8,INDIRECT(ADDRESS(ROW(A81), $D$8, 1, TRUE, "prepareData"))),
$C$9,INDIRECT(ADDRESS(ROW(A81), $D$9, 1, TRUE, "prepareData"))),
$C$10,INDIRECT(ADDRESS(ROW(A81), $D$10, 1, TRUE, "prepareData"))),
IF(AND(C90&lt;&gt;"",C90&lt;&gt;CHAR(10)&amp;"]"),"",""))
&amp;IF(ROW(C79)&lt;$A$12,","&amp;CHAR(10),"")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IF(INDIRECT(ADDRESS(ROW(A82), $D$4, 1, TRUE, "prepareData"))&lt;&gt;"",
SUBSTITUTE(SUBSTITUTE(SUBSTITUTE(SUBSTITUTE(SUBSTITUTE(SUBSTITUTE(SUBSTITUTE($C$2,
$C$4,INDIRECT(ADDRESS(ROW(A82), $D$4, 1, TRUE, "prepareData"))),
$C$5,INDIRECT(ADDRESS(ROW(A82), $D$5, 1, TRUE, "prepareData"))),
$C$6,INDIRECT(ADDRESS(ROW(A82), $D$6, 1, TRUE, "prepareData"))),
$C$7,INDIRECT(ADDRESS(ROW(A82), $D$7, 1, TRUE, "prepareData"))),
$C$8,INDIRECT(ADDRESS(ROW(A82), $D$8, 1, TRUE, "prepareData"))),
$C$9,INDIRECT(ADDRESS(ROW(A82), $D$9, 1, TRUE, "prepareData"))),
$C$10,INDIRECT(ADDRESS(ROW(A82), $D$10, 1, TRUE, "prepareData"))),
IF(AND(C91&lt;&gt;"",C91&lt;&gt;CHAR(10)&amp;"]"),"",""))
&amp;IF(ROW(C80)&lt;$A$12,","&amp;CHAR(10),"")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IF(INDIRECT(ADDRESS(ROW(A83), $D$4, 1, TRUE, "prepareData"))&lt;&gt;"",
SUBSTITUTE(SUBSTITUTE(SUBSTITUTE(SUBSTITUTE(SUBSTITUTE(SUBSTITUTE(SUBSTITUTE($C$2,
$C$4,INDIRECT(ADDRESS(ROW(A83), $D$4, 1, TRUE, "prepareData"))),
$C$5,INDIRECT(ADDRESS(ROW(A83), $D$5, 1, TRUE, "prepareData"))),
$C$6,INDIRECT(ADDRESS(ROW(A83), $D$6, 1, TRUE, "prepareData"))),
$C$7,INDIRECT(ADDRESS(ROW(A83), $D$7, 1, TRUE, "prepareData"))),
$C$8,INDIRECT(ADDRESS(ROW(A83), $D$8, 1, TRUE, "prepareData"))),
$C$9,INDIRECT(ADDRESS(ROW(A83), $D$9, 1, TRUE, "prepareData"))),
$C$10,INDIRECT(ADDRESS(ROW(A83), $D$10, 1, TRUE, "prepareData"))),
IF(AND(C92&lt;&gt;"",C92&lt;&gt;CHAR(10)&amp;"]"),"",""))
&amp;IF(ROW(C81)&lt;$A$12,","&amp;CHAR(10),"")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IF(INDIRECT(ADDRESS(ROW(A84), $D$4, 1, TRUE, "prepareData"))&lt;&gt;"",
SUBSTITUTE(SUBSTITUTE(SUBSTITUTE(SUBSTITUTE(SUBSTITUTE(SUBSTITUTE(SUBSTITUTE($C$2,
$C$4,INDIRECT(ADDRESS(ROW(A84), $D$4, 1, TRUE, "prepareData"))),
$C$5,INDIRECT(ADDRESS(ROW(A84), $D$5, 1, TRUE, "prepareData"))),
$C$6,INDIRECT(ADDRESS(ROW(A84), $D$6, 1, TRUE, "prepareData"))),
$C$7,INDIRECT(ADDRESS(ROW(A84), $D$7, 1, TRUE, "prepareData"))),
$C$8,INDIRECT(ADDRESS(ROW(A84), $D$8, 1, TRUE, "prepareData"))),
$C$9,INDIRECT(ADDRESS(ROW(A84), $D$9, 1, TRUE, "prepareData"))),
$C$10,INDIRECT(ADDRESS(ROW(A84), $D$10, 1, TRUE, "prepareData"))),
IF(AND(C93&lt;&gt;"",C93&lt;&gt;CHAR(10)&amp;"]"),"",""))
&amp;IF(ROW(C82)&lt;$A$12,","&amp;CHAR(10),"")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IF(INDIRECT(ADDRESS(ROW(A85), $D$4, 1, TRUE, "prepareData"))&lt;&gt;"",
SUBSTITUTE(SUBSTITUTE(SUBSTITUTE(SUBSTITUTE(SUBSTITUTE(SUBSTITUTE(SUBSTITUTE($C$2,
$C$4,INDIRECT(ADDRESS(ROW(A85), $D$4, 1, TRUE, "prepareData"))),
$C$5,INDIRECT(ADDRESS(ROW(A85), $D$5, 1, TRUE, "prepareData"))),
$C$6,INDIRECT(ADDRESS(ROW(A85), $D$6, 1, TRUE, "prepareData"))),
$C$7,INDIRECT(ADDRESS(ROW(A85), $D$7, 1, TRUE, "prepareData"))),
$C$8,INDIRECT(ADDRESS(ROW(A85), $D$8, 1, TRUE, "prepareData"))),
$C$9,INDIRECT(ADDRESS(ROW(A85), $D$9, 1, TRUE, "prepareData"))),
$C$10,INDIRECT(ADDRESS(ROW(A85), $D$10, 1, TRUE, "prepareData"))),
IF(AND(C94&lt;&gt;"",C94&lt;&gt;CHAR(10)&amp;"]"),"",""))
&amp;IF(ROW(C83)&lt;$A$12,","&amp;CHAR(10),"")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IF(INDIRECT(ADDRESS(ROW(A86), $D$4, 1, TRUE, "prepareData"))&lt;&gt;"",
SUBSTITUTE(SUBSTITUTE(SUBSTITUTE(SUBSTITUTE(SUBSTITUTE(SUBSTITUTE(SUBSTITUTE($C$2,
$C$4,INDIRECT(ADDRESS(ROW(A86), $D$4, 1, TRUE, "prepareData"))),
$C$5,INDIRECT(ADDRESS(ROW(A86), $D$5, 1, TRUE, "prepareData"))),
$C$6,INDIRECT(ADDRESS(ROW(A86), $D$6, 1, TRUE, "prepareData"))),
$C$7,INDIRECT(ADDRESS(ROW(A86), $D$7, 1, TRUE, "prepareData"))),
$C$8,INDIRECT(ADDRESS(ROW(A86), $D$8, 1, TRUE, "prepareData"))),
$C$9,INDIRECT(ADDRESS(ROW(A86), $D$9, 1, TRUE, "prepareData"))),
$C$10,INDIRECT(ADDRESS(ROW(A86), $D$10, 1, TRUE, "prepareData"))),
IF(AND(C95&lt;&gt;"",C95&lt;&gt;CHAR(10)&amp;"]"),"",""))
&amp;IF(ROW(C84)&lt;$A$12,","&amp;CHAR(10),"")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IF(INDIRECT(ADDRESS(ROW(A87), $D$4, 1, TRUE, "prepareData"))&lt;&gt;"",
SUBSTITUTE(SUBSTITUTE(SUBSTITUTE(SUBSTITUTE(SUBSTITUTE(SUBSTITUTE(SUBSTITUTE($C$2,
$C$4,INDIRECT(ADDRESS(ROW(A87), $D$4, 1, TRUE, "prepareData"))),
$C$5,INDIRECT(ADDRESS(ROW(A87), $D$5, 1, TRUE, "prepareData"))),
$C$6,INDIRECT(ADDRESS(ROW(A87), $D$6, 1, TRUE, "prepareData"))),
$C$7,INDIRECT(ADDRESS(ROW(A87), $D$7, 1, TRUE, "prepareData"))),
$C$8,INDIRECT(ADDRESS(ROW(A87), $D$8, 1, TRUE, "prepareData"))),
$C$9,INDIRECT(ADDRESS(ROW(A87), $D$9, 1, TRUE, "prepareData"))),
$C$10,INDIRECT(ADDRESS(ROW(A87), $D$10, 1, TRUE, "prepareData"))),
IF(AND(C96&lt;&gt;"",C96&lt;&gt;CHAR(10)&amp;"]"),"",""))
&amp;IF(ROW(C85)&lt;$A$12,","&amp;CHAR(10),"")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IF(INDIRECT(ADDRESS(ROW(A88), $D$4, 1, TRUE, "prepareData"))&lt;&gt;"",
SUBSTITUTE(SUBSTITUTE(SUBSTITUTE(SUBSTITUTE(SUBSTITUTE(SUBSTITUTE(SUBSTITUTE($C$2,
$C$4,INDIRECT(ADDRESS(ROW(A88), $D$4, 1, TRUE, "prepareData"))),
$C$5,INDIRECT(ADDRESS(ROW(A88), $D$5, 1, TRUE, "prepareData"))),
$C$6,INDIRECT(ADDRESS(ROW(A88), $D$6, 1, TRUE, "prepareData"))),
$C$7,INDIRECT(ADDRESS(ROW(A88), $D$7, 1, TRUE, "prepareData"))),
$C$8,INDIRECT(ADDRESS(ROW(A88), $D$8, 1, TRUE, "prepareData"))),
$C$9,INDIRECT(ADDRESS(ROW(A88), $D$9, 1, TRUE, "prepareData"))),
$C$10,INDIRECT(ADDRESS(ROW(A88), $D$10, 1, TRUE, "prepareData"))),
IF(AND(C97&lt;&gt;"",C97&lt;&gt;CHAR(10)&amp;"]"),"",""))
&amp;IF(ROW(C86)&lt;$A$12,","&amp;CHAR(10),"")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IF(INDIRECT(ADDRESS(ROW(A89), $D$4, 1, TRUE, "prepareData"))&lt;&gt;"",
SUBSTITUTE(SUBSTITUTE(SUBSTITUTE(SUBSTITUTE(SUBSTITUTE(SUBSTITUTE(SUBSTITUTE($C$2,
$C$4,INDIRECT(ADDRESS(ROW(A89), $D$4, 1, TRUE, "prepareData"))),
$C$5,INDIRECT(ADDRESS(ROW(A89), $D$5, 1, TRUE, "prepareData"))),
$C$6,INDIRECT(ADDRESS(ROW(A89), $D$6, 1, TRUE, "prepareData"))),
$C$7,INDIRECT(ADDRESS(ROW(A89), $D$7, 1, TRUE, "prepareData"))),
$C$8,INDIRECT(ADDRESS(ROW(A89), $D$8, 1, TRUE, "prepareData"))),
$C$9,INDIRECT(ADDRESS(ROW(A89), $D$9, 1, TRUE, "prepareData"))),
$C$10,INDIRECT(ADDRESS(ROW(A89), $D$10, 1, TRUE, "prepareData"))),
IF(AND(C98&lt;&gt;"",C98&lt;&gt;CHAR(10)&amp;"]"),"",""))
&amp;IF(ROW(C87)&lt;$A$12,","&amp;CHAR(10),"")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IF(INDIRECT(ADDRESS(ROW(A90), $D$4, 1, TRUE, "prepareData"))&lt;&gt;"",
SUBSTITUTE(SUBSTITUTE(SUBSTITUTE(SUBSTITUTE(SUBSTITUTE(SUBSTITUTE(SUBSTITUTE($C$2,
$C$4,INDIRECT(ADDRESS(ROW(A90), $D$4, 1, TRUE, "prepareData"))),
$C$5,INDIRECT(ADDRESS(ROW(A90), $D$5, 1, TRUE, "prepareData"))),
$C$6,INDIRECT(ADDRESS(ROW(A90), $D$6, 1, TRUE, "prepareData"))),
$C$7,INDIRECT(ADDRESS(ROW(A90), $D$7, 1, TRUE, "prepareData"))),
$C$8,INDIRECT(ADDRESS(ROW(A90), $D$8, 1, TRUE, "prepareData"))),
$C$9,INDIRECT(ADDRESS(ROW(A90), $D$9, 1, TRUE, "prepareData"))),
$C$10,INDIRECT(ADDRESS(ROW(A90), $D$10, 1, TRUE, "prepareData"))),
IF(AND(C99&lt;&gt;"",C99&lt;&gt;CHAR(10)&amp;"]"),"",""))
&amp;IF(ROW(C88)&lt;$A$12,","&amp;CHAR(10),"")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IF(INDIRECT(ADDRESS(ROW(A91), $D$4, 1, TRUE, "prepareData"))&lt;&gt;"",
SUBSTITUTE(SUBSTITUTE(SUBSTITUTE(SUBSTITUTE(SUBSTITUTE(SUBSTITUTE(SUBSTITUTE($C$2,
$C$4,INDIRECT(ADDRESS(ROW(A91), $D$4, 1, TRUE, "prepareData"))),
$C$5,INDIRECT(ADDRESS(ROW(A91), $D$5, 1, TRUE, "prepareData"))),
$C$6,INDIRECT(ADDRESS(ROW(A91), $D$6, 1, TRUE, "prepareData"))),
$C$7,INDIRECT(ADDRESS(ROW(A91), $D$7, 1, TRUE, "prepareData"))),
$C$8,INDIRECT(ADDRESS(ROW(A91), $D$8, 1, TRUE, "prepareData"))),
$C$9,INDIRECT(ADDRESS(ROW(A91), $D$9, 1, TRUE, "prepareData"))),
$C$10,INDIRECT(ADDRESS(ROW(A91), $D$10, 1, TRUE, "prepareData"))),
IF(AND(C100&lt;&gt;"",C100&lt;&gt;CHAR(10)&amp;"]"),"",""))
&amp;IF(ROW(C89)&lt;$A$12,","&amp;CHAR(10),"")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IF(INDIRECT(ADDRESS(ROW(A92), $D$4, 1, TRUE, "prepareData"))&lt;&gt;"",
SUBSTITUTE(SUBSTITUTE(SUBSTITUTE(SUBSTITUTE(SUBSTITUTE(SUBSTITUTE(SUBSTITUTE($C$2,
$C$4,INDIRECT(ADDRESS(ROW(A92), $D$4, 1, TRUE, "prepareData"))),
$C$5,INDIRECT(ADDRESS(ROW(A92), $D$5, 1, TRUE, "prepareData"))),
$C$6,INDIRECT(ADDRESS(ROW(A92), $D$6, 1, TRUE, "prepareData"))),
$C$7,INDIRECT(ADDRESS(ROW(A92), $D$7, 1, TRUE, "prepareData"))),
$C$8,INDIRECT(ADDRESS(ROW(A92), $D$8, 1, TRUE, "prepareData"))),
$C$9,INDIRECT(ADDRESS(ROW(A92), $D$9, 1, TRUE, "prepareData"))),
$C$10,INDIRECT(ADDRESS(ROW(A92), $D$10, 1, TRUE, "prepareData"))),
IF(AND(C101&lt;&gt;"",C101&lt;&gt;CHAR(10)&amp;"]"),"",""))
&amp;IF(ROW(C90)&lt;$A$12,","&amp;CHAR(10),"")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IF(INDIRECT(ADDRESS(ROW(A93), $D$4, 1, TRUE, "prepareData"))&lt;&gt;"",
SUBSTITUTE(SUBSTITUTE(SUBSTITUTE(SUBSTITUTE(SUBSTITUTE(SUBSTITUTE(SUBSTITUTE($C$2,
$C$4,INDIRECT(ADDRESS(ROW(A93), $D$4, 1, TRUE, "prepareData"))),
$C$5,INDIRECT(ADDRESS(ROW(A93), $D$5, 1, TRUE, "prepareData"))),
$C$6,INDIRECT(ADDRESS(ROW(A93), $D$6, 1, TRUE, "prepareData"))),
$C$7,INDIRECT(ADDRESS(ROW(A93), $D$7, 1, TRUE, "prepareData"))),
$C$8,INDIRECT(ADDRESS(ROW(A93), $D$8, 1, TRUE, "prepareData"))),
$C$9,INDIRECT(ADDRESS(ROW(A93), $D$9, 1, TRUE, "prepareData"))),
$C$10,INDIRECT(ADDRESS(ROW(A93), $D$10, 1, TRUE, "prepareData"))),
IF(AND(C102&lt;&gt;"",C102&lt;&gt;CHAR(10)&amp;"]"),"",""))
&amp;IF(ROW(C91)&lt;$A$12,","&amp;CHAR(10),"")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IF(INDIRECT(ADDRESS(ROW(A94), $D$4, 1, TRUE, "prepareData"))&lt;&gt;"",
SUBSTITUTE(SUBSTITUTE(SUBSTITUTE(SUBSTITUTE(SUBSTITUTE(SUBSTITUTE(SUBSTITUTE($C$2,
$C$4,INDIRECT(ADDRESS(ROW(A94), $D$4, 1, TRUE, "prepareData"))),
$C$5,INDIRECT(ADDRESS(ROW(A94), $D$5, 1, TRUE, "prepareData"))),
$C$6,INDIRECT(ADDRESS(ROW(A94), $D$6, 1, TRUE, "prepareData"))),
$C$7,INDIRECT(ADDRESS(ROW(A94), $D$7, 1, TRUE, "prepareData"))),
$C$8,INDIRECT(ADDRESS(ROW(A94), $D$8, 1, TRUE, "prepareData"))),
$C$9,INDIRECT(ADDRESS(ROW(A94), $D$9, 1, TRUE, "prepareData"))),
$C$10,INDIRECT(ADDRESS(ROW(A94), $D$10, 1, TRUE, "prepareData"))),
IF(AND(C103&lt;&gt;"",C103&lt;&gt;CHAR(10)&amp;"]"),"",""))
&amp;IF(ROW(C92)&lt;$A$12,","&amp;CHAR(10),"")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IF(INDIRECT(ADDRESS(ROW(A95), $D$4, 1, TRUE, "prepareData"))&lt;&gt;"",
SUBSTITUTE(SUBSTITUTE(SUBSTITUTE(SUBSTITUTE(SUBSTITUTE(SUBSTITUTE(SUBSTITUTE($C$2,
$C$4,INDIRECT(ADDRESS(ROW(A95), $D$4, 1, TRUE, "prepareData"))),
$C$5,INDIRECT(ADDRESS(ROW(A95), $D$5, 1, TRUE, "prepareData"))),
$C$6,INDIRECT(ADDRESS(ROW(A95), $D$6, 1, TRUE, "prepareData"))),
$C$7,INDIRECT(ADDRESS(ROW(A95), $D$7, 1, TRUE, "prepareData"))),
$C$8,INDIRECT(ADDRESS(ROW(A95), $D$8, 1, TRUE, "prepareData"))),
$C$9,INDIRECT(ADDRESS(ROW(A95), $D$9, 1, TRUE, "prepareData"))),
$C$10,INDIRECT(ADDRESS(ROW(A95), $D$10, 1, TRUE, "prepareData"))),
IF(AND(C104&lt;&gt;"",C104&lt;&gt;CHAR(10)&amp;"]"),"",""))
&amp;IF(ROW(C93)&lt;$A$12,","&amp;CHAR(10),"")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IF(INDIRECT(ADDRESS(ROW(A96), $D$4, 1, TRUE, "prepareData"))&lt;&gt;"",
SUBSTITUTE(SUBSTITUTE(SUBSTITUTE(SUBSTITUTE(SUBSTITUTE(SUBSTITUTE(SUBSTITUTE($C$2,
$C$4,INDIRECT(ADDRESS(ROW(A96), $D$4, 1, TRUE, "prepareData"))),
$C$5,INDIRECT(ADDRESS(ROW(A96), $D$5, 1, TRUE, "prepareData"))),
$C$6,INDIRECT(ADDRESS(ROW(A96), $D$6, 1, TRUE, "prepareData"))),
$C$7,INDIRECT(ADDRESS(ROW(A96), $D$7, 1, TRUE, "prepareData"))),
$C$8,INDIRECT(ADDRESS(ROW(A96), $D$8, 1, TRUE, "prepareData"))),
$C$9,INDIRECT(ADDRESS(ROW(A96), $D$9, 1, TRUE, "prepareData"))),
$C$10,INDIRECT(ADDRESS(ROW(A96), $D$10, 1, TRUE, "prepareData"))),
IF(AND(C105&lt;&gt;"",C105&lt;&gt;CHAR(10)&amp;"]"),"",""))
&amp;IF(ROW(C94)&lt;$A$12,","&amp;CHAR(10),"")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IF(INDIRECT(ADDRESS(ROW(A97), $D$4, 1, TRUE, "prepareData"))&lt;&gt;"",
SUBSTITUTE(SUBSTITUTE(SUBSTITUTE(SUBSTITUTE(SUBSTITUTE(SUBSTITUTE(SUBSTITUTE($C$2,
$C$4,INDIRECT(ADDRESS(ROW(A97), $D$4, 1, TRUE, "prepareData"))),
$C$5,INDIRECT(ADDRESS(ROW(A97), $D$5, 1, TRUE, "prepareData"))),
$C$6,INDIRECT(ADDRESS(ROW(A97), $D$6, 1, TRUE, "prepareData"))),
$C$7,INDIRECT(ADDRESS(ROW(A97), $D$7, 1, TRUE, "prepareData"))),
$C$8,INDIRECT(ADDRESS(ROW(A97), $D$8, 1, TRUE, "prepareData"))),
$C$9,INDIRECT(ADDRESS(ROW(A97), $D$9, 1, TRUE, "prepareData"))),
$C$10,INDIRECT(ADDRESS(ROW(A97), $D$10, 1, TRUE, "prepareData"))),
IF(AND(C106&lt;&gt;"",C106&lt;&gt;CHAR(10)&amp;"]"),"",""))
&amp;IF(ROW(C95)&lt;$A$12,","&amp;CHAR(10),"")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IF(INDIRECT(ADDRESS(ROW(A98), $D$4, 1, TRUE, "prepareData"))&lt;&gt;"",
SUBSTITUTE(SUBSTITUTE(SUBSTITUTE(SUBSTITUTE(SUBSTITUTE(SUBSTITUTE(SUBSTITUTE($C$2,
$C$4,INDIRECT(ADDRESS(ROW(A98), $D$4, 1, TRUE, "prepareData"))),
$C$5,INDIRECT(ADDRESS(ROW(A98), $D$5, 1, TRUE, "prepareData"))),
$C$6,INDIRECT(ADDRESS(ROW(A98), $D$6, 1, TRUE, "prepareData"))),
$C$7,INDIRECT(ADDRESS(ROW(A98), $D$7, 1, TRUE, "prepareData"))),
$C$8,INDIRECT(ADDRESS(ROW(A98), $D$8, 1, TRUE, "prepareData"))),
$C$9,INDIRECT(ADDRESS(ROW(A98), $D$9, 1, TRUE, "prepareData"))),
$C$10,INDIRECT(ADDRESS(ROW(A98), $D$10, 1, TRUE, "prepareData"))),
IF(AND(C107&lt;&gt;"",C107&lt;&gt;CHAR(10)&amp;"]"),"",""))
&amp;IF(ROW(C96)&lt;$A$12,","&amp;CHAR(10),"")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IF(INDIRECT(ADDRESS(ROW(A99), $D$4, 1, TRUE, "prepareData"))&lt;&gt;"",
SUBSTITUTE(SUBSTITUTE(SUBSTITUTE(SUBSTITUTE(SUBSTITUTE(SUBSTITUTE(SUBSTITUTE($C$2,
$C$4,INDIRECT(ADDRESS(ROW(A99), $D$4, 1, TRUE, "prepareData"))),
$C$5,INDIRECT(ADDRESS(ROW(A99), $D$5, 1, TRUE, "prepareData"))),
$C$6,INDIRECT(ADDRESS(ROW(A99), $D$6, 1, TRUE, "prepareData"))),
$C$7,INDIRECT(ADDRESS(ROW(A99), $D$7, 1, TRUE, "prepareData"))),
$C$8,INDIRECT(ADDRESS(ROW(A99), $D$8, 1, TRUE, "prepareData"))),
$C$9,INDIRECT(ADDRESS(ROW(A99), $D$9, 1, TRUE, "prepareData"))),
$C$10,INDIRECT(ADDRESS(ROW(A99), $D$10, 1, TRUE, "prepareData"))),
IF(AND(C108&lt;&gt;"",C108&lt;&gt;CHAR(10)&amp;"]"),"",""))
&amp;IF(ROW(C97)&lt;$A$12,","&amp;CHAR(10),"")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IF(INDIRECT(ADDRESS(ROW(A100), $D$4, 1, TRUE, "prepareData"))&lt;&gt;"",
SUBSTITUTE(SUBSTITUTE(SUBSTITUTE(SUBSTITUTE(SUBSTITUTE(SUBSTITUTE(SUBSTITUTE($C$2,
$C$4,INDIRECT(ADDRESS(ROW(A100), $D$4, 1, TRUE, "prepareData"))),
$C$5,INDIRECT(ADDRESS(ROW(A100), $D$5, 1, TRUE, "prepareData"))),
$C$6,INDIRECT(ADDRESS(ROW(A100), $D$6, 1, TRUE, "prepareData"))),
$C$7,INDIRECT(ADDRESS(ROW(A100), $D$7, 1, TRUE, "prepareData"))),
$C$8,INDIRECT(ADDRESS(ROW(A100), $D$8, 1, TRUE, "prepareData"))),
$C$9,INDIRECT(ADDRESS(ROW(A100), $D$9, 1, TRUE, "prepareData"))),
$C$10,INDIRECT(ADDRESS(ROW(A100), $D$10, 1, TRUE, "prepareData"))),
IF(AND(C109&lt;&gt;"",C109&lt;&gt;CHAR(10)&amp;"]"),"",""))
&amp;IF(ROW(C98)&lt;$A$12,","&amp;CHAR(10),"")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IF(INDIRECT(ADDRESS(ROW(A101), $D$4, 1, TRUE, "prepareData"))&lt;&gt;"",
SUBSTITUTE(SUBSTITUTE(SUBSTITUTE(SUBSTITUTE(SUBSTITUTE(SUBSTITUTE(SUBSTITUTE($C$2,
$C$4,INDIRECT(ADDRESS(ROW(A101), $D$4, 1, TRUE, "prepareData"))),
$C$5,INDIRECT(ADDRESS(ROW(A101), $D$5, 1, TRUE, "prepareData"))),
$C$6,INDIRECT(ADDRESS(ROW(A101), $D$6, 1, TRUE, "prepareData"))),
$C$7,INDIRECT(ADDRESS(ROW(A101), $D$7, 1, TRUE, "prepareData"))),
$C$8,INDIRECT(ADDRESS(ROW(A101), $D$8, 1, TRUE, "prepareData"))),
$C$9,INDIRECT(ADDRESS(ROW(A101), $D$9, 1, TRUE, "prepareData"))),
$C$10,INDIRECT(ADDRESS(ROW(A101), $D$10, 1, TRUE, "prepareData"))),
IF(AND(C110&lt;&gt;"",C110&lt;&gt;CHAR(10)&amp;"]"),"",""))
&amp;IF(ROW(C99)&lt;$A$12,","&amp;CHAR(10),"")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IF(INDIRECT(ADDRESS(ROW(A102), $D$4, 1, TRUE, "prepareData"))&lt;&gt;"",
SUBSTITUTE(SUBSTITUTE(SUBSTITUTE(SUBSTITUTE(SUBSTITUTE(SUBSTITUTE(SUBSTITUTE($C$2,
$C$4,INDIRECT(ADDRESS(ROW(A102), $D$4, 1, TRUE, "prepareData"))),
$C$5,INDIRECT(ADDRESS(ROW(A102), $D$5, 1, TRUE, "prepareData"))),
$C$6,INDIRECT(ADDRESS(ROW(A102), $D$6, 1, TRUE, "prepareData"))),
$C$7,INDIRECT(ADDRESS(ROW(A102), $D$7, 1, TRUE, "prepareData"))),
$C$8,INDIRECT(ADDRESS(ROW(A102), $D$8, 1, TRUE, "prepareData"))),
$C$9,INDIRECT(ADDRESS(ROW(A102), $D$9, 1, TRUE, "prepareData"))),
$C$10,INDIRECT(ADDRESS(ROW(A102), $D$10, 1, TRUE, "prepareData"))),
IF(AND(C111&lt;&gt;"",C111&lt;&gt;CHAR(10)&amp;"]"),"",""))
&amp;IF(ROW(C100)&lt;$A$12,","&amp;CHAR(10),"")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IF(INDIRECT(ADDRESS(ROW(A103), $D$4, 1, TRUE, "prepareData"))&lt;&gt;"",
SUBSTITUTE(SUBSTITUTE(SUBSTITUTE(SUBSTITUTE(SUBSTITUTE(SUBSTITUTE(SUBSTITUTE($C$2,
$C$4,INDIRECT(ADDRESS(ROW(A103), $D$4, 1, TRUE, "prepareData"))),
$C$5,INDIRECT(ADDRESS(ROW(A103), $D$5, 1, TRUE, "prepareData"))),
$C$6,INDIRECT(ADDRESS(ROW(A103), $D$6, 1, TRUE, "prepareData"))),
$C$7,INDIRECT(ADDRESS(ROW(A103), $D$7, 1, TRUE, "prepareData"))),
$C$8,INDIRECT(ADDRESS(ROW(A103), $D$8, 1, TRUE, "prepareData"))),
$C$9,INDIRECT(ADDRESS(ROW(A103), $D$9, 1, TRUE, "prepareData"))),
$C$10,INDIRECT(ADDRESS(ROW(A103), $D$10, 1, TRUE, "prepareData"))),
IF(AND(C112&lt;&gt;"",C112&lt;&gt;CHAR(10)&amp;"]"),"",""))
&amp;IF(ROW(C101)&lt;$A$12,","&amp;CHAR(10),"")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IF(INDIRECT(ADDRESS(ROW(A104), $D$4, 1, TRUE, "prepareData"))&lt;&gt;"",
SUBSTITUTE(SUBSTITUTE(SUBSTITUTE(SUBSTITUTE(SUBSTITUTE(SUBSTITUTE(SUBSTITUTE($C$2,
$C$4,INDIRECT(ADDRESS(ROW(A104), $D$4, 1, TRUE, "prepareData"))),
$C$5,INDIRECT(ADDRESS(ROW(A104), $D$5, 1, TRUE, "prepareData"))),
$C$6,INDIRECT(ADDRESS(ROW(A104), $D$6, 1, TRUE, "prepareData"))),
$C$7,INDIRECT(ADDRESS(ROW(A104), $D$7, 1, TRUE, "prepareData"))),
$C$8,INDIRECT(ADDRESS(ROW(A104), $D$8, 1, TRUE, "prepareData"))),
$C$9,INDIRECT(ADDRESS(ROW(A104), $D$9, 1, TRUE, "prepareData"))),
$C$10,INDIRECT(ADDRESS(ROW(A104), $D$10, 1, TRUE, "prepareData"))),
IF(AND(C113&lt;&gt;"",C113&lt;&gt;CHAR(10)&amp;"]"),"",""))
&amp;IF(ROW(C102)&lt;$A$12,","&amp;CHAR(10),"")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IF(INDIRECT(ADDRESS(ROW(A105), $D$4, 1, TRUE, "prepareData"))&lt;&gt;"",
SUBSTITUTE(SUBSTITUTE(SUBSTITUTE(SUBSTITUTE(SUBSTITUTE(SUBSTITUTE(SUBSTITUTE($C$2,
$C$4,INDIRECT(ADDRESS(ROW(A105), $D$4, 1, TRUE, "prepareData"))),
$C$5,INDIRECT(ADDRESS(ROW(A105), $D$5, 1, TRUE, "prepareData"))),
$C$6,INDIRECT(ADDRESS(ROW(A105), $D$6, 1, TRUE, "prepareData"))),
$C$7,INDIRECT(ADDRESS(ROW(A105), $D$7, 1, TRUE, "prepareData"))),
$C$8,INDIRECT(ADDRESS(ROW(A105), $D$8, 1, TRUE, "prepareData"))),
$C$9,INDIRECT(ADDRESS(ROW(A105), $D$9, 1, TRUE, "prepareData"))),
$C$10,INDIRECT(ADDRESS(ROW(A105), $D$10, 1, TRUE, "prepareData"))),
IF(AND(C114&lt;&gt;"",C114&lt;&gt;CHAR(10)&amp;"]"),"",""))
&amp;IF(ROW(C103)&lt;$A$12,","&amp;CHAR(10),"")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IF(INDIRECT(ADDRESS(ROW(A106), $D$4, 1, TRUE, "prepareData"))&lt;&gt;"",
SUBSTITUTE(SUBSTITUTE(SUBSTITUTE(SUBSTITUTE(SUBSTITUTE(SUBSTITUTE(SUBSTITUTE($C$2,
$C$4,INDIRECT(ADDRESS(ROW(A106), $D$4, 1, TRUE, "prepareData"))),
$C$5,INDIRECT(ADDRESS(ROW(A106), $D$5, 1, TRUE, "prepareData"))),
$C$6,INDIRECT(ADDRESS(ROW(A106), $D$6, 1, TRUE, "prepareData"))),
$C$7,INDIRECT(ADDRESS(ROW(A106), $D$7, 1, TRUE, "prepareData"))),
$C$8,INDIRECT(ADDRESS(ROW(A106), $D$8, 1, TRUE, "prepareData"))),
$C$9,INDIRECT(ADDRESS(ROW(A106), $D$9, 1, TRUE, "prepareData"))),
$C$10,INDIRECT(ADDRESS(ROW(A106), $D$10, 1, TRUE, "prepareData"))),
IF(AND(C115&lt;&gt;"",C115&lt;&gt;CHAR(10)&amp;"]"),"",""))
&amp;IF(ROW(C104)&lt;$A$12,","&amp;CHAR(10),"")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IF(INDIRECT(ADDRESS(ROW(A107), $D$4, 1, TRUE, "prepareData"))&lt;&gt;"",
SUBSTITUTE(SUBSTITUTE(SUBSTITUTE(SUBSTITUTE(SUBSTITUTE(SUBSTITUTE(SUBSTITUTE($C$2,
$C$4,INDIRECT(ADDRESS(ROW(A107), $D$4, 1, TRUE, "prepareData"))),
$C$5,INDIRECT(ADDRESS(ROW(A107), $D$5, 1, TRUE, "prepareData"))),
$C$6,INDIRECT(ADDRESS(ROW(A107), $D$6, 1, TRUE, "prepareData"))),
$C$7,INDIRECT(ADDRESS(ROW(A107), $D$7, 1, TRUE, "prepareData"))),
$C$8,INDIRECT(ADDRESS(ROW(A107), $D$8, 1, TRUE, "prepareData"))),
$C$9,INDIRECT(ADDRESS(ROW(A107), $D$9, 1, TRUE, "prepareData"))),
$C$10,INDIRECT(ADDRESS(ROW(A107), $D$10, 1, TRUE, "prepareData"))),
IF(AND(C116&lt;&gt;"",C116&lt;&gt;CHAR(10)&amp;"]"),"",""))
&amp;IF(ROW(C105)&lt;$A$12,","&amp;CHAR(10),"")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IF(INDIRECT(ADDRESS(ROW(A108), $D$4, 1, TRUE, "prepareData"))&lt;&gt;"",
SUBSTITUTE(SUBSTITUTE(SUBSTITUTE(SUBSTITUTE(SUBSTITUTE(SUBSTITUTE(SUBSTITUTE($C$2,
$C$4,INDIRECT(ADDRESS(ROW(A108), $D$4, 1, TRUE, "prepareData"))),
$C$5,INDIRECT(ADDRESS(ROW(A108), $D$5, 1, TRUE, "prepareData"))),
$C$6,INDIRECT(ADDRESS(ROW(A108), $D$6, 1, TRUE, "prepareData"))),
$C$7,INDIRECT(ADDRESS(ROW(A108), $D$7, 1, TRUE, "prepareData"))),
$C$8,INDIRECT(ADDRESS(ROW(A108), $D$8, 1, TRUE, "prepareData"))),
$C$9,INDIRECT(ADDRESS(ROW(A108), $D$9, 1, TRUE, "prepareData"))),
$C$10,INDIRECT(ADDRESS(ROW(A108), $D$10, 1, TRUE, "prepareData"))),
IF(AND(C117&lt;&gt;"",C117&lt;&gt;CHAR(10)&amp;"]"),"",""))
&amp;IF(ROW(C106)&lt;$A$12,","&amp;CHAR(10),"")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IF(INDIRECT(ADDRESS(ROW(A109), $D$4, 1, TRUE, "prepareData"))&lt;&gt;"",
SUBSTITUTE(SUBSTITUTE(SUBSTITUTE(SUBSTITUTE(SUBSTITUTE(SUBSTITUTE(SUBSTITUTE($C$2,
$C$4,INDIRECT(ADDRESS(ROW(A109), $D$4, 1, TRUE, "prepareData"))),
$C$5,INDIRECT(ADDRESS(ROW(A109), $D$5, 1, TRUE, "prepareData"))),
$C$6,INDIRECT(ADDRESS(ROW(A109), $D$6, 1, TRUE, "prepareData"))),
$C$7,INDIRECT(ADDRESS(ROW(A109), $D$7, 1, TRUE, "prepareData"))),
$C$8,INDIRECT(ADDRESS(ROW(A109), $D$8, 1, TRUE, "prepareData"))),
$C$9,INDIRECT(ADDRESS(ROW(A109), $D$9, 1, TRUE, "prepareData"))),
$C$10,INDIRECT(ADDRESS(ROW(A109), $D$10, 1, TRUE, "prepareData"))),
IF(AND(C118&lt;&gt;"",C118&lt;&gt;CHAR(10)&amp;"]"),"",""))
&amp;IF(ROW(C107)&lt;$A$12,","&amp;CHAR(10),"")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IF(INDIRECT(ADDRESS(ROW(A110), $D$4, 1, TRUE, "prepareData"))&lt;&gt;"",
SUBSTITUTE(SUBSTITUTE(SUBSTITUTE(SUBSTITUTE(SUBSTITUTE(SUBSTITUTE(SUBSTITUTE($C$2,
$C$4,INDIRECT(ADDRESS(ROW(A110), $D$4, 1, TRUE, "prepareData"))),
$C$5,INDIRECT(ADDRESS(ROW(A110), $D$5, 1, TRUE, "prepareData"))),
$C$6,INDIRECT(ADDRESS(ROW(A110), $D$6, 1, TRUE, "prepareData"))),
$C$7,INDIRECT(ADDRESS(ROW(A110), $D$7, 1, TRUE, "prepareData"))),
$C$8,INDIRECT(ADDRESS(ROW(A110), $D$8, 1, TRUE, "prepareData"))),
$C$9,INDIRECT(ADDRESS(ROW(A110), $D$9, 1, TRUE, "prepareData"))),
$C$10,INDIRECT(ADDRESS(ROW(A110), $D$10, 1, TRUE, "prepareData"))),
IF(AND(C119&lt;&gt;"",C119&lt;&gt;CHAR(10)&amp;"]"),"",""))
&amp;IF(ROW(C108)&lt;$A$12,","&amp;CHAR(10),"")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IF(INDIRECT(ADDRESS(ROW(A111), $D$4, 1, TRUE, "prepareData"))&lt;&gt;"",
SUBSTITUTE(SUBSTITUTE(SUBSTITUTE(SUBSTITUTE(SUBSTITUTE(SUBSTITUTE(SUBSTITUTE($C$2,
$C$4,INDIRECT(ADDRESS(ROW(A111), $D$4, 1, TRUE, "prepareData"))),
$C$5,INDIRECT(ADDRESS(ROW(A111), $D$5, 1, TRUE, "prepareData"))),
$C$6,INDIRECT(ADDRESS(ROW(A111), $D$6, 1, TRUE, "prepareData"))),
$C$7,INDIRECT(ADDRESS(ROW(A111), $D$7, 1, TRUE, "prepareData"))),
$C$8,INDIRECT(ADDRESS(ROW(A111), $D$8, 1, TRUE, "prepareData"))),
$C$9,INDIRECT(ADDRESS(ROW(A111), $D$9, 1, TRUE, "prepareData"))),
$C$10,INDIRECT(ADDRESS(ROW(A111), $D$10, 1, TRUE, "prepareData"))),
IF(AND(C120&lt;&gt;"",C120&lt;&gt;CHAR(10)&amp;"]"),"",""))
&amp;IF(ROW(C109)&lt;$A$12,","&amp;CHAR(10),"")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IF(INDIRECT(ADDRESS(ROW(A112), $D$4, 1, TRUE, "prepareData"))&lt;&gt;"",
SUBSTITUTE(SUBSTITUTE(SUBSTITUTE(SUBSTITUTE(SUBSTITUTE(SUBSTITUTE(SUBSTITUTE($C$2,
$C$4,INDIRECT(ADDRESS(ROW(A112), $D$4, 1, TRUE, "prepareData"))),
$C$5,INDIRECT(ADDRESS(ROW(A112), $D$5, 1, TRUE, "prepareData"))),
$C$6,INDIRECT(ADDRESS(ROW(A112), $D$6, 1, TRUE, "prepareData"))),
$C$7,INDIRECT(ADDRESS(ROW(A112), $D$7, 1, TRUE, "prepareData"))),
$C$8,INDIRECT(ADDRESS(ROW(A112), $D$8, 1, TRUE, "prepareData"))),
$C$9,INDIRECT(ADDRESS(ROW(A112), $D$9, 1, TRUE, "prepareData"))),
$C$10,INDIRECT(ADDRESS(ROW(A112), $D$10, 1, TRUE, "prepareData"))),
IF(AND(C121&lt;&gt;"",C121&lt;&gt;CHAR(10)&amp;"]"),"",""))
&amp;IF(ROW(C110)&lt;$A$12,","&amp;CHAR(10),"")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IF(INDIRECT(ADDRESS(ROW(A113), $D$4, 1, TRUE, "prepareData"))&lt;&gt;"",
SUBSTITUTE(SUBSTITUTE(SUBSTITUTE(SUBSTITUTE(SUBSTITUTE(SUBSTITUTE(SUBSTITUTE($C$2,
$C$4,INDIRECT(ADDRESS(ROW(A113), $D$4, 1, TRUE, "prepareData"))),
$C$5,INDIRECT(ADDRESS(ROW(A113), $D$5, 1, TRUE, "prepareData"))),
$C$6,INDIRECT(ADDRESS(ROW(A113), $D$6, 1, TRUE, "prepareData"))),
$C$7,INDIRECT(ADDRESS(ROW(A113), $D$7, 1, TRUE, "prepareData"))),
$C$8,INDIRECT(ADDRESS(ROW(A113), $D$8, 1, TRUE, "prepareData"))),
$C$9,INDIRECT(ADDRESS(ROW(A113), $D$9, 1, TRUE, "prepareData"))),
$C$10,INDIRECT(ADDRESS(ROW(A113), $D$10, 1, TRUE, "prepareData"))),
IF(AND(C122&lt;&gt;"",C122&lt;&gt;CHAR(10)&amp;"]"),"",""))
&amp;IF(ROW(C111)&lt;$A$12,","&amp;CHAR(10),"")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IF(INDIRECT(ADDRESS(ROW(A114), $D$4, 1, TRUE, "prepareData"))&lt;&gt;"",
SUBSTITUTE(SUBSTITUTE(SUBSTITUTE(SUBSTITUTE(SUBSTITUTE(SUBSTITUTE(SUBSTITUTE($C$2,
$C$4,INDIRECT(ADDRESS(ROW(A114), $D$4, 1, TRUE, "prepareData"))),
$C$5,INDIRECT(ADDRESS(ROW(A114), $D$5, 1, TRUE, "prepareData"))),
$C$6,INDIRECT(ADDRESS(ROW(A114), $D$6, 1, TRUE, "prepareData"))),
$C$7,INDIRECT(ADDRESS(ROW(A114), $D$7, 1, TRUE, "prepareData"))),
$C$8,INDIRECT(ADDRESS(ROW(A114), $D$8, 1, TRUE, "prepareData"))),
$C$9,INDIRECT(ADDRESS(ROW(A114), $D$9, 1, TRUE, "prepareData"))),
$C$10,INDIRECT(ADDRESS(ROW(A114), $D$10, 1, TRUE, "prepareData"))),
IF(AND(C123&lt;&gt;"",C123&lt;&gt;CHAR(10)&amp;"]"),"",""))
&amp;IF(ROW(C112)&lt;$A$12,","&amp;CHAR(10),"")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IF(INDIRECT(ADDRESS(ROW(A115), $D$4, 1, TRUE, "prepareData"))&lt;&gt;"",
SUBSTITUTE(SUBSTITUTE(SUBSTITUTE(SUBSTITUTE(SUBSTITUTE(SUBSTITUTE(SUBSTITUTE($C$2,
$C$4,INDIRECT(ADDRESS(ROW(A115), $D$4, 1, TRUE, "prepareData"))),
$C$5,INDIRECT(ADDRESS(ROW(A115), $D$5, 1, TRUE, "prepareData"))),
$C$6,INDIRECT(ADDRESS(ROW(A115), $D$6, 1, TRUE, "prepareData"))),
$C$7,INDIRECT(ADDRESS(ROW(A115), $D$7, 1, TRUE, "prepareData"))),
$C$8,INDIRECT(ADDRESS(ROW(A115), $D$8, 1, TRUE, "prepareData"))),
$C$9,INDIRECT(ADDRESS(ROW(A115), $D$9, 1, TRUE, "prepareData"))),
$C$10,INDIRECT(ADDRESS(ROW(A115), $D$10, 1, TRUE, "prepareData"))),
IF(AND(C124&lt;&gt;"",C124&lt;&gt;CHAR(10)&amp;"]"),"",""))
&amp;IF(ROW(C113)&lt;$A$12,","&amp;CHAR(10),"")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IF(INDIRECT(ADDRESS(ROW(A116), $D$4, 1, TRUE, "prepareData"))&lt;&gt;"",
SUBSTITUTE(SUBSTITUTE(SUBSTITUTE(SUBSTITUTE(SUBSTITUTE(SUBSTITUTE(SUBSTITUTE($C$2,
$C$4,INDIRECT(ADDRESS(ROW(A116), $D$4, 1, TRUE, "prepareData"))),
$C$5,INDIRECT(ADDRESS(ROW(A116), $D$5, 1, TRUE, "prepareData"))),
$C$6,INDIRECT(ADDRESS(ROW(A116), $D$6, 1, TRUE, "prepareData"))),
$C$7,INDIRECT(ADDRESS(ROW(A116), $D$7, 1, TRUE, "prepareData"))),
$C$8,INDIRECT(ADDRESS(ROW(A116), $D$8, 1, TRUE, "prepareData"))),
$C$9,INDIRECT(ADDRESS(ROW(A116), $D$9, 1, TRUE, "prepareData"))),
$C$10,INDIRECT(ADDRESS(ROW(A116), $D$10, 1, TRUE, "prepareData"))),
IF(AND(C125&lt;&gt;"",C125&lt;&gt;CHAR(10)&amp;"]"),"",""))
&amp;IF(ROW(C114)&lt;$A$12,","&amp;CHAR(10),"")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IF(INDIRECT(ADDRESS(ROW(A117), $D$4, 1, TRUE, "prepareData"))&lt;&gt;"",
SUBSTITUTE(SUBSTITUTE(SUBSTITUTE(SUBSTITUTE(SUBSTITUTE(SUBSTITUTE(SUBSTITUTE($C$2,
$C$4,INDIRECT(ADDRESS(ROW(A117), $D$4, 1, TRUE, "prepareData"))),
$C$5,INDIRECT(ADDRESS(ROW(A117), $D$5, 1, TRUE, "prepareData"))),
$C$6,INDIRECT(ADDRESS(ROW(A117), $D$6, 1, TRUE, "prepareData"))),
$C$7,INDIRECT(ADDRESS(ROW(A117), $D$7, 1, TRUE, "prepareData"))),
$C$8,INDIRECT(ADDRESS(ROW(A117), $D$8, 1, TRUE, "prepareData"))),
$C$9,INDIRECT(ADDRESS(ROW(A117), $D$9, 1, TRUE, "prepareData"))),
$C$10,INDIRECT(ADDRESS(ROW(A117), $D$10, 1, TRUE, "prepareData"))),
IF(AND(C126&lt;&gt;"",C126&lt;&gt;CHAR(10)&amp;"]"),"",""))
&amp;IF(ROW(C115)&lt;$A$12,","&amp;CHAR(10),"")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IF(INDIRECT(ADDRESS(ROW(A118), $D$4, 1, TRUE, "prepareData"))&lt;&gt;"",
SUBSTITUTE(SUBSTITUTE(SUBSTITUTE(SUBSTITUTE(SUBSTITUTE(SUBSTITUTE(SUBSTITUTE($C$2,
$C$4,INDIRECT(ADDRESS(ROW(A118), $D$4, 1, TRUE, "prepareData"))),
$C$5,INDIRECT(ADDRESS(ROW(A118), $D$5, 1, TRUE, "prepareData"))),
$C$6,INDIRECT(ADDRESS(ROW(A118), $D$6, 1, TRUE, "prepareData"))),
$C$7,INDIRECT(ADDRESS(ROW(A118), $D$7, 1, TRUE, "prepareData"))),
$C$8,INDIRECT(ADDRESS(ROW(A118), $D$8, 1, TRUE, "prepareData"))),
$C$9,INDIRECT(ADDRESS(ROW(A118), $D$9, 1, TRUE, "prepareData"))),
$C$10,INDIRECT(ADDRESS(ROW(A118), $D$10, 1, TRUE, "prepareData"))),
IF(AND(C127&lt;&gt;"",C127&lt;&gt;CHAR(10)&amp;"]"),"",""))
&amp;IF(ROW(C116)&lt;$A$12,","&amp;CHAR(10),"")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IF(INDIRECT(ADDRESS(ROW(A119), $D$4, 1, TRUE, "prepareData"))&lt;&gt;"",
SUBSTITUTE(SUBSTITUTE(SUBSTITUTE(SUBSTITUTE(SUBSTITUTE(SUBSTITUTE(SUBSTITUTE($C$2,
$C$4,INDIRECT(ADDRESS(ROW(A119), $D$4, 1, TRUE, "prepareData"))),
$C$5,INDIRECT(ADDRESS(ROW(A119), $D$5, 1, TRUE, "prepareData"))),
$C$6,INDIRECT(ADDRESS(ROW(A119), $D$6, 1, TRUE, "prepareData"))),
$C$7,INDIRECT(ADDRESS(ROW(A119), $D$7, 1, TRUE, "prepareData"))),
$C$8,INDIRECT(ADDRESS(ROW(A119), $D$8, 1, TRUE, "prepareData"))),
$C$9,INDIRECT(ADDRESS(ROW(A119), $D$9, 1, TRUE, "prepareData"))),
$C$10,INDIRECT(ADDRESS(ROW(A119), $D$10, 1, TRUE, "prepareData"))),
IF(AND(C128&lt;&gt;"",C128&lt;&gt;CHAR(10)&amp;"]"),"",""))
&amp;IF(ROW(C117)&lt;$A$12,","&amp;CHAR(10),"")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IF(INDIRECT(ADDRESS(ROW(A120), $D$4, 1, TRUE, "prepareData"))&lt;&gt;"",
SUBSTITUTE(SUBSTITUTE(SUBSTITUTE(SUBSTITUTE(SUBSTITUTE(SUBSTITUTE(SUBSTITUTE($C$2,
$C$4,INDIRECT(ADDRESS(ROW(A120), $D$4, 1, TRUE, "prepareData"))),
$C$5,INDIRECT(ADDRESS(ROW(A120), $D$5, 1, TRUE, "prepareData"))),
$C$6,INDIRECT(ADDRESS(ROW(A120), $D$6, 1, TRUE, "prepareData"))),
$C$7,INDIRECT(ADDRESS(ROW(A120), $D$7, 1, TRUE, "prepareData"))),
$C$8,INDIRECT(ADDRESS(ROW(A120), $D$8, 1, TRUE, "prepareData"))),
$C$9,INDIRECT(ADDRESS(ROW(A120), $D$9, 1, TRUE, "prepareData"))),
$C$10,INDIRECT(ADDRESS(ROW(A120), $D$10, 1, TRUE, "prepareData"))),
IF(AND(C129&lt;&gt;"",C129&lt;&gt;CHAR(10)&amp;"]"),"",""))
&amp;IF(ROW(C118)&lt;$A$12,","&amp;CHAR(10),"")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IF(INDIRECT(ADDRESS(ROW(A121), $D$4, 1, TRUE, "prepareData"))&lt;&gt;"",
SUBSTITUTE(SUBSTITUTE(SUBSTITUTE(SUBSTITUTE(SUBSTITUTE(SUBSTITUTE(SUBSTITUTE($C$2,
$C$4,INDIRECT(ADDRESS(ROW(A121), $D$4, 1, TRUE, "prepareData"))),
$C$5,INDIRECT(ADDRESS(ROW(A121), $D$5, 1, TRUE, "prepareData"))),
$C$6,INDIRECT(ADDRESS(ROW(A121), $D$6, 1, TRUE, "prepareData"))),
$C$7,INDIRECT(ADDRESS(ROW(A121), $D$7, 1, TRUE, "prepareData"))),
$C$8,INDIRECT(ADDRESS(ROW(A121), $D$8, 1, TRUE, "prepareData"))),
$C$9,INDIRECT(ADDRESS(ROW(A121), $D$9, 1, TRUE, "prepareData"))),
$C$10,INDIRECT(ADDRESS(ROW(A121), $D$10, 1, TRUE, "prepareData"))),
IF(AND(C130&lt;&gt;"",C130&lt;&gt;CHAR(10)&amp;"]"),"",""))
&amp;IF(ROW(C119)&lt;$A$12,","&amp;CHAR(10),"")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IF(INDIRECT(ADDRESS(ROW(A122), $D$4, 1, TRUE, "prepareData"))&lt;&gt;"",
SUBSTITUTE(SUBSTITUTE(SUBSTITUTE(SUBSTITUTE(SUBSTITUTE(SUBSTITUTE(SUBSTITUTE($C$2,
$C$4,INDIRECT(ADDRESS(ROW(A122), $D$4, 1, TRUE, "prepareData"))),
$C$5,INDIRECT(ADDRESS(ROW(A122), $D$5, 1, TRUE, "prepareData"))),
$C$6,INDIRECT(ADDRESS(ROW(A122), $D$6, 1, TRUE, "prepareData"))),
$C$7,INDIRECT(ADDRESS(ROW(A122), $D$7, 1, TRUE, "prepareData"))),
$C$8,INDIRECT(ADDRESS(ROW(A122), $D$8, 1, TRUE, "prepareData"))),
$C$9,INDIRECT(ADDRESS(ROW(A122), $D$9, 1, TRUE, "prepareData"))),
$C$10,INDIRECT(ADDRESS(ROW(A122), $D$10, 1, TRUE, "prepareData"))),
IF(AND(C131&lt;&gt;"",C131&lt;&gt;CHAR(10)&amp;"]"),"",""))
&amp;IF(ROW(C120)&lt;$A$12,","&amp;CHAR(10),"")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IF(INDIRECT(ADDRESS(ROW(A123), $D$4, 1, TRUE, "prepareData"))&lt;&gt;"",
SUBSTITUTE(SUBSTITUTE(SUBSTITUTE(SUBSTITUTE(SUBSTITUTE(SUBSTITUTE(SUBSTITUTE($C$2,
$C$4,INDIRECT(ADDRESS(ROW(A123), $D$4, 1, TRUE, "prepareData"))),
$C$5,INDIRECT(ADDRESS(ROW(A123), $D$5, 1, TRUE, "prepareData"))),
$C$6,INDIRECT(ADDRESS(ROW(A123), $D$6, 1, TRUE, "prepareData"))),
$C$7,INDIRECT(ADDRESS(ROW(A123), $D$7, 1, TRUE, "prepareData"))),
$C$8,INDIRECT(ADDRESS(ROW(A123), $D$8, 1, TRUE, "prepareData"))),
$C$9,INDIRECT(ADDRESS(ROW(A123), $D$9, 1, TRUE, "prepareData"))),
$C$10,INDIRECT(ADDRESS(ROW(A123), $D$10, 1, TRUE, "prepareData"))),
IF(AND(C132&lt;&gt;"",C132&lt;&gt;CHAR(10)&amp;"]"),"",""))
&amp;IF(ROW(C121)&lt;$A$12,","&amp;CHAR(10),"")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IF(INDIRECT(ADDRESS(ROW(A124), $D$4, 1, TRUE, "prepareData"))&lt;&gt;"",
SUBSTITUTE(SUBSTITUTE(SUBSTITUTE(SUBSTITUTE(SUBSTITUTE(SUBSTITUTE(SUBSTITUTE($C$2,
$C$4,INDIRECT(ADDRESS(ROW(A124), $D$4, 1, TRUE, "prepareData"))),
$C$5,INDIRECT(ADDRESS(ROW(A124), $D$5, 1, TRUE, "prepareData"))),
$C$6,INDIRECT(ADDRESS(ROW(A124), $D$6, 1, TRUE, "prepareData"))),
$C$7,INDIRECT(ADDRESS(ROW(A124), $D$7, 1, TRUE, "prepareData"))),
$C$8,INDIRECT(ADDRESS(ROW(A124), $D$8, 1, TRUE, "prepareData"))),
$C$9,INDIRECT(ADDRESS(ROW(A124), $D$9, 1, TRUE, "prepareData"))),
$C$10,INDIRECT(ADDRESS(ROW(A124), $D$10, 1, TRUE, "prepareData"))),
IF(AND(C133&lt;&gt;"",C133&lt;&gt;CHAR(10)&amp;"]"),"",""))
&amp;IF(ROW(C122)&lt;$A$12,","&amp;CHAR(10),"")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IF(INDIRECT(ADDRESS(ROW(A125), $D$4, 1, TRUE, "prepareData"))&lt;&gt;"",
SUBSTITUTE(SUBSTITUTE(SUBSTITUTE(SUBSTITUTE(SUBSTITUTE(SUBSTITUTE(SUBSTITUTE($C$2,
$C$4,INDIRECT(ADDRESS(ROW(A125), $D$4, 1, TRUE, "prepareData"))),
$C$5,INDIRECT(ADDRESS(ROW(A125), $D$5, 1, TRUE, "prepareData"))),
$C$6,INDIRECT(ADDRESS(ROW(A125), $D$6, 1, TRUE, "prepareData"))),
$C$7,INDIRECT(ADDRESS(ROW(A125), $D$7, 1, TRUE, "prepareData"))),
$C$8,INDIRECT(ADDRESS(ROW(A125), $D$8, 1, TRUE, "prepareData"))),
$C$9,INDIRECT(ADDRESS(ROW(A125), $D$9, 1, TRUE, "prepareData"))),
$C$10,INDIRECT(ADDRESS(ROW(A125), $D$10, 1, TRUE, "prepareData"))),
IF(AND(C134&lt;&gt;"",C134&lt;&gt;CHAR(10)&amp;"]"),"",""))
&amp;IF(ROW(C123)&lt;$A$12,","&amp;CHAR(10),"")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IF(INDIRECT(ADDRESS(ROW(A126), $D$4, 1, TRUE, "prepareData"))&lt;&gt;"",
SUBSTITUTE(SUBSTITUTE(SUBSTITUTE(SUBSTITUTE(SUBSTITUTE(SUBSTITUTE(SUBSTITUTE($C$2,
$C$4,INDIRECT(ADDRESS(ROW(A126), $D$4, 1, TRUE, "prepareData"))),
$C$5,INDIRECT(ADDRESS(ROW(A126), $D$5, 1, TRUE, "prepareData"))),
$C$6,INDIRECT(ADDRESS(ROW(A126), $D$6, 1, TRUE, "prepareData"))),
$C$7,INDIRECT(ADDRESS(ROW(A126), $D$7, 1, TRUE, "prepareData"))),
$C$8,INDIRECT(ADDRESS(ROW(A126), $D$8, 1, TRUE, "prepareData"))),
$C$9,INDIRECT(ADDRESS(ROW(A126), $D$9, 1, TRUE, "prepareData"))),
$C$10,INDIRECT(ADDRESS(ROW(A126), $D$10, 1, TRUE, "prepareData"))),
IF(AND(C135&lt;&gt;"",C135&lt;&gt;CHAR(10)&amp;"]"),"",""))
&amp;IF(ROW(C124)&lt;$A$12,","&amp;CHAR(10),"")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IF(INDIRECT(ADDRESS(ROW(A127), $D$4, 1, TRUE, "prepareData"))&lt;&gt;"",
SUBSTITUTE(SUBSTITUTE(SUBSTITUTE(SUBSTITUTE(SUBSTITUTE(SUBSTITUTE(SUBSTITUTE($C$2,
$C$4,INDIRECT(ADDRESS(ROW(A127), $D$4, 1, TRUE, "prepareData"))),
$C$5,INDIRECT(ADDRESS(ROW(A127), $D$5, 1, TRUE, "prepareData"))),
$C$6,INDIRECT(ADDRESS(ROW(A127), $D$6, 1, TRUE, "prepareData"))),
$C$7,INDIRECT(ADDRESS(ROW(A127), $D$7, 1, TRUE, "prepareData"))),
$C$8,INDIRECT(ADDRESS(ROW(A127), $D$8, 1, TRUE, "prepareData"))),
$C$9,INDIRECT(ADDRESS(ROW(A127), $D$9, 1, TRUE, "prepareData"))),
$C$10,INDIRECT(ADDRESS(ROW(A127), $D$10, 1, TRUE, "prepareData"))),
IF(AND(C136&lt;&gt;"",C136&lt;&gt;CHAR(10)&amp;"]"),"",""))
&amp;IF(ROW(C125)&lt;$A$12,","&amp;CHAR(10),"")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IF(INDIRECT(ADDRESS(ROW(A128), $D$4, 1, TRUE, "prepareData"))&lt;&gt;"",
SUBSTITUTE(SUBSTITUTE(SUBSTITUTE(SUBSTITUTE(SUBSTITUTE(SUBSTITUTE(SUBSTITUTE($C$2,
$C$4,INDIRECT(ADDRESS(ROW(A128), $D$4, 1, TRUE, "prepareData"))),
$C$5,INDIRECT(ADDRESS(ROW(A128), $D$5, 1, TRUE, "prepareData"))),
$C$6,INDIRECT(ADDRESS(ROW(A128), $D$6, 1, TRUE, "prepareData"))),
$C$7,INDIRECT(ADDRESS(ROW(A128), $D$7, 1, TRUE, "prepareData"))),
$C$8,INDIRECT(ADDRESS(ROW(A128), $D$8, 1, TRUE, "prepareData"))),
$C$9,INDIRECT(ADDRESS(ROW(A128), $D$9, 1, TRUE, "prepareData"))),
$C$10,INDIRECT(ADDRESS(ROW(A128), $D$10, 1, TRUE, "prepareData"))),
IF(AND(C137&lt;&gt;"",C137&lt;&gt;CHAR(10)&amp;"]"),"",""))
&amp;IF(ROW(C126)&lt;$A$12,","&amp;CHAR(10),"")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IF(INDIRECT(ADDRESS(ROW(A129), $D$4, 1, TRUE, "prepareData"))&lt;&gt;"",
SUBSTITUTE(SUBSTITUTE(SUBSTITUTE(SUBSTITUTE(SUBSTITUTE(SUBSTITUTE(SUBSTITUTE($C$2,
$C$4,INDIRECT(ADDRESS(ROW(A129), $D$4, 1, TRUE, "prepareData"))),
$C$5,INDIRECT(ADDRESS(ROW(A129), $D$5, 1, TRUE, "prepareData"))),
$C$6,INDIRECT(ADDRESS(ROW(A129), $D$6, 1, TRUE, "prepareData"))),
$C$7,INDIRECT(ADDRESS(ROW(A129), $D$7, 1, TRUE, "prepareData"))),
$C$8,INDIRECT(ADDRESS(ROW(A129), $D$8, 1, TRUE, "prepareData"))),
$C$9,INDIRECT(ADDRESS(ROW(A129), $D$9, 1, TRUE, "prepareData"))),
$C$10,INDIRECT(ADDRESS(ROW(A129), $D$10, 1, TRUE, "prepareData"))),
IF(AND(C138&lt;&gt;"",C138&lt;&gt;CHAR(10)&amp;"]"),"",""))
&amp;IF(ROW(C127)&lt;$A$12,","&amp;CHAR(10),"")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IF(INDIRECT(ADDRESS(ROW(A130), $D$4, 1, TRUE, "prepareData"))&lt;&gt;"",
SUBSTITUTE(SUBSTITUTE(SUBSTITUTE(SUBSTITUTE(SUBSTITUTE(SUBSTITUTE(SUBSTITUTE($C$2,
$C$4,INDIRECT(ADDRESS(ROW(A130), $D$4, 1, TRUE, "prepareData"))),
$C$5,INDIRECT(ADDRESS(ROW(A130), $D$5, 1, TRUE, "prepareData"))),
$C$6,INDIRECT(ADDRESS(ROW(A130), $D$6, 1, TRUE, "prepareData"))),
$C$7,INDIRECT(ADDRESS(ROW(A130), $D$7, 1, TRUE, "prepareData"))),
$C$8,INDIRECT(ADDRESS(ROW(A130), $D$8, 1, TRUE, "prepareData"))),
$C$9,INDIRECT(ADDRESS(ROW(A130), $D$9, 1, TRUE, "prepareData"))),
$C$10,INDIRECT(ADDRESS(ROW(A130), $D$10, 1, TRUE, "prepareData"))),
IF(AND(C139&lt;&gt;"",C139&lt;&gt;CHAR(10)&amp;"]"),"",""))
&amp;IF(ROW(C128)&lt;$A$12,","&amp;CHAR(10),"")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IF(INDIRECT(ADDRESS(ROW(A131), $D$4, 1, TRUE, "prepareData"))&lt;&gt;"",
SUBSTITUTE(SUBSTITUTE(SUBSTITUTE(SUBSTITUTE(SUBSTITUTE(SUBSTITUTE(SUBSTITUTE($C$2,
$C$4,INDIRECT(ADDRESS(ROW(A131), $D$4, 1, TRUE, "prepareData"))),
$C$5,INDIRECT(ADDRESS(ROW(A131), $D$5, 1, TRUE, "prepareData"))),
$C$6,INDIRECT(ADDRESS(ROW(A131), $D$6, 1, TRUE, "prepareData"))),
$C$7,INDIRECT(ADDRESS(ROW(A131), $D$7, 1, TRUE, "prepareData"))),
$C$8,INDIRECT(ADDRESS(ROW(A131), $D$8, 1, TRUE, "prepareData"))),
$C$9,INDIRECT(ADDRESS(ROW(A131), $D$9, 1, TRUE, "prepareData"))),
$C$10,INDIRECT(ADDRESS(ROW(A131), $D$10, 1, TRUE, "prepareData"))),
IF(AND(C140&lt;&gt;"",C140&lt;&gt;CHAR(10)&amp;"]"),"",""))
&amp;IF(ROW(C129)&lt;$A$12,","&amp;CHAR(10),"")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IF(INDIRECT(ADDRESS(ROW(A132), $D$4, 1, TRUE, "prepareData"))&lt;&gt;"",
SUBSTITUTE(SUBSTITUTE(SUBSTITUTE(SUBSTITUTE(SUBSTITUTE(SUBSTITUTE(SUBSTITUTE($C$2,
$C$4,INDIRECT(ADDRESS(ROW(A132), $D$4, 1, TRUE, "prepareData"))),
$C$5,INDIRECT(ADDRESS(ROW(A132), $D$5, 1, TRUE, "prepareData"))),
$C$6,INDIRECT(ADDRESS(ROW(A132), $D$6, 1, TRUE, "prepareData"))),
$C$7,INDIRECT(ADDRESS(ROW(A132), $D$7, 1, TRUE, "prepareData"))),
$C$8,INDIRECT(ADDRESS(ROW(A132), $D$8, 1, TRUE, "prepareData"))),
$C$9,INDIRECT(ADDRESS(ROW(A132), $D$9, 1, TRUE, "prepareData"))),
$C$10,INDIRECT(ADDRESS(ROW(A132), $D$10, 1, TRUE, "prepareData"))),
IF(AND(C141&lt;&gt;"",C141&lt;&gt;CHAR(10)&amp;"]"),"",""))
&amp;IF(ROW(C130)&lt;$A$12,","&amp;CHAR(10),"")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IF(INDIRECT(ADDRESS(ROW(A133), $D$4, 1, TRUE, "prepareData"))&lt;&gt;"",
SUBSTITUTE(SUBSTITUTE(SUBSTITUTE(SUBSTITUTE(SUBSTITUTE(SUBSTITUTE(SUBSTITUTE($C$2,
$C$4,INDIRECT(ADDRESS(ROW(A133), $D$4, 1, TRUE, "prepareData"))),
$C$5,INDIRECT(ADDRESS(ROW(A133), $D$5, 1, TRUE, "prepareData"))),
$C$6,INDIRECT(ADDRESS(ROW(A133), $D$6, 1, TRUE, "prepareData"))),
$C$7,INDIRECT(ADDRESS(ROW(A133), $D$7, 1, TRUE, "prepareData"))),
$C$8,INDIRECT(ADDRESS(ROW(A133), $D$8, 1, TRUE, "prepareData"))),
$C$9,INDIRECT(ADDRESS(ROW(A133), $D$9, 1, TRUE, "prepareData"))),
$C$10,INDIRECT(ADDRESS(ROW(A133), $D$10, 1, TRUE, "prepareData"))),
IF(AND(C142&lt;&gt;"",C142&lt;&gt;CHAR(10)&amp;"]"),"",""))
&amp;IF(ROW(C131)&lt;$A$12,","&amp;CHAR(10),"")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IF(INDIRECT(ADDRESS(ROW(A134), $D$4, 1, TRUE, "prepareData"))&lt;&gt;"",
SUBSTITUTE(SUBSTITUTE(SUBSTITUTE(SUBSTITUTE(SUBSTITUTE(SUBSTITUTE(SUBSTITUTE($C$2,
$C$4,INDIRECT(ADDRESS(ROW(A134), $D$4, 1, TRUE, "prepareData"))),
$C$5,INDIRECT(ADDRESS(ROW(A134), $D$5, 1, TRUE, "prepareData"))),
$C$6,INDIRECT(ADDRESS(ROW(A134), $D$6, 1, TRUE, "prepareData"))),
$C$7,INDIRECT(ADDRESS(ROW(A134), $D$7, 1, TRUE, "prepareData"))),
$C$8,INDIRECT(ADDRESS(ROW(A134), $D$8, 1, TRUE, "prepareData"))),
$C$9,INDIRECT(ADDRESS(ROW(A134), $D$9, 1, TRUE, "prepareData"))),
$C$10,INDIRECT(ADDRESS(ROW(A134), $D$10, 1, TRUE, "prepareData"))),
IF(AND(C143&lt;&gt;"",C143&lt;&gt;CHAR(10)&amp;"]"),"",""))
&amp;IF(ROW(C132)&lt;$A$12,","&amp;CHAR(10),"")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IF(INDIRECT(ADDRESS(ROW(A135), $D$4, 1, TRUE, "prepareData"))&lt;&gt;"",
SUBSTITUTE(SUBSTITUTE(SUBSTITUTE(SUBSTITUTE(SUBSTITUTE(SUBSTITUTE(SUBSTITUTE($C$2,
$C$4,INDIRECT(ADDRESS(ROW(A135), $D$4, 1, TRUE, "prepareData"))),
$C$5,INDIRECT(ADDRESS(ROW(A135), $D$5, 1, TRUE, "prepareData"))),
$C$6,INDIRECT(ADDRESS(ROW(A135), $D$6, 1, TRUE, "prepareData"))),
$C$7,INDIRECT(ADDRESS(ROW(A135), $D$7, 1, TRUE, "prepareData"))),
$C$8,INDIRECT(ADDRESS(ROW(A135), $D$8, 1, TRUE, "prepareData"))),
$C$9,INDIRECT(ADDRESS(ROW(A135), $D$9, 1, TRUE, "prepareData"))),
$C$10,INDIRECT(ADDRESS(ROW(A135), $D$10, 1, TRUE, "prepareData"))),
IF(AND(C144&lt;&gt;"",C144&lt;&gt;CHAR(10)&amp;"]"),"",""))
&amp;IF(ROW(C133)&lt;$A$12,","&amp;CHAR(10),"")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IF(INDIRECT(ADDRESS(ROW(A136), $D$4, 1, TRUE, "prepareData"))&lt;&gt;"",
SUBSTITUTE(SUBSTITUTE(SUBSTITUTE(SUBSTITUTE(SUBSTITUTE(SUBSTITUTE(SUBSTITUTE($C$2,
$C$4,INDIRECT(ADDRESS(ROW(A136), $D$4, 1, TRUE, "prepareData"))),
$C$5,INDIRECT(ADDRESS(ROW(A136), $D$5, 1, TRUE, "prepareData"))),
$C$6,INDIRECT(ADDRESS(ROW(A136), $D$6, 1, TRUE, "prepareData"))),
$C$7,INDIRECT(ADDRESS(ROW(A136), $D$7, 1, TRUE, "prepareData"))),
$C$8,INDIRECT(ADDRESS(ROW(A136), $D$8, 1, TRUE, "prepareData"))),
$C$9,INDIRECT(ADDRESS(ROW(A136), $D$9, 1, TRUE, "prepareData"))),
$C$10,INDIRECT(ADDRESS(ROW(A136), $D$10, 1, TRUE, "prepareData"))),
IF(AND(C145&lt;&gt;"",C145&lt;&gt;CHAR(10)&amp;"]"),"",""))
&amp;IF(ROW(C134)&lt;$A$12,","&amp;CHAR(10),"")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IF(INDIRECT(ADDRESS(ROW(A137), $D$4, 1, TRUE, "prepareData"))&lt;&gt;"",
SUBSTITUTE(SUBSTITUTE(SUBSTITUTE(SUBSTITUTE(SUBSTITUTE(SUBSTITUTE(SUBSTITUTE($C$2,
$C$4,INDIRECT(ADDRESS(ROW(A137), $D$4, 1, TRUE, "prepareData"))),
$C$5,INDIRECT(ADDRESS(ROW(A137), $D$5, 1, TRUE, "prepareData"))),
$C$6,INDIRECT(ADDRESS(ROW(A137), $D$6, 1, TRUE, "prepareData"))),
$C$7,INDIRECT(ADDRESS(ROW(A137), $D$7, 1, TRUE, "prepareData"))),
$C$8,INDIRECT(ADDRESS(ROW(A137), $D$8, 1, TRUE, "prepareData"))),
$C$9,INDIRECT(ADDRESS(ROW(A137), $D$9, 1, TRUE, "prepareData"))),
$C$10,INDIRECT(ADDRESS(ROW(A137), $D$10, 1, TRUE, "prepareData"))),
IF(AND(C146&lt;&gt;"",C146&lt;&gt;CHAR(10)&amp;"]"),"",""))
&amp;IF(ROW(C135)&lt;$A$12,","&amp;CHAR(10),"")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IF(INDIRECT(ADDRESS(ROW(A138), $D$4, 1, TRUE, "prepareData"))&lt;&gt;"",
SUBSTITUTE(SUBSTITUTE(SUBSTITUTE(SUBSTITUTE(SUBSTITUTE(SUBSTITUTE(SUBSTITUTE($C$2,
$C$4,INDIRECT(ADDRESS(ROW(A138), $D$4, 1, TRUE, "prepareData"))),
$C$5,INDIRECT(ADDRESS(ROW(A138), $D$5, 1, TRUE, "prepareData"))),
$C$6,INDIRECT(ADDRESS(ROW(A138), $D$6, 1, TRUE, "prepareData"))),
$C$7,INDIRECT(ADDRESS(ROW(A138), $D$7, 1, TRUE, "prepareData"))),
$C$8,INDIRECT(ADDRESS(ROW(A138), $D$8, 1, TRUE, "prepareData"))),
$C$9,INDIRECT(ADDRESS(ROW(A138), $D$9, 1, TRUE, "prepareData"))),
$C$10,INDIRECT(ADDRESS(ROW(A138), $D$10, 1, TRUE, "prepareData"))),
IF(AND(C147&lt;&gt;"",C147&lt;&gt;CHAR(10)&amp;"]"),"",""))
&amp;IF(ROW(C136)&lt;$A$12,","&amp;CHAR(10),"")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IF(INDIRECT(ADDRESS(ROW(A139), $D$4, 1, TRUE, "prepareData"))&lt;&gt;"",
SUBSTITUTE(SUBSTITUTE(SUBSTITUTE(SUBSTITUTE(SUBSTITUTE(SUBSTITUTE(SUBSTITUTE($C$2,
$C$4,INDIRECT(ADDRESS(ROW(A139), $D$4, 1, TRUE, "prepareData"))),
$C$5,INDIRECT(ADDRESS(ROW(A139), $D$5, 1, TRUE, "prepareData"))),
$C$6,INDIRECT(ADDRESS(ROW(A139), $D$6, 1, TRUE, "prepareData"))),
$C$7,INDIRECT(ADDRESS(ROW(A139), $D$7, 1, TRUE, "prepareData"))),
$C$8,INDIRECT(ADDRESS(ROW(A139), $D$8, 1, TRUE, "prepareData"))),
$C$9,INDIRECT(ADDRESS(ROW(A139), $D$9, 1, TRUE, "prepareData"))),
$C$10,INDIRECT(ADDRESS(ROW(A139), $D$10, 1, TRUE, "prepareData"))),
IF(AND(C148&lt;&gt;"",C148&lt;&gt;CHAR(10)&amp;"]"),"",""))
&amp;IF(ROW(C137)&lt;$A$12,","&amp;CHAR(10),"")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IF(INDIRECT(ADDRESS(ROW(A140), $D$4, 1, TRUE, "prepareData"))&lt;&gt;"",
SUBSTITUTE(SUBSTITUTE(SUBSTITUTE(SUBSTITUTE(SUBSTITUTE(SUBSTITUTE(SUBSTITUTE($C$2,
$C$4,INDIRECT(ADDRESS(ROW(A140), $D$4, 1, TRUE, "prepareData"))),
$C$5,INDIRECT(ADDRESS(ROW(A140), $D$5, 1, TRUE, "prepareData"))),
$C$6,INDIRECT(ADDRESS(ROW(A140), $D$6, 1, TRUE, "prepareData"))),
$C$7,INDIRECT(ADDRESS(ROW(A140), $D$7, 1, TRUE, "prepareData"))),
$C$8,INDIRECT(ADDRESS(ROW(A140), $D$8, 1, TRUE, "prepareData"))),
$C$9,INDIRECT(ADDRESS(ROW(A140), $D$9, 1, TRUE, "prepareData"))),
$C$10,INDIRECT(ADDRESS(ROW(A140), $D$10, 1, TRUE, "prepareData"))),
IF(AND(C149&lt;&gt;"",C149&lt;&gt;CHAR(10)&amp;"]"),"",""))
&amp;IF(ROW(C138)&lt;$A$12,","&amp;CHAR(10),"")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IF(INDIRECT(ADDRESS(ROW(A141), $D$4, 1, TRUE, "prepareData"))&lt;&gt;"",
SUBSTITUTE(SUBSTITUTE(SUBSTITUTE(SUBSTITUTE(SUBSTITUTE(SUBSTITUTE(SUBSTITUTE($C$2,
$C$4,INDIRECT(ADDRESS(ROW(A141), $D$4, 1, TRUE, "prepareData"))),
$C$5,INDIRECT(ADDRESS(ROW(A141), $D$5, 1, TRUE, "prepareData"))),
$C$6,INDIRECT(ADDRESS(ROW(A141), $D$6, 1, TRUE, "prepareData"))),
$C$7,INDIRECT(ADDRESS(ROW(A141), $D$7, 1, TRUE, "prepareData"))),
$C$8,INDIRECT(ADDRESS(ROW(A141), $D$8, 1, TRUE, "prepareData"))),
$C$9,INDIRECT(ADDRESS(ROW(A141), $D$9, 1, TRUE, "prepareData"))),
$C$10,INDIRECT(ADDRESS(ROW(A141), $D$10, 1, TRUE, "prepareData"))),
IF(AND(C150&lt;&gt;"",C150&lt;&gt;CHAR(10)&amp;"]"),"",""))
&amp;IF(ROW(C139)&lt;$A$12,","&amp;CHAR(10),"")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IF(INDIRECT(ADDRESS(ROW(A142), $D$4, 1, TRUE, "prepareData"))&lt;&gt;"",
SUBSTITUTE(SUBSTITUTE(SUBSTITUTE(SUBSTITUTE(SUBSTITUTE(SUBSTITUTE(SUBSTITUTE($C$2,
$C$4,INDIRECT(ADDRESS(ROW(A142), $D$4, 1, TRUE, "prepareData"))),
$C$5,INDIRECT(ADDRESS(ROW(A142), $D$5, 1, TRUE, "prepareData"))),
$C$6,INDIRECT(ADDRESS(ROW(A142), $D$6, 1, TRUE, "prepareData"))),
$C$7,INDIRECT(ADDRESS(ROW(A142), $D$7, 1, TRUE, "prepareData"))),
$C$8,INDIRECT(ADDRESS(ROW(A142), $D$8, 1, TRUE, "prepareData"))),
$C$9,INDIRECT(ADDRESS(ROW(A142), $D$9, 1, TRUE, "prepareData"))),
$C$10,INDIRECT(ADDRESS(ROW(A142), $D$10, 1, TRUE, "prepareData"))),
IF(AND(C151&lt;&gt;"",C151&lt;&gt;CHAR(10)&amp;"]"),"",""))
&amp;IF(ROW(C140)&lt;$A$12,","&amp;CHAR(10),"")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IF(INDIRECT(ADDRESS(ROW(A143), $D$4, 1, TRUE, "prepareData"))&lt;&gt;"",
SUBSTITUTE(SUBSTITUTE(SUBSTITUTE(SUBSTITUTE(SUBSTITUTE(SUBSTITUTE(SUBSTITUTE($C$2,
$C$4,INDIRECT(ADDRESS(ROW(A143), $D$4, 1, TRUE, "prepareData"))),
$C$5,INDIRECT(ADDRESS(ROW(A143), $D$5, 1, TRUE, "prepareData"))),
$C$6,INDIRECT(ADDRESS(ROW(A143), $D$6, 1, TRUE, "prepareData"))),
$C$7,INDIRECT(ADDRESS(ROW(A143), $D$7, 1, TRUE, "prepareData"))),
$C$8,INDIRECT(ADDRESS(ROW(A143), $D$8, 1, TRUE, "prepareData"))),
$C$9,INDIRECT(ADDRESS(ROW(A143), $D$9, 1, TRUE, "prepareData"))),
$C$10,INDIRECT(ADDRESS(ROW(A143), $D$10, 1, TRUE, "prepareData"))),
IF(AND(C152&lt;&gt;"",C152&lt;&gt;CHAR(10)&amp;"]"),"",""))
&amp;IF(ROW(C141)&lt;$A$12,","&amp;CHAR(10),"")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IF(INDIRECT(ADDRESS(ROW(A144), $D$4, 1, TRUE, "prepareData"))&lt;&gt;"",
SUBSTITUTE(SUBSTITUTE(SUBSTITUTE(SUBSTITUTE(SUBSTITUTE(SUBSTITUTE(SUBSTITUTE($C$2,
$C$4,INDIRECT(ADDRESS(ROW(A144), $D$4, 1, TRUE, "prepareData"))),
$C$5,INDIRECT(ADDRESS(ROW(A144), $D$5, 1, TRUE, "prepareData"))),
$C$6,INDIRECT(ADDRESS(ROW(A144), $D$6, 1, TRUE, "prepareData"))),
$C$7,INDIRECT(ADDRESS(ROW(A144), $D$7, 1, TRUE, "prepareData"))),
$C$8,INDIRECT(ADDRESS(ROW(A144), $D$8, 1, TRUE, "prepareData"))),
$C$9,INDIRECT(ADDRESS(ROW(A144), $D$9, 1, TRUE, "prepareData"))),
$C$10,INDIRECT(ADDRESS(ROW(A144), $D$10, 1, TRUE, "prepareData"))),
IF(AND(C153&lt;&gt;"",C153&lt;&gt;CHAR(10)&amp;"]"),"",""))
&amp;IF(ROW(C142)&lt;$A$12,","&amp;CHAR(10),"")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IF(INDIRECT(ADDRESS(ROW(A145), $D$4, 1, TRUE, "prepareData"))&lt;&gt;"",
SUBSTITUTE(SUBSTITUTE(SUBSTITUTE(SUBSTITUTE(SUBSTITUTE(SUBSTITUTE(SUBSTITUTE($C$2,
$C$4,INDIRECT(ADDRESS(ROW(A145), $D$4, 1, TRUE, "prepareData"))),
$C$5,INDIRECT(ADDRESS(ROW(A145), $D$5, 1, TRUE, "prepareData"))),
$C$6,INDIRECT(ADDRESS(ROW(A145), $D$6, 1, TRUE, "prepareData"))),
$C$7,INDIRECT(ADDRESS(ROW(A145), $D$7, 1, TRUE, "prepareData"))),
$C$8,INDIRECT(ADDRESS(ROW(A145), $D$8, 1, TRUE, "prepareData"))),
$C$9,INDIRECT(ADDRESS(ROW(A145), $D$9, 1, TRUE, "prepareData"))),
$C$10,INDIRECT(ADDRESS(ROW(A145), $D$10, 1, TRUE, "prepareData"))),
IF(AND(C154&lt;&gt;"",C154&lt;&gt;CHAR(10)&amp;"]"),"",""))
&amp;IF(ROW(C143)&lt;$A$12,","&amp;CHAR(10),"")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IF(INDIRECT(ADDRESS(ROW(A146), $D$4, 1, TRUE, "prepareData"))&lt;&gt;"",
SUBSTITUTE(SUBSTITUTE(SUBSTITUTE(SUBSTITUTE(SUBSTITUTE(SUBSTITUTE(SUBSTITUTE($C$2,
$C$4,INDIRECT(ADDRESS(ROW(A146), $D$4, 1, TRUE, "prepareData"))),
$C$5,INDIRECT(ADDRESS(ROW(A146), $D$5, 1, TRUE, "prepareData"))),
$C$6,INDIRECT(ADDRESS(ROW(A146), $D$6, 1, TRUE, "prepareData"))),
$C$7,INDIRECT(ADDRESS(ROW(A146), $D$7, 1, TRUE, "prepareData"))),
$C$8,INDIRECT(ADDRESS(ROW(A146), $D$8, 1, TRUE, "prepareData"))),
$C$9,INDIRECT(ADDRESS(ROW(A146), $D$9, 1, TRUE, "prepareData"))),
$C$10,INDIRECT(ADDRESS(ROW(A146), $D$10, 1, TRUE, "prepareData"))),
IF(AND(C155&lt;&gt;"",C155&lt;&gt;CHAR(10)&amp;"]"),"",""))
&amp;IF(ROW(C144)&lt;$A$12,","&amp;CHAR(10),"")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IF(INDIRECT(ADDRESS(ROW(A147), $D$4, 1, TRUE, "prepareData"))&lt;&gt;"",
SUBSTITUTE(SUBSTITUTE(SUBSTITUTE(SUBSTITUTE(SUBSTITUTE(SUBSTITUTE(SUBSTITUTE($C$2,
$C$4,INDIRECT(ADDRESS(ROW(A147), $D$4, 1, TRUE, "prepareData"))),
$C$5,INDIRECT(ADDRESS(ROW(A147), $D$5, 1, TRUE, "prepareData"))),
$C$6,INDIRECT(ADDRESS(ROW(A147), $D$6, 1, TRUE, "prepareData"))),
$C$7,INDIRECT(ADDRESS(ROW(A147), $D$7, 1, TRUE, "prepareData"))),
$C$8,INDIRECT(ADDRESS(ROW(A147), $D$8, 1, TRUE, "prepareData"))),
$C$9,INDIRECT(ADDRESS(ROW(A147), $D$9, 1, TRUE, "prepareData"))),
$C$10,INDIRECT(ADDRESS(ROW(A147), $D$10, 1, TRUE, "prepareData"))),
IF(AND(C156&lt;&gt;"",C156&lt;&gt;CHAR(10)&amp;"]"),"",""))
&amp;IF(ROW(C145)&lt;$A$12,","&amp;CHAR(10),"")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IF(INDIRECT(ADDRESS(ROW(A148), $D$4, 1, TRUE, "prepareData"))&lt;&gt;"",
SUBSTITUTE(SUBSTITUTE(SUBSTITUTE(SUBSTITUTE(SUBSTITUTE(SUBSTITUTE(SUBSTITUTE($C$2,
$C$4,INDIRECT(ADDRESS(ROW(A148), $D$4, 1, TRUE, "prepareData"))),
$C$5,INDIRECT(ADDRESS(ROW(A148), $D$5, 1, TRUE, "prepareData"))),
$C$6,INDIRECT(ADDRESS(ROW(A148), $D$6, 1, TRUE, "prepareData"))),
$C$7,INDIRECT(ADDRESS(ROW(A148), $D$7, 1, TRUE, "prepareData"))),
$C$8,INDIRECT(ADDRESS(ROW(A148), $D$8, 1, TRUE, "prepareData"))),
$C$9,INDIRECT(ADDRESS(ROW(A148), $D$9, 1, TRUE, "prepareData"))),
$C$10,INDIRECT(ADDRESS(ROW(A148), $D$10, 1, TRUE, "prepareData"))),
IF(AND(C157&lt;&gt;"",C157&lt;&gt;CHAR(10)&amp;"]"),"",""))
&amp;IF(ROW(C146)&lt;$A$12,","&amp;CHAR(10),"")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IF(INDIRECT(ADDRESS(ROW(A149), $D$4, 1, TRUE, "prepareData"))&lt;&gt;"",
SUBSTITUTE(SUBSTITUTE(SUBSTITUTE(SUBSTITUTE(SUBSTITUTE(SUBSTITUTE(SUBSTITUTE($C$2,
$C$4,INDIRECT(ADDRESS(ROW(A149), $D$4, 1, TRUE, "prepareData"))),
$C$5,INDIRECT(ADDRESS(ROW(A149), $D$5, 1, TRUE, "prepareData"))),
$C$6,INDIRECT(ADDRESS(ROW(A149), $D$6, 1, TRUE, "prepareData"))),
$C$7,INDIRECT(ADDRESS(ROW(A149), $D$7, 1, TRUE, "prepareData"))),
$C$8,INDIRECT(ADDRESS(ROW(A149), $D$8, 1, TRUE, "prepareData"))),
$C$9,INDIRECT(ADDRESS(ROW(A149), $D$9, 1, TRUE, "prepareData"))),
$C$10,INDIRECT(ADDRESS(ROW(A149), $D$10, 1, TRUE, "prepareData"))),
IF(AND(C158&lt;&gt;"",C158&lt;&gt;CHAR(10)&amp;"]"),"",""))
&amp;IF(ROW(C147)&lt;$A$12,","&amp;CHAR(10),"")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IF(INDIRECT(ADDRESS(ROW(A150), $D$4, 1, TRUE, "prepareData"))&lt;&gt;"",
SUBSTITUTE(SUBSTITUTE(SUBSTITUTE(SUBSTITUTE(SUBSTITUTE(SUBSTITUTE(SUBSTITUTE($C$2,
$C$4,INDIRECT(ADDRESS(ROW(A150), $D$4, 1, TRUE, "prepareData"))),
$C$5,INDIRECT(ADDRESS(ROW(A150), $D$5, 1, TRUE, "prepareData"))),
$C$6,INDIRECT(ADDRESS(ROW(A150), $D$6, 1, TRUE, "prepareData"))),
$C$7,INDIRECT(ADDRESS(ROW(A150), $D$7, 1, TRUE, "prepareData"))),
$C$8,INDIRECT(ADDRESS(ROW(A150), $D$8, 1, TRUE, "prepareData"))),
$C$9,INDIRECT(ADDRESS(ROW(A150), $D$9, 1, TRUE, "prepareData"))),
$C$10,INDIRECT(ADDRESS(ROW(A150), $D$10, 1, TRUE, "prepareData"))),
IF(AND(C159&lt;&gt;"",C159&lt;&gt;CHAR(10)&amp;"]"),"",""))
&amp;IF(ROW(C148)&lt;$A$12,","&amp;CHAR(10),"")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IF(INDIRECT(ADDRESS(ROW(A151), $D$4, 1, TRUE, "prepareData"))&lt;&gt;"",
SUBSTITUTE(SUBSTITUTE(SUBSTITUTE(SUBSTITUTE(SUBSTITUTE(SUBSTITUTE(SUBSTITUTE($C$2,
$C$4,INDIRECT(ADDRESS(ROW(A151), $D$4, 1, TRUE, "prepareData"))),
$C$5,INDIRECT(ADDRESS(ROW(A151), $D$5, 1, TRUE, "prepareData"))),
$C$6,INDIRECT(ADDRESS(ROW(A151), $D$6, 1, TRUE, "prepareData"))),
$C$7,INDIRECT(ADDRESS(ROW(A151), $D$7, 1, TRUE, "prepareData"))),
$C$8,INDIRECT(ADDRESS(ROW(A151), $D$8, 1, TRUE, "prepareData"))),
$C$9,INDIRECT(ADDRESS(ROW(A151), $D$9, 1, TRUE, "prepareData"))),
$C$10,INDIRECT(ADDRESS(ROW(A151), $D$10, 1, TRUE, "prepareData"))),
IF(AND(C160&lt;&gt;"",C160&lt;&gt;CHAR(10)&amp;"]"),"",""))
&amp;IF(ROW(C149)&lt;$A$12,","&amp;CHAR(10),"")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IF(INDIRECT(ADDRESS(ROW(A152), $D$4, 1, TRUE, "prepareData"))&lt;&gt;"",
SUBSTITUTE(SUBSTITUTE(SUBSTITUTE(SUBSTITUTE(SUBSTITUTE(SUBSTITUTE(SUBSTITUTE($C$2,
$C$4,INDIRECT(ADDRESS(ROW(A152), $D$4, 1, TRUE, "prepareData"))),
$C$5,INDIRECT(ADDRESS(ROW(A152), $D$5, 1, TRUE, "prepareData"))),
$C$6,INDIRECT(ADDRESS(ROW(A152), $D$6, 1, TRUE, "prepareData"))),
$C$7,INDIRECT(ADDRESS(ROW(A152), $D$7, 1, TRUE, "prepareData"))),
$C$8,INDIRECT(ADDRESS(ROW(A152), $D$8, 1, TRUE, "prepareData"))),
$C$9,INDIRECT(ADDRESS(ROW(A152), $D$9, 1, TRUE, "prepareData"))),
$C$10,INDIRECT(ADDRESS(ROW(A152), $D$10, 1, TRUE, "prepareData"))),
IF(AND(C161&lt;&gt;"",C161&lt;&gt;CHAR(10)&amp;"]"),"",""))
&amp;IF(ROW(C150)&lt;$A$12,","&amp;CHAR(10),"")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IF(INDIRECT(ADDRESS(ROW(A153), $D$4, 1, TRUE, "prepareData"))&lt;&gt;"",
SUBSTITUTE(SUBSTITUTE(SUBSTITUTE(SUBSTITUTE(SUBSTITUTE(SUBSTITUTE(SUBSTITUTE($C$2,
$C$4,INDIRECT(ADDRESS(ROW(A153), $D$4, 1, TRUE, "prepareData"))),
$C$5,INDIRECT(ADDRESS(ROW(A153), $D$5, 1, TRUE, "prepareData"))),
$C$6,INDIRECT(ADDRESS(ROW(A153), $D$6, 1, TRUE, "prepareData"))),
$C$7,INDIRECT(ADDRESS(ROW(A153), $D$7, 1, TRUE, "prepareData"))),
$C$8,INDIRECT(ADDRESS(ROW(A153), $D$8, 1, TRUE, "prepareData"))),
$C$9,INDIRECT(ADDRESS(ROW(A153), $D$9, 1, TRUE, "prepareData"))),
$C$10,INDIRECT(ADDRESS(ROW(A153), $D$10, 1, TRUE, "prepareData"))),
IF(AND(C162&lt;&gt;"",C162&lt;&gt;CHAR(10)&amp;"]"),"",""))
&amp;IF(ROW(C151)&lt;$A$12,","&amp;CHAR(10),"")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IF(INDIRECT(ADDRESS(ROW(A154), $D$4, 1, TRUE, "prepareData"))&lt;&gt;"",
SUBSTITUTE(SUBSTITUTE(SUBSTITUTE(SUBSTITUTE(SUBSTITUTE(SUBSTITUTE(SUBSTITUTE($C$2,
$C$4,INDIRECT(ADDRESS(ROW(A154), $D$4, 1, TRUE, "prepareData"))),
$C$5,INDIRECT(ADDRESS(ROW(A154), $D$5, 1, TRUE, "prepareData"))),
$C$6,INDIRECT(ADDRESS(ROW(A154), $D$6, 1, TRUE, "prepareData"))),
$C$7,INDIRECT(ADDRESS(ROW(A154), $D$7, 1, TRUE, "prepareData"))),
$C$8,INDIRECT(ADDRESS(ROW(A154), $D$8, 1, TRUE, "prepareData"))),
$C$9,INDIRECT(ADDRESS(ROW(A154), $D$9, 1, TRUE, "prepareData"))),
$C$10,INDIRECT(ADDRESS(ROW(A154), $D$10, 1, TRUE, "prepareData"))),
IF(AND(C163&lt;&gt;"",C163&lt;&gt;CHAR(10)&amp;"]"),"",""))
&amp;IF(ROW(C152)&lt;$A$12,","&amp;CHAR(10),"")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IF(INDIRECT(ADDRESS(ROW(A155), $D$4, 1, TRUE, "prepareData"))&lt;&gt;"",
SUBSTITUTE(SUBSTITUTE(SUBSTITUTE(SUBSTITUTE(SUBSTITUTE(SUBSTITUTE(SUBSTITUTE($C$2,
$C$4,INDIRECT(ADDRESS(ROW(A155), $D$4, 1, TRUE, "prepareData"))),
$C$5,INDIRECT(ADDRESS(ROW(A155), $D$5, 1, TRUE, "prepareData"))),
$C$6,INDIRECT(ADDRESS(ROW(A155), $D$6, 1, TRUE, "prepareData"))),
$C$7,INDIRECT(ADDRESS(ROW(A155), $D$7, 1, TRUE, "prepareData"))),
$C$8,INDIRECT(ADDRESS(ROW(A155), $D$8, 1, TRUE, "prepareData"))),
$C$9,INDIRECT(ADDRESS(ROW(A155), $D$9, 1, TRUE, "prepareData"))),
$C$10,INDIRECT(ADDRESS(ROW(A155), $D$10, 1, TRUE, "prepareData"))),
IF(AND(C164&lt;&gt;"",C164&lt;&gt;CHAR(10)&amp;"]"),"",""))
&amp;IF(ROW(C153)&lt;$A$12,","&amp;CHAR(10),"")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IF(INDIRECT(ADDRESS(ROW(A156), $D$4, 1, TRUE, "prepareData"))&lt;&gt;"",
SUBSTITUTE(SUBSTITUTE(SUBSTITUTE(SUBSTITUTE(SUBSTITUTE(SUBSTITUTE(SUBSTITUTE($C$2,
$C$4,INDIRECT(ADDRESS(ROW(A156), $D$4, 1, TRUE, "prepareData"))),
$C$5,INDIRECT(ADDRESS(ROW(A156), $D$5, 1, TRUE, "prepareData"))),
$C$6,INDIRECT(ADDRESS(ROW(A156), $D$6, 1, TRUE, "prepareData"))),
$C$7,INDIRECT(ADDRESS(ROW(A156), $D$7, 1, TRUE, "prepareData"))),
$C$8,INDIRECT(ADDRESS(ROW(A156), $D$8, 1, TRUE, "prepareData"))),
$C$9,INDIRECT(ADDRESS(ROW(A156), $D$9, 1, TRUE, "prepareData"))),
$C$10,INDIRECT(ADDRESS(ROW(A156), $D$10, 1, TRUE, "prepareData"))),
IF(AND(C165&lt;&gt;"",C165&lt;&gt;CHAR(10)&amp;"]"),"",""))
&amp;IF(ROW(C154)&lt;$A$12,","&amp;CHAR(10),"")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IF(INDIRECT(ADDRESS(ROW(A157), $D$4, 1, TRUE, "prepareData"))&lt;&gt;"",
SUBSTITUTE(SUBSTITUTE(SUBSTITUTE(SUBSTITUTE(SUBSTITUTE(SUBSTITUTE(SUBSTITUTE($C$2,
$C$4,INDIRECT(ADDRESS(ROW(A157), $D$4, 1, TRUE, "prepareData"))),
$C$5,INDIRECT(ADDRESS(ROW(A157), $D$5, 1, TRUE, "prepareData"))),
$C$6,INDIRECT(ADDRESS(ROW(A157), $D$6, 1, TRUE, "prepareData"))),
$C$7,INDIRECT(ADDRESS(ROW(A157), $D$7, 1, TRUE, "prepareData"))),
$C$8,INDIRECT(ADDRESS(ROW(A157), $D$8, 1, TRUE, "prepareData"))),
$C$9,INDIRECT(ADDRESS(ROW(A157), $D$9, 1, TRUE, "prepareData"))),
$C$10,INDIRECT(ADDRESS(ROW(A157), $D$10, 1, TRUE, "prepareData"))),
IF(AND(C166&lt;&gt;"",C166&lt;&gt;CHAR(10)&amp;"]"),"",""))
&amp;IF(ROW(C155)&lt;$A$12,","&amp;CHAR(10),"")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IF(INDIRECT(ADDRESS(ROW(A158), $D$4, 1, TRUE, "prepareData"))&lt;&gt;"",
SUBSTITUTE(SUBSTITUTE(SUBSTITUTE(SUBSTITUTE(SUBSTITUTE(SUBSTITUTE(SUBSTITUTE($C$2,
$C$4,INDIRECT(ADDRESS(ROW(A158), $D$4, 1, TRUE, "prepareData"))),
$C$5,INDIRECT(ADDRESS(ROW(A158), $D$5, 1, TRUE, "prepareData"))),
$C$6,INDIRECT(ADDRESS(ROW(A158), $D$6, 1, TRUE, "prepareData"))),
$C$7,INDIRECT(ADDRESS(ROW(A158), $D$7, 1, TRUE, "prepareData"))),
$C$8,INDIRECT(ADDRESS(ROW(A158), $D$8, 1, TRUE, "prepareData"))),
$C$9,INDIRECT(ADDRESS(ROW(A158), $D$9, 1, TRUE, "prepareData"))),
$C$10,INDIRECT(ADDRESS(ROW(A158), $D$10, 1, TRUE, "prepareData"))),
IF(AND(C167&lt;&gt;"",C167&lt;&gt;CHAR(10)&amp;"]"),"",""))
&amp;IF(ROW(C156)&lt;$A$12,","&amp;CHAR(10),"")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IF(INDIRECT(ADDRESS(ROW(A159), $D$4, 1, TRUE, "prepareData"))&lt;&gt;"",
SUBSTITUTE(SUBSTITUTE(SUBSTITUTE(SUBSTITUTE(SUBSTITUTE(SUBSTITUTE(SUBSTITUTE($C$2,
$C$4,INDIRECT(ADDRESS(ROW(A159), $D$4, 1, TRUE, "prepareData"))),
$C$5,INDIRECT(ADDRESS(ROW(A159), $D$5, 1, TRUE, "prepareData"))),
$C$6,INDIRECT(ADDRESS(ROW(A159), $D$6, 1, TRUE, "prepareData"))),
$C$7,INDIRECT(ADDRESS(ROW(A159), $D$7, 1, TRUE, "prepareData"))),
$C$8,INDIRECT(ADDRESS(ROW(A159), $D$8, 1, TRUE, "prepareData"))),
$C$9,INDIRECT(ADDRESS(ROW(A159), $D$9, 1, TRUE, "prepareData"))),
$C$10,INDIRECT(ADDRESS(ROW(A159), $D$10, 1, TRUE, "prepareData"))),
IF(AND(C168&lt;&gt;"",C168&lt;&gt;CHAR(10)&amp;"]"),"",""))
&amp;IF(ROW(C157)&lt;$A$12,","&amp;CHAR(10),"")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IF(INDIRECT(ADDRESS(ROW(A160), $D$4, 1, TRUE, "prepareData"))&lt;&gt;"",
SUBSTITUTE(SUBSTITUTE(SUBSTITUTE(SUBSTITUTE(SUBSTITUTE(SUBSTITUTE(SUBSTITUTE($C$2,
$C$4,INDIRECT(ADDRESS(ROW(A160), $D$4, 1, TRUE, "prepareData"))),
$C$5,INDIRECT(ADDRESS(ROW(A160), $D$5, 1, TRUE, "prepareData"))),
$C$6,INDIRECT(ADDRESS(ROW(A160), $D$6, 1, TRUE, "prepareData"))),
$C$7,INDIRECT(ADDRESS(ROW(A160), $D$7, 1, TRUE, "prepareData"))),
$C$8,INDIRECT(ADDRESS(ROW(A160), $D$8, 1, TRUE, "prepareData"))),
$C$9,INDIRECT(ADDRESS(ROW(A160), $D$9, 1, TRUE, "prepareData"))),
$C$10,INDIRECT(ADDRESS(ROW(A160), $D$10, 1, TRUE, "prepareData"))),
IF(AND(C169&lt;&gt;"",C169&lt;&gt;CHAR(10)&amp;"]"),"",""))
&amp;IF(ROW(C158)&lt;$A$12,","&amp;CHAR(10),"")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IF(INDIRECT(ADDRESS(ROW(A161), $D$4, 1, TRUE, "prepareData"))&lt;&gt;"",
SUBSTITUTE(SUBSTITUTE(SUBSTITUTE(SUBSTITUTE(SUBSTITUTE(SUBSTITUTE(SUBSTITUTE($C$2,
$C$4,INDIRECT(ADDRESS(ROW(A161), $D$4, 1, TRUE, "prepareData"))),
$C$5,INDIRECT(ADDRESS(ROW(A161), $D$5, 1, TRUE, "prepareData"))),
$C$6,INDIRECT(ADDRESS(ROW(A161), $D$6, 1, TRUE, "prepareData"))),
$C$7,INDIRECT(ADDRESS(ROW(A161), $D$7, 1, TRUE, "prepareData"))),
$C$8,INDIRECT(ADDRESS(ROW(A161), $D$8, 1, TRUE, "prepareData"))),
$C$9,INDIRECT(ADDRESS(ROW(A161), $D$9, 1, TRUE, "prepareData"))),
$C$10,INDIRECT(ADDRESS(ROW(A161), $D$10, 1, TRUE, "prepareData"))),
IF(AND(C170&lt;&gt;"",C170&lt;&gt;CHAR(10)&amp;"]"),"",""))
&amp;IF(ROW(C159)&lt;$A$12,","&amp;CHAR(10),"")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IF(INDIRECT(ADDRESS(ROW(A162), $D$4, 1, TRUE, "prepareData"))&lt;&gt;"",
SUBSTITUTE(SUBSTITUTE(SUBSTITUTE(SUBSTITUTE(SUBSTITUTE(SUBSTITUTE(SUBSTITUTE($C$2,
$C$4,INDIRECT(ADDRESS(ROW(A162), $D$4, 1, TRUE, "prepareData"))),
$C$5,INDIRECT(ADDRESS(ROW(A162), $D$5, 1, TRUE, "prepareData"))),
$C$6,INDIRECT(ADDRESS(ROW(A162), $D$6, 1, TRUE, "prepareData"))),
$C$7,INDIRECT(ADDRESS(ROW(A162), $D$7, 1, TRUE, "prepareData"))),
$C$8,INDIRECT(ADDRESS(ROW(A162), $D$8, 1, TRUE, "prepareData"))),
$C$9,INDIRECT(ADDRESS(ROW(A162), $D$9, 1, TRUE, "prepareData"))),
$C$10,INDIRECT(ADDRESS(ROW(A162), $D$10, 1, TRUE, "prepareData"))),
IF(AND(C171&lt;&gt;"",C171&lt;&gt;CHAR(10)&amp;"]"),"",""))
&amp;IF(ROW(C160)&lt;$A$12,","&amp;CHAR(10),"")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IF(INDIRECT(ADDRESS(ROW(A163), $D$4, 1, TRUE, "prepareData"))&lt;&gt;"",
SUBSTITUTE(SUBSTITUTE(SUBSTITUTE(SUBSTITUTE(SUBSTITUTE(SUBSTITUTE(SUBSTITUTE($C$2,
$C$4,INDIRECT(ADDRESS(ROW(A163), $D$4, 1, TRUE, "prepareData"))),
$C$5,INDIRECT(ADDRESS(ROW(A163), $D$5, 1, TRUE, "prepareData"))),
$C$6,INDIRECT(ADDRESS(ROW(A163), $D$6, 1, TRUE, "prepareData"))),
$C$7,INDIRECT(ADDRESS(ROW(A163), $D$7, 1, TRUE, "prepareData"))),
$C$8,INDIRECT(ADDRESS(ROW(A163), $D$8, 1, TRUE, "prepareData"))),
$C$9,INDIRECT(ADDRESS(ROW(A163), $D$9, 1, TRUE, "prepareData"))),
$C$10,INDIRECT(ADDRESS(ROW(A163), $D$10, 1, TRUE, "prepareData"))),
IF(AND(C172&lt;&gt;"",C172&lt;&gt;CHAR(10)&amp;"]"),"",""))
&amp;IF(ROW(C161)&lt;$A$12,","&amp;CHAR(10),"")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IF(INDIRECT(ADDRESS(ROW(A164), $D$4, 1, TRUE, "prepareData"))&lt;&gt;"",
SUBSTITUTE(SUBSTITUTE(SUBSTITUTE(SUBSTITUTE(SUBSTITUTE(SUBSTITUTE(SUBSTITUTE($C$2,
$C$4,INDIRECT(ADDRESS(ROW(A164), $D$4, 1, TRUE, "prepareData"))),
$C$5,INDIRECT(ADDRESS(ROW(A164), $D$5, 1, TRUE, "prepareData"))),
$C$6,INDIRECT(ADDRESS(ROW(A164), $D$6, 1, TRUE, "prepareData"))),
$C$7,INDIRECT(ADDRESS(ROW(A164), $D$7, 1, TRUE, "prepareData"))),
$C$8,INDIRECT(ADDRESS(ROW(A164), $D$8, 1, TRUE, "prepareData"))),
$C$9,INDIRECT(ADDRESS(ROW(A164), $D$9, 1, TRUE, "prepareData"))),
$C$10,INDIRECT(ADDRESS(ROW(A164), $D$10, 1, TRUE, "prepareData"))),
IF(AND(C173&lt;&gt;"",C173&lt;&gt;CHAR(10)&amp;"]"),"",""))
&amp;IF(ROW(C162)&lt;$A$12,","&amp;CHAR(10),"")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IF(INDIRECT(ADDRESS(ROW(A165), $D$4, 1, TRUE, "prepareData"))&lt;&gt;"",
SUBSTITUTE(SUBSTITUTE(SUBSTITUTE(SUBSTITUTE(SUBSTITUTE(SUBSTITUTE(SUBSTITUTE($C$2,
$C$4,INDIRECT(ADDRESS(ROW(A165), $D$4, 1, TRUE, "prepareData"))),
$C$5,INDIRECT(ADDRESS(ROW(A165), $D$5, 1, TRUE, "prepareData"))),
$C$6,INDIRECT(ADDRESS(ROW(A165), $D$6, 1, TRUE, "prepareData"))),
$C$7,INDIRECT(ADDRESS(ROW(A165), $D$7, 1, TRUE, "prepareData"))),
$C$8,INDIRECT(ADDRESS(ROW(A165), $D$8, 1, TRUE, "prepareData"))),
$C$9,INDIRECT(ADDRESS(ROW(A165), $D$9, 1, TRUE, "prepareData"))),
$C$10,INDIRECT(ADDRESS(ROW(A165), $D$10, 1, TRUE, "prepareData"))),
IF(AND(C174&lt;&gt;"",C174&lt;&gt;CHAR(10)&amp;"]"),"",""))
&amp;IF(ROW(C163)&lt;$A$12,","&amp;CHAR(10),"")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IF(INDIRECT(ADDRESS(ROW(A166), $D$4, 1, TRUE, "prepareData"))&lt;&gt;"",
SUBSTITUTE(SUBSTITUTE(SUBSTITUTE(SUBSTITUTE(SUBSTITUTE(SUBSTITUTE(SUBSTITUTE($C$2,
$C$4,INDIRECT(ADDRESS(ROW(A166), $D$4, 1, TRUE, "prepareData"))),
$C$5,INDIRECT(ADDRESS(ROW(A166), $D$5, 1, TRUE, "prepareData"))),
$C$6,INDIRECT(ADDRESS(ROW(A166), $D$6, 1, TRUE, "prepareData"))),
$C$7,INDIRECT(ADDRESS(ROW(A166), $D$7, 1, TRUE, "prepareData"))),
$C$8,INDIRECT(ADDRESS(ROW(A166), $D$8, 1, TRUE, "prepareData"))),
$C$9,INDIRECT(ADDRESS(ROW(A166), $D$9, 1, TRUE, "prepareData"))),
$C$10,INDIRECT(ADDRESS(ROW(A166), $D$10, 1, TRUE, "prepareData"))),
IF(AND(C175&lt;&gt;"",C175&lt;&gt;CHAR(10)&amp;"]"),"",""))
&amp;IF(ROW(C164)&lt;$A$12,","&amp;CHAR(10),"")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IF(INDIRECT(ADDRESS(ROW(A167), $D$4, 1, TRUE, "prepareData"))&lt;&gt;"",
SUBSTITUTE(SUBSTITUTE(SUBSTITUTE(SUBSTITUTE(SUBSTITUTE(SUBSTITUTE(SUBSTITUTE($C$2,
$C$4,INDIRECT(ADDRESS(ROW(A167), $D$4, 1, TRUE, "prepareData"))),
$C$5,INDIRECT(ADDRESS(ROW(A167), $D$5, 1, TRUE, "prepareData"))),
$C$6,INDIRECT(ADDRESS(ROW(A167), $D$6, 1, TRUE, "prepareData"))),
$C$7,INDIRECT(ADDRESS(ROW(A167), $D$7, 1, TRUE, "prepareData"))),
$C$8,INDIRECT(ADDRESS(ROW(A167), $D$8, 1, TRUE, "prepareData"))),
$C$9,INDIRECT(ADDRESS(ROW(A167), $D$9, 1, TRUE, "prepareData"))),
$C$10,INDIRECT(ADDRESS(ROW(A167), $D$10, 1, TRUE, "prepareData"))),
IF(AND(C176&lt;&gt;"",C176&lt;&gt;CHAR(10)&amp;"]"),"",""))
&amp;IF(ROW(C165)&lt;$A$12,","&amp;CHAR(10),"")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IF(INDIRECT(ADDRESS(ROW(A168), $D$4, 1, TRUE, "prepareData"))&lt;&gt;"",
SUBSTITUTE(SUBSTITUTE(SUBSTITUTE(SUBSTITUTE(SUBSTITUTE(SUBSTITUTE(SUBSTITUTE($C$2,
$C$4,INDIRECT(ADDRESS(ROW(A168), $D$4, 1, TRUE, "prepareData"))),
$C$5,INDIRECT(ADDRESS(ROW(A168), $D$5, 1, TRUE, "prepareData"))),
$C$6,INDIRECT(ADDRESS(ROW(A168), $D$6, 1, TRUE, "prepareData"))),
$C$7,INDIRECT(ADDRESS(ROW(A168), $D$7, 1, TRUE, "prepareData"))),
$C$8,INDIRECT(ADDRESS(ROW(A168), $D$8, 1, TRUE, "prepareData"))),
$C$9,INDIRECT(ADDRESS(ROW(A168), $D$9, 1, TRUE, "prepareData"))),
$C$10,INDIRECT(ADDRESS(ROW(A168), $D$10, 1, TRUE, "prepareData"))),
IF(AND(C177&lt;&gt;"",C177&lt;&gt;CHAR(10)&amp;"]"),"",""))
&amp;IF(ROW(C166)&lt;$A$12,","&amp;CHAR(10),"")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IF(INDIRECT(ADDRESS(ROW(A169), $D$4, 1, TRUE, "prepareData"))&lt;&gt;"",
SUBSTITUTE(SUBSTITUTE(SUBSTITUTE(SUBSTITUTE(SUBSTITUTE(SUBSTITUTE(SUBSTITUTE($C$2,
$C$4,INDIRECT(ADDRESS(ROW(A169), $D$4, 1, TRUE, "prepareData"))),
$C$5,INDIRECT(ADDRESS(ROW(A169), $D$5, 1, TRUE, "prepareData"))),
$C$6,INDIRECT(ADDRESS(ROW(A169), $D$6, 1, TRUE, "prepareData"))),
$C$7,INDIRECT(ADDRESS(ROW(A169), $D$7, 1, TRUE, "prepareData"))),
$C$8,INDIRECT(ADDRESS(ROW(A169), $D$8, 1, TRUE, "prepareData"))),
$C$9,INDIRECT(ADDRESS(ROW(A169), $D$9, 1, TRUE, "prepareData"))),
$C$10,INDIRECT(ADDRESS(ROW(A169), $D$10, 1, TRUE, "prepareData"))),
IF(AND(C178&lt;&gt;"",C178&lt;&gt;CHAR(10)&amp;"]"),"",""))
&amp;IF(ROW(C167)&lt;$A$12,","&amp;CHAR(10),"")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IF(INDIRECT(ADDRESS(ROW(A170), $D$4, 1, TRUE, "prepareData"))&lt;&gt;"",
SUBSTITUTE(SUBSTITUTE(SUBSTITUTE(SUBSTITUTE(SUBSTITUTE(SUBSTITUTE(SUBSTITUTE($C$2,
$C$4,INDIRECT(ADDRESS(ROW(A170), $D$4, 1, TRUE, "prepareData"))),
$C$5,INDIRECT(ADDRESS(ROW(A170), $D$5, 1, TRUE, "prepareData"))),
$C$6,INDIRECT(ADDRESS(ROW(A170), $D$6, 1, TRUE, "prepareData"))),
$C$7,INDIRECT(ADDRESS(ROW(A170), $D$7, 1, TRUE, "prepareData"))),
$C$8,INDIRECT(ADDRESS(ROW(A170), $D$8, 1, TRUE, "prepareData"))),
$C$9,INDIRECT(ADDRESS(ROW(A170), $D$9, 1, TRUE, "prepareData"))),
$C$10,INDIRECT(ADDRESS(ROW(A170), $D$10, 1, TRUE, "prepareData"))),
IF(AND(C179&lt;&gt;"",C179&lt;&gt;CHAR(10)&amp;"]"),"",""))
&amp;IF(ROW(C168)&lt;$A$12,","&amp;CHAR(10),"")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IF(INDIRECT(ADDRESS(ROW(A171), $D$4, 1, TRUE, "prepareData"))&lt;&gt;"",
SUBSTITUTE(SUBSTITUTE(SUBSTITUTE(SUBSTITUTE(SUBSTITUTE(SUBSTITUTE(SUBSTITUTE($C$2,
$C$4,INDIRECT(ADDRESS(ROW(A171), $D$4, 1, TRUE, "prepareData"))),
$C$5,INDIRECT(ADDRESS(ROW(A171), $D$5, 1, TRUE, "prepareData"))),
$C$6,INDIRECT(ADDRESS(ROW(A171), $D$6, 1, TRUE, "prepareData"))),
$C$7,INDIRECT(ADDRESS(ROW(A171), $D$7, 1, TRUE, "prepareData"))),
$C$8,INDIRECT(ADDRESS(ROW(A171), $D$8, 1, TRUE, "prepareData"))),
$C$9,INDIRECT(ADDRESS(ROW(A171), $D$9, 1, TRUE, "prepareData"))),
$C$10,INDIRECT(ADDRESS(ROW(A171), $D$10, 1, TRUE, "prepareData"))),
IF(AND(C180&lt;&gt;"",C180&lt;&gt;CHAR(10)&amp;"]"),"",""))
&amp;IF(ROW(C169)&lt;$A$12,","&amp;CHAR(10),"")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IF(INDIRECT(ADDRESS(ROW(A172), $D$4, 1, TRUE, "prepareData"))&lt;&gt;"",
SUBSTITUTE(SUBSTITUTE(SUBSTITUTE(SUBSTITUTE(SUBSTITUTE(SUBSTITUTE(SUBSTITUTE($C$2,
$C$4,INDIRECT(ADDRESS(ROW(A172), $D$4, 1, TRUE, "prepareData"))),
$C$5,INDIRECT(ADDRESS(ROW(A172), $D$5, 1, TRUE, "prepareData"))),
$C$6,INDIRECT(ADDRESS(ROW(A172), $D$6, 1, TRUE, "prepareData"))),
$C$7,INDIRECT(ADDRESS(ROW(A172), $D$7, 1, TRUE, "prepareData"))),
$C$8,INDIRECT(ADDRESS(ROW(A172), $D$8, 1, TRUE, "prepareData"))),
$C$9,INDIRECT(ADDRESS(ROW(A172), $D$9, 1, TRUE, "prepareData"))),
$C$10,INDIRECT(ADDRESS(ROW(A172), $D$10, 1, TRUE, "prepareData"))),
IF(AND(C181&lt;&gt;"",C181&lt;&gt;CHAR(10)&amp;"]"),"",""))
&amp;IF(ROW(C170)&lt;$A$12,","&amp;CHAR(10),"")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IF(INDIRECT(ADDRESS(ROW(A173), $D$4, 1, TRUE, "prepareData"))&lt;&gt;"",
SUBSTITUTE(SUBSTITUTE(SUBSTITUTE(SUBSTITUTE(SUBSTITUTE(SUBSTITUTE(SUBSTITUTE($C$2,
$C$4,INDIRECT(ADDRESS(ROW(A173), $D$4, 1, TRUE, "prepareData"))),
$C$5,INDIRECT(ADDRESS(ROW(A173), $D$5, 1, TRUE, "prepareData"))),
$C$6,INDIRECT(ADDRESS(ROW(A173), $D$6, 1, TRUE, "prepareData"))),
$C$7,INDIRECT(ADDRESS(ROW(A173), $D$7, 1, TRUE, "prepareData"))),
$C$8,INDIRECT(ADDRESS(ROW(A173), $D$8, 1, TRUE, "prepareData"))),
$C$9,INDIRECT(ADDRESS(ROW(A173), $D$9, 1, TRUE, "prepareData"))),
$C$10,INDIRECT(ADDRESS(ROW(A173), $D$10, 1, TRUE, "prepareData"))),
IF(AND(C182&lt;&gt;"",C182&lt;&gt;CHAR(10)&amp;"]"),"",""))
&amp;IF(ROW(C171)&lt;$A$12,","&amp;CHAR(10),"")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IF(INDIRECT(ADDRESS(ROW(A174), $D$4, 1, TRUE, "prepareData"))&lt;&gt;"",
SUBSTITUTE(SUBSTITUTE(SUBSTITUTE(SUBSTITUTE(SUBSTITUTE(SUBSTITUTE(SUBSTITUTE($C$2,
$C$4,INDIRECT(ADDRESS(ROW(A174), $D$4, 1, TRUE, "prepareData"))),
$C$5,INDIRECT(ADDRESS(ROW(A174), $D$5, 1, TRUE, "prepareData"))),
$C$6,INDIRECT(ADDRESS(ROW(A174), $D$6, 1, TRUE, "prepareData"))),
$C$7,INDIRECT(ADDRESS(ROW(A174), $D$7, 1, TRUE, "prepareData"))),
$C$8,INDIRECT(ADDRESS(ROW(A174), $D$8, 1, TRUE, "prepareData"))),
$C$9,INDIRECT(ADDRESS(ROW(A174), $D$9, 1, TRUE, "prepareData"))),
$C$10,INDIRECT(ADDRESS(ROW(A174), $D$10, 1, TRUE, "prepareData"))),
IF(AND(C183&lt;&gt;"",C183&lt;&gt;CHAR(10)&amp;"]"),"",""))
&amp;IF(ROW(C172)&lt;$A$12,","&amp;CHAR(10),"")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IF(INDIRECT(ADDRESS(ROW(A175), $D$4, 1, TRUE, "prepareData"))&lt;&gt;"",
SUBSTITUTE(SUBSTITUTE(SUBSTITUTE(SUBSTITUTE(SUBSTITUTE(SUBSTITUTE(SUBSTITUTE($C$2,
$C$4,INDIRECT(ADDRESS(ROW(A175), $D$4, 1, TRUE, "prepareData"))),
$C$5,INDIRECT(ADDRESS(ROW(A175), $D$5, 1, TRUE, "prepareData"))),
$C$6,INDIRECT(ADDRESS(ROW(A175), $D$6, 1, TRUE, "prepareData"))),
$C$7,INDIRECT(ADDRESS(ROW(A175), $D$7, 1, TRUE, "prepareData"))),
$C$8,INDIRECT(ADDRESS(ROW(A175), $D$8, 1, TRUE, "prepareData"))),
$C$9,INDIRECT(ADDRESS(ROW(A175), $D$9, 1, TRUE, "prepareData"))),
$C$10,INDIRECT(ADDRESS(ROW(A175), $D$10, 1, TRUE, "prepareData"))),
IF(AND(C184&lt;&gt;"",C184&lt;&gt;CHAR(10)&amp;"]"),"",""))
&amp;IF(ROW(C173)&lt;$A$12,","&amp;CHAR(10),"")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IF(INDIRECT(ADDRESS(ROW(A176), $D$4, 1, TRUE, "prepareData"))&lt;&gt;"",
SUBSTITUTE(SUBSTITUTE(SUBSTITUTE(SUBSTITUTE(SUBSTITUTE(SUBSTITUTE(SUBSTITUTE($C$2,
$C$4,INDIRECT(ADDRESS(ROW(A176), $D$4, 1, TRUE, "prepareData"))),
$C$5,INDIRECT(ADDRESS(ROW(A176), $D$5, 1, TRUE, "prepareData"))),
$C$6,INDIRECT(ADDRESS(ROW(A176), $D$6, 1, TRUE, "prepareData"))),
$C$7,INDIRECT(ADDRESS(ROW(A176), $D$7, 1, TRUE, "prepareData"))),
$C$8,INDIRECT(ADDRESS(ROW(A176), $D$8, 1, TRUE, "prepareData"))),
$C$9,INDIRECT(ADDRESS(ROW(A176), $D$9, 1, TRUE, "prepareData"))),
$C$10,INDIRECT(ADDRESS(ROW(A176), $D$10, 1, TRUE, "prepareData"))),
IF(AND(C185&lt;&gt;"",C185&lt;&gt;CHAR(10)&amp;"]"),"",""))
&amp;IF(ROW(C174)&lt;$A$12,","&amp;CHAR(10),"")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IF(INDIRECT(ADDRESS(ROW(A177), $D$4, 1, TRUE, "prepareData"))&lt;&gt;"",
SUBSTITUTE(SUBSTITUTE(SUBSTITUTE(SUBSTITUTE(SUBSTITUTE(SUBSTITUTE(SUBSTITUTE($C$2,
$C$4,INDIRECT(ADDRESS(ROW(A177), $D$4, 1, TRUE, "prepareData"))),
$C$5,INDIRECT(ADDRESS(ROW(A177), $D$5, 1, TRUE, "prepareData"))),
$C$6,INDIRECT(ADDRESS(ROW(A177), $D$6, 1, TRUE, "prepareData"))),
$C$7,INDIRECT(ADDRESS(ROW(A177), $D$7, 1, TRUE, "prepareData"))),
$C$8,INDIRECT(ADDRESS(ROW(A177), $D$8, 1, TRUE, "prepareData"))),
$C$9,INDIRECT(ADDRESS(ROW(A177), $D$9, 1, TRUE, "prepareData"))),
$C$10,INDIRECT(ADDRESS(ROW(A177), $D$10, 1, TRUE, "prepareData"))),
IF(AND(C186&lt;&gt;"",C186&lt;&gt;CHAR(10)&amp;"]"),"",""))
&amp;IF(ROW(C175)&lt;$A$12,","&amp;CHAR(10),"")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IF(INDIRECT(ADDRESS(ROW(A178), $D$4, 1, TRUE, "prepareData"))&lt;&gt;"",
SUBSTITUTE(SUBSTITUTE(SUBSTITUTE(SUBSTITUTE(SUBSTITUTE(SUBSTITUTE(SUBSTITUTE($C$2,
$C$4,INDIRECT(ADDRESS(ROW(A178), $D$4, 1, TRUE, "prepareData"))),
$C$5,INDIRECT(ADDRESS(ROW(A178), $D$5, 1, TRUE, "prepareData"))),
$C$6,INDIRECT(ADDRESS(ROW(A178), $D$6, 1, TRUE, "prepareData"))),
$C$7,INDIRECT(ADDRESS(ROW(A178), $D$7, 1, TRUE, "prepareData"))),
$C$8,INDIRECT(ADDRESS(ROW(A178), $D$8, 1, TRUE, "prepareData"))),
$C$9,INDIRECT(ADDRESS(ROW(A178), $D$9, 1, TRUE, "prepareData"))),
$C$10,INDIRECT(ADDRESS(ROW(A178), $D$10, 1, TRUE, "prepareData"))),
IF(AND(C187&lt;&gt;"",C187&lt;&gt;CHAR(10)&amp;"]"),"",""))
&amp;IF(ROW(C176)&lt;$A$12,","&amp;CHAR(10),"")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IF(INDIRECT(ADDRESS(ROW(A179), $D$4, 1, TRUE, "prepareData"))&lt;&gt;"",
SUBSTITUTE(SUBSTITUTE(SUBSTITUTE(SUBSTITUTE(SUBSTITUTE(SUBSTITUTE(SUBSTITUTE($C$2,
$C$4,INDIRECT(ADDRESS(ROW(A179), $D$4, 1, TRUE, "prepareData"))),
$C$5,INDIRECT(ADDRESS(ROW(A179), $D$5, 1, TRUE, "prepareData"))),
$C$6,INDIRECT(ADDRESS(ROW(A179), $D$6, 1, TRUE, "prepareData"))),
$C$7,INDIRECT(ADDRESS(ROW(A179), $D$7, 1, TRUE, "prepareData"))),
$C$8,INDIRECT(ADDRESS(ROW(A179), $D$8, 1, TRUE, "prepareData"))),
$C$9,INDIRECT(ADDRESS(ROW(A179), $D$9, 1, TRUE, "prepareData"))),
$C$10,INDIRECT(ADDRESS(ROW(A179), $D$10, 1, TRUE, "prepareData"))),
IF(AND(C188&lt;&gt;"",C188&lt;&gt;CHAR(10)&amp;"]"),"",""))
&amp;IF(ROW(C177)&lt;$A$12,","&amp;CHAR(10),"")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IF(INDIRECT(ADDRESS(ROW(A180), $D$4, 1, TRUE, "prepareData"))&lt;&gt;"",
SUBSTITUTE(SUBSTITUTE(SUBSTITUTE(SUBSTITUTE(SUBSTITUTE(SUBSTITUTE(SUBSTITUTE($C$2,
$C$4,INDIRECT(ADDRESS(ROW(A180), $D$4, 1, TRUE, "prepareData"))),
$C$5,INDIRECT(ADDRESS(ROW(A180), $D$5, 1, TRUE, "prepareData"))),
$C$6,INDIRECT(ADDRESS(ROW(A180), $D$6, 1, TRUE, "prepareData"))),
$C$7,INDIRECT(ADDRESS(ROW(A180), $D$7, 1, TRUE, "prepareData"))),
$C$8,INDIRECT(ADDRESS(ROW(A180), $D$8, 1, TRUE, "prepareData"))),
$C$9,INDIRECT(ADDRESS(ROW(A180), $D$9, 1, TRUE, "prepareData"))),
$C$10,INDIRECT(ADDRESS(ROW(A180), $D$10, 1, TRUE, "prepareData"))),
IF(AND(C189&lt;&gt;"",C189&lt;&gt;CHAR(10)&amp;"]"),"",""))
&amp;IF(ROW(C178)&lt;$A$12,","&amp;CHAR(10),"")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IF(INDIRECT(ADDRESS(ROW(A181), $D$4, 1, TRUE, "prepareData"))&lt;&gt;"",
SUBSTITUTE(SUBSTITUTE(SUBSTITUTE(SUBSTITUTE(SUBSTITUTE(SUBSTITUTE(SUBSTITUTE($C$2,
$C$4,INDIRECT(ADDRESS(ROW(A181), $D$4, 1, TRUE, "prepareData"))),
$C$5,INDIRECT(ADDRESS(ROW(A181), $D$5, 1, TRUE, "prepareData"))),
$C$6,INDIRECT(ADDRESS(ROW(A181), $D$6, 1, TRUE, "prepareData"))),
$C$7,INDIRECT(ADDRESS(ROW(A181), $D$7, 1, TRUE, "prepareData"))),
$C$8,INDIRECT(ADDRESS(ROW(A181), $D$8, 1, TRUE, "prepareData"))),
$C$9,INDIRECT(ADDRESS(ROW(A181), $D$9, 1, TRUE, "prepareData"))),
$C$10,INDIRECT(ADDRESS(ROW(A181), $D$10, 1, TRUE, "prepareData"))),
IF(AND(C190&lt;&gt;"",C190&lt;&gt;CHAR(10)&amp;"]"),"",""))
&amp;IF(ROW(C179)&lt;$A$12,","&amp;CHAR(10),"")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IF(INDIRECT(ADDRESS(ROW(A182), $D$4, 1, TRUE, "prepareData"))&lt;&gt;"",
SUBSTITUTE(SUBSTITUTE(SUBSTITUTE(SUBSTITUTE(SUBSTITUTE(SUBSTITUTE(SUBSTITUTE($C$2,
$C$4,INDIRECT(ADDRESS(ROW(A182), $D$4, 1, TRUE, "prepareData"))),
$C$5,INDIRECT(ADDRESS(ROW(A182), $D$5, 1, TRUE, "prepareData"))),
$C$6,INDIRECT(ADDRESS(ROW(A182), $D$6, 1, TRUE, "prepareData"))),
$C$7,INDIRECT(ADDRESS(ROW(A182), $D$7, 1, TRUE, "prepareData"))),
$C$8,INDIRECT(ADDRESS(ROW(A182), $D$8, 1, TRUE, "prepareData"))),
$C$9,INDIRECT(ADDRESS(ROW(A182), $D$9, 1, TRUE, "prepareData"))),
$C$10,INDIRECT(ADDRESS(ROW(A182), $D$10, 1, TRUE, "prepareData"))),
IF(AND(C191&lt;&gt;"",C191&lt;&gt;CHAR(10)&amp;"]"),"",""))
&amp;IF(ROW(C180)&lt;$A$12,","&amp;CHAR(10),"")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IF(INDIRECT(ADDRESS(ROW(A183), $D$4, 1, TRUE, "prepareData"))&lt;&gt;"",
SUBSTITUTE(SUBSTITUTE(SUBSTITUTE(SUBSTITUTE(SUBSTITUTE(SUBSTITUTE(SUBSTITUTE($C$2,
$C$4,INDIRECT(ADDRESS(ROW(A183), $D$4, 1, TRUE, "prepareData"))),
$C$5,INDIRECT(ADDRESS(ROW(A183), $D$5, 1, TRUE, "prepareData"))),
$C$6,INDIRECT(ADDRESS(ROW(A183), $D$6, 1, TRUE, "prepareData"))),
$C$7,INDIRECT(ADDRESS(ROW(A183), $D$7, 1, TRUE, "prepareData"))),
$C$8,INDIRECT(ADDRESS(ROW(A183), $D$8, 1, TRUE, "prepareData"))),
$C$9,INDIRECT(ADDRESS(ROW(A183), $D$9, 1, TRUE, "prepareData"))),
$C$10,INDIRECT(ADDRESS(ROW(A183), $D$10, 1, TRUE, "prepareData"))),
IF(AND(C192&lt;&gt;"",C192&lt;&gt;CHAR(10)&amp;"]"),"",""))
&amp;IF(ROW(C181)&lt;$A$12,","&amp;CHAR(10),"")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IF(INDIRECT(ADDRESS(ROW(A184), $D$4, 1, TRUE, "prepareData"))&lt;&gt;"",
SUBSTITUTE(SUBSTITUTE(SUBSTITUTE(SUBSTITUTE(SUBSTITUTE(SUBSTITUTE(SUBSTITUTE($C$2,
$C$4,INDIRECT(ADDRESS(ROW(A184), $D$4, 1, TRUE, "prepareData"))),
$C$5,INDIRECT(ADDRESS(ROW(A184), $D$5, 1, TRUE, "prepareData"))),
$C$6,INDIRECT(ADDRESS(ROW(A184), $D$6, 1, TRUE, "prepareData"))),
$C$7,INDIRECT(ADDRESS(ROW(A184), $D$7, 1, TRUE, "prepareData"))),
$C$8,INDIRECT(ADDRESS(ROW(A184), $D$8, 1, TRUE, "prepareData"))),
$C$9,INDIRECT(ADDRESS(ROW(A184), $D$9, 1, TRUE, "prepareData"))),
$C$10,INDIRECT(ADDRESS(ROW(A184), $D$10, 1, TRUE, "prepareData"))),
IF(AND(C193&lt;&gt;"",C193&lt;&gt;CHAR(10)&amp;"]"),"",""))
&amp;IF(ROW(C182)&lt;$A$12,","&amp;CHAR(10),"")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IF(INDIRECT(ADDRESS(ROW(A185), $D$4, 1, TRUE, "prepareData"))&lt;&gt;"",
SUBSTITUTE(SUBSTITUTE(SUBSTITUTE(SUBSTITUTE(SUBSTITUTE(SUBSTITUTE(SUBSTITUTE($C$2,
$C$4,INDIRECT(ADDRESS(ROW(A185), $D$4, 1, TRUE, "prepareData"))),
$C$5,INDIRECT(ADDRESS(ROW(A185), $D$5, 1, TRUE, "prepareData"))),
$C$6,INDIRECT(ADDRESS(ROW(A185), $D$6, 1, TRUE, "prepareData"))),
$C$7,INDIRECT(ADDRESS(ROW(A185), $D$7, 1, TRUE, "prepareData"))),
$C$8,INDIRECT(ADDRESS(ROW(A185), $D$8, 1, TRUE, "prepareData"))),
$C$9,INDIRECT(ADDRESS(ROW(A185), $D$9, 1, TRUE, "prepareData"))),
$C$10,INDIRECT(ADDRESS(ROW(A185), $D$10, 1, TRUE, "prepareData"))),
IF(AND(C194&lt;&gt;"",C194&lt;&gt;CHAR(10)&amp;"]"),"",""))
&amp;IF(ROW(C183)&lt;$A$12,","&amp;CHAR(10),"")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IF(INDIRECT(ADDRESS(ROW(A186), $D$4, 1, TRUE, "prepareData"))&lt;&gt;"",
SUBSTITUTE(SUBSTITUTE(SUBSTITUTE(SUBSTITUTE(SUBSTITUTE(SUBSTITUTE(SUBSTITUTE($C$2,
$C$4,INDIRECT(ADDRESS(ROW(A186), $D$4, 1, TRUE, "prepareData"))),
$C$5,INDIRECT(ADDRESS(ROW(A186), $D$5, 1, TRUE, "prepareData"))),
$C$6,INDIRECT(ADDRESS(ROW(A186), $D$6, 1, TRUE, "prepareData"))),
$C$7,INDIRECT(ADDRESS(ROW(A186), $D$7, 1, TRUE, "prepareData"))),
$C$8,INDIRECT(ADDRESS(ROW(A186), $D$8, 1, TRUE, "prepareData"))),
$C$9,INDIRECT(ADDRESS(ROW(A186), $D$9, 1, TRUE, "prepareData"))),
$C$10,INDIRECT(ADDRESS(ROW(A186), $D$10, 1, TRUE, "prepareData"))),
IF(AND(C195&lt;&gt;"",C195&lt;&gt;CHAR(10)&amp;"]"),"",""))
&amp;IF(ROW(C184)&lt;$A$12,","&amp;CHAR(10),"")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IF(INDIRECT(ADDRESS(ROW(A187), $D$4, 1, TRUE, "prepareData"))&lt;&gt;"",
SUBSTITUTE(SUBSTITUTE(SUBSTITUTE(SUBSTITUTE(SUBSTITUTE(SUBSTITUTE(SUBSTITUTE($C$2,
$C$4,INDIRECT(ADDRESS(ROW(A187), $D$4, 1, TRUE, "prepareData"))),
$C$5,INDIRECT(ADDRESS(ROW(A187), $D$5, 1, TRUE, "prepareData"))),
$C$6,INDIRECT(ADDRESS(ROW(A187), $D$6, 1, TRUE, "prepareData"))),
$C$7,INDIRECT(ADDRESS(ROW(A187), $D$7, 1, TRUE, "prepareData"))),
$C$8,INDIRECT(ADDRESS(ROW(A187), $D$8, 1, TRUE, "prepareData"))),
$C$9,INDIRECT(ADDRESS(ROW(A187), $D$9, 1, TRUE, "prepareData"))),
$C$10,INDIRECT(ADDRESS(ROW(A187), $D$10, 1, TRUE, "prepareData"))),
IF(AND(C196&lt;&gt;"",C196&lt;&gt;CHAR(10)&amp;"]"),"",""))
&amp;IF(ROW(C185)&lt;$A$12,","&amp;CHAR(10),"")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IF(INDIRECT(ADDRESS(ROW(A188), $D$4, 1, TRUE, "prepareData"))&lt;&gt;"",
SUBSTITUTE(SUBSTITUTE(SUBSTITUTE(SUBSTITUTE(SUBSTITUTE(SUBSTITUTE(SUBSTITUTE($C$2,
$C$4,INDIRECT(ADDRESS(ROW(A188), $D$4, 1, TRUE, "prepareData"))),
$C$5,INDIRECT(ADDRESS(ROW(A188), $D$5, 1, TRUE, "prepareData"))),
$C$6,INDIRECT(ADDRESS(ROW(A188), $D$6, 1, TRUE, "prepareData"))),
$C$7,INDIRECT(ADDRESS(ROW(A188), $D$7, 1, TRUE, "prepareData"))),
$C$8,INDIRECT(ADDRESS(ROW(A188), $D$8, 1, TRUE, "prepareData"))),
$C$9,INDIRECT(ADDRESS(ROW(A188), $D$9, 1, TRUE, "prepareData"))),
$C$10,INDIRECT(ADDRESS(ROW(A188), $D$10, 1, TRUE, "prepareData"))),
IF(AND(C197&lt;&gt;"",C197&lt;&gt;CHAR(10)&amp;"]"),"",""))
&amp;IF(ROW(C186)&lt;$A$12,","&amp;CHAR(10),"")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IF(INDIRECT(ADDRESS(ROW(A189), $D$4, 1, TRUE, "prepareData"))&lt;&gt;"",
SUBSTITUTE(SUBSTITUTE(SUBSTITUTE(SUBSTITUTE(SUBSTITUTE(SUBSTITUTE(SUBSTITUTE($C$2,
$C$4,INDIRECT(ADDRESS(ROW(A189), $D$4, 1, TRUE, "prepareData"))),
$C$5,INDIRECT(ADDRESS(ROW(A189), $D$5, 1, TRUE, "prepareData"))),
$C$6,INDIRECT(ADDRESS(ROW(A189), $D$6, 1, TRUE, "prepareData"))),
$C$7,INDIRECT(ADDRESS(ROW(A189), $D$7, 1, TRUE, "prepareData"))),
$C$8,INDIRECT(ADDRESS(ROW(A189), $D$8, 1, TRUE, "prepareData"))),
$C$9,INDIRECT(ADDRESS(ROW(A189), $D$9, 1, TRUE, "prepareData"))),
$C$10,INDIRECT(ADDRESS(ROW(A189), $D$10, 1, TRUE, "prepareData"))),
IF(AND(C198&lt;&gt;"",C198&lt;&gt;CHAR(10)&amp;"]"),"",""))
&amp;IF(ROW(C187)&lt;$A$12,","&amp;CHAR(10),"")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IF(INDIRECT(ADDRESS(ROW(A190), $D$4, 1, TRUE, "prepareData"))&lt;&gt;"",
SUBSTITUTE(SUBSTITUTE(SUBSTITUTE(SUBSTITUTE(SUBSTITUTE(SUBSTITUTE(SUBSTITUTE($C$2,
$C$4,INDIRECT(ADDRESS(ROW(A190), $D$4, 1, TRUE, "prepareData"))),
$C$5,INDIRECT(ADDRESS(ROW(A190), $D$5, 1, TRUE, "prepareData"))),
$C$6,INDIRECT(ADDRESS(ROW(A190), $D$6, 1, TRUE, "prepareData"))),
$C$7,INDIRECT(ADDRESS(ROW(A190), $D$7, 1, TRUE, "prepareData"))),
$C$8,INDIRECT(ADDRESS(ROW(A190), $D$8, 1, TRUE, "prepareData"))),
$C$9,INDIRECT(ADDRESS(ROW(A190), $D$9, 1, TRUE, "prepareData"))),
$C$10,INDIRECT(ADDRESS(ROW(A190), $D$10, 1, TRUE, "prepareData"))),
IF(AND(C199&lt;&gt;"",C199&lt;&gt;CHAR(10)&amp;"]"),"",""))
&amp;IF(ROW(C188)&lt;$A$12,","&amp;CHAR(10),"")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93F7B-D3BF-4664-8194-993B2295297F}">
  <sheetPr codeName="Sheet4"/>
  <dimension ref="A2:E200"/>
  <sheetViews>
    <sheetView topLeftCell="A185" zoomScale="70" zoomScaleNormal="70" workbookViewId="0">
      <selection activeCell="B200" sqref="B200"/>
    </sheetView>
  </sheetViews>
  <sheetFormatPr defaultRowHeight="18.75" x14ac:dyDescent="0.4"/>
  <cols>
    <col min="1" max="1" width="7.875" customWidth="1"/>
    <col min="2" max="2" width="14.5" customWidth="1"/>
    <col min="3" max="3" width="64.75" style="2" customWidth="1"/>
  </cols>
  <sheetData>
    <row r="2" spans="1:5" ht="138" customHeight="1" x14ac:dyDescent="0.4">
      <c r="B2" s="20" t="s">
        <v>32</v>
      </c>
      <c r="C2" s="2" t="s">
        <v>45</v>
      </c>
    </row>
    <row r="4" spans="1:5" x14ac:dyDescent="0.4">
      <c r="B4" t="s">
        <v>33</v>
      </c>
      <c r="C4" s="2" t="s">
        <v>44</v>
      </c>
      <c r="D4">
        <v>14</v>
      </c>
    </row>
    <row r="5" spans="1:5" x14ac:dyDescent="0.4">
      <c r="C5" s="2" t="s">
        <v>43</v>
      </c>
      <c r="D5">
        <v>20</v>
      </c>
    </row>
    <row r="6" spans="1:5" x14ac:dyDescent="0.4">
      <c r="C6" s="2" t="s">
        <v>42</v>
      </c>
      <c r="D6">
        <v>21</v>
      </c>
    </row>
    <row r="11" spans="1:5" x14ac:dyDescent="0.4">
      <c r="A11">
        <f>COUNTIF(prepareData!M:M,"?*")-2</f>
        <v>16</v>
      </c>
      <c r="B11" t="s">
        <v>41</v>
      </c>
      <c r="C11" s="2" t="s">
        <v>445</v>
      </c>
    </row>
    <row r="12" spans="1:5" ht="150" x14ac:dyDescent="0.4">
      <c r="B12" t="s">
        <v>21</v>
      </c>
      <c r="C12" s="2" t="str" cm="1">
        <f t="array" aca="1" ref="C12" ca="1" xml:space="preserve">
IF(INDIRECT(ADDRESS(ROW(A3), $D$4, 1, TRUE, "prepareData"))&lt;&gt;"",
SUBSTITUTE(SUBSTITUTE(SUBSTITUTE($C$2,
$C$4,INDIRECT(ADDRESS(ROW(A3), $D$4, 1, TRUE, "prepareData"))),
$C$5,INDIRECT(ADDRESS(ROW(A3), $D$5, 1, TRUE, "prepareData"))),
$C$6,INDIRECT(ADDRESS(ROW(A3), $D$6, 1, TRUE, "prepareData"))),
IF(AND(C11&lt;&gt;"",C11&lt;&gt;CHAR(10)&amp;"]"),"",""))
&amp;IF(ROW(C1)&lt;$A$11,","&amp;CHAR(10),"")</f>
        <v xml:space="preserve">    {
        "data": {
            "source": "99999936001",
            "target": "99999936001",
            "label": "介護施設"
        }
    },
</v>
      </c>
      <c r="E12" s="21"/>
    </row>
    <row r="13" spans="1:5" ht="131.25" x14ac:dyDescent="0.4">
      <c r="B13" t="s">
        <v>21</v>
      </c>
      <c r="C13" s="2" t="str" cm="1">
        <f t="array" aca="1" ref="C13" ca="1" xml:space="preserve">
IF(INDIRECT(ADDRESS(ROW(A4), $D$4, 1, TRUE, "prepareData"))&lt;&gt;"",
SUBSTITUTE(SUBSTITUTE(SUBSTITUTE($C$2,
$C$4,INDIRECT(ADDRESS(ROW(A4), $D$4, 1, TRUE, "prepareData"))),
$C$5,INDIRECT(ADDRESS(ROW(A4), $D$5, 1, TRUE, "prepareData"))),
$C$6,INDIRECT(ADDRESS(ROW(A4), $D$6, 1, TRUE, "prepareData"))),
IF(AND(C12&lt;&gt;"",C12&lt;&gt;CHAR(10)&amp;"]"),"",""))
&amp;IF(ROW(C2)&lt;$A$11,","&amp;CHAR(10),"")</f>
        <v xml:space="preserve">    {
        "data": {
            "source": "99999936002",
            "target": "99999936001",
            "label": "関連"
        }
    },
</v>
      </c>
    </row>
    <row r="14" spans="1:5" x14ac:dyDescent="0.4">
      <c r="B14" t="s">
        <v>21</v>
      </c>
      <c r="C14" s="2" t="str" cm="1">
        <f t="array" aca="1" ref="C14" ca="1" xml:space="preserve">
IF(INDIRECT(ADDRESS(ROW(A5), $D$4, 1, TRUE, "prepareData"))&lt;&gt;"",
SUBSTITUTE(SUBSTITUTE(SUBSTITUTE($C$2,
$C$4,INDIRECT(ADDRESS(ROW(A5), $D$4, 1, TRUE, "prepareData"))),
$C$5,INDIRECT(ADDRESS(ROW(A5), $D$5, 1, TRUE, "prepareData"))),
$C$6,INDIRECT(ADDRESS(ROW(A5), $D$6, 1, TRUE, "prepareData"))),
IF(AND(C13&lt;&gt;"",C13&lt;&gt;CHAR(10)&amp;"]"),"",""))
&amp;IF(ROW(C3)&lt;$A$11,","&amp;CHAR(10),"")</f>
        <v xml:space="preserve">    {
        "data": {
            "source": "99999936003",
            "target": "99999936001",
            "label": "関連"
        }
    },
</v>
      </c>
    </row>
    <row r="15" spans="1:5" x14ac:dyDescent="0.4">
      <c r="B15" t="s">
        <v>21</v>
      </c>
      <c r="C15" s="2" t="str" cm="1">
        <f t="array" aca="1" ref="C15" ca="1" xml:space="preserve">
IF(INDIRECT(ADDRESS(ROW(A6), $D$4, 1, TRUE, "prepareData"))&lt;&gt;"",
SUBSTITUTE(SUBSTITUTE(SUBSTITUTE($C$2,
$C$4,INDIRECT(ADDRESS(ROW(A6), $D$4, 1, TRUE, "prepareData"))),
$C$5,INDIRECT(ADDRESS(ROW(A6), $D$5, 1, TRUE, "prepareData"))),
$C$6,INDIRECT(ADDRESS(ROW(A6), $D$6, 1, TRUE, "prepareData"))),
IF(AND(C14&lt;&gt;"",C14&lt;&gt;CHAR(10)&amp;"]"),"",""))
&amp;IF(ROW(C4)&lt;$A$11,","&amp;CHAR(10),"")</f>
        <v xml:space="preserve">    {
        "data": {
            "source": "99999936004",
            "target": "99999936001",
            "label": "関連"
        }
    },
</v>
      </c>
    </row>
    <row r="16" spans="1:5" x14ac:dyDescent="0.4">
      <c r="B16" t="s">
        <v>21</v>
      </c>
      <c r="C16" s="2" t="str" cm="1">
        <f t="array" aca="1" ref="C16" ca="1" xml:space="preserve">
IF(INDIRECT(ADDRESS(ROW(A7), $D$4, 1, TRUE, "prepareData"))&lt;&gt;"",
SUBSTITUTE(SUBSTITUTE(SUBSTITUTE($C$2,
$C$4,INDIRECT(ADDRESS(ROW(A7), $D$4, 1, TRUE, "prepareData"))),
$C$5,INDIRECT(ADDRESS(ROW(A7), $D$5, 1, TRUE, "prepareData"))),
$C$6,INDIRECT(ADDRESS(ROW(A7), $D$6, 1, TRUE, "prepareData"))),
IF(AND(C15&lt;&gt;"",C15&lt;&gt;CHAR(10)&amp;"]"),"",""))
&amp;IF(ROW(C5)&lt;$A$11,","&amp;CHAR(10),"")</f>
        <v xml:space="preserve">    {
        "data": {
            "source": "99999936005",
            "target": "99999936001",
            "label": "関連"
        }
    },
</v>
      </c>
    </row>
    <row r="17" spans="2:3" x14ac:dyDescent="0.4">
      <c r="B17" t="s">
        <v>21</v>
      </c>
      <c r="C17" s="2" t="str" cm="1">
        <f t="array" aca="1" ref="C17" ca="1" xml:space="preserve">
IF(INDIRECT(ADDRESS(ROW(A8), $D$4, 1, TRUE, "prepareData"))&lt;&gt;"",
SUBSTITUTE(SUBSTITUTE(SUBSTITUTE($C$2,
$C$4,INDIRECT(ADDRESS(ROW(A8), $D$4, 1, TRUE, "prepareData"))),
$C$5,INDIRECT(ADDRESS(ROW(A8), $D$5, 1, TRUE, "prepareData"))),
$C$6,INDIRECT(ADDRESS(ROW(A8), $D$6, 1, TRUE, "prepareData"))),
IF(AND(C16&lt;&gt;"",C16&lt;&gt;CHAR(10)&amp;"]"),"",""))
&amp;IF(ROW(C6)&lt;$A$11,","&amp;CHAR(10),"")</f>
        <v xml:space="preserve">    {
        "data": {
            "source": "99999936006",
            "target": "99999936001",
            "label": "関連"
        }
    },
</v>
      </c>
    </row>
    <row r="18" spans="2:3" x14ac:dyDescent="0.4">
      <c r="B18" t="s">
        <v>21</v>
      </c>
      <c r="C18" s="2" t="str" cm="1">
        <f t="array" aca="1" ref="C18" ca="1" xml:space="preserve">
IF(INDIRECT(ADDRESS(ROW(A9), $D$4, 1, TRUE, "prepareData"))&lt;&gt;"",
SUBSTITUTE(SUBSTITUTE(SUBSTITUTE($C$2,
$C$4,INDIRECT(ADDRESS(ROW(A9), $D$4, 1, TRUE, "prepareData"))),
$C$5,INDIRECT(ADDRESS(ROW(A9), $D$5, 1, TRUE, "prepareData"))),
$C$6,INDIRECT(ADDRESS(ROW(A9), $D$6, 1, TRUE, "prepareData"))),
IF(AND(C17&lt;&gt;"",C17&lt;&gt;CHAR(10)&amp;"]"),"",""))
&amp;IF(ROW(C7)&lt;$A$11,","&amp;CHAR(10),"")</f>
        <v xml:space="preserve">    {
        "data": {
            "source": "99999936007",
            "target": "99999936001",
            "label": "関連"
        }
    },
</v>
      </c>
    </row>
    <row r="19" spans="2:3" x14ac:dyDescent="0.4">
      <c r="B19" t="s">
        <v>21</v>
      </c>
      <c r="C19" s="2" t="str" cm="1">
        <f t="array" aca="1" ref="C19" ca="1" xml:space="preserve">
IF(INDIRECT(ADDRESS(ROW(A10), $D$4, 1, TRUE, "prepareData"))&lt;&gt;"",
SUBSTITUTE(SUBSTITUTE(SUBSTITUTE($C$2,
$C$4,INDIRECT(ADDRESS(ROW(A10), $D$4, 1, TRUE, "prepareData"))),
$C$5,INDIRECT(ADDRESS(ROW(A10), $D$5, 1, TRUE, "prepareData"))),
$C$6,INDIRECT(ADDRESS(ROW(A10), $D$6, 1, TRUE, "prepareData"))),
IF(AND(C18&lt;&gt;"",C18&lt;&gt;CHAR(10)&amp;"]"),"",""))
&amp;IF(ROW(C8)&lt;$A$11,","&amp;CHAR(10),"")</f>
        <v xml:space="preserve">    {
        "data": {
            "source": "99999936008",
            "target": "99999936001",
            "label": "関連"
        }
    },
</v>
      </c>
    </row>
    <row r="20" spans="2:3" x14ac:dyDescent="0.4">
      <c r="B20" t="s">
        <v>21</v>
      </c>
      <c r="C20" s="2" t="str" cm="1">
        <f t="array" aca="1" ref="C20" ca="1" xml:space="preserve">
IF(INDIRECT(ADDRESS(ROW(A11), $D$4, 1, TRUE, "prepareData"))&lt;&gt;"",
SUBSTITUTE(SUBSTITUTE(SUBSTITUTE($C$2,
$C$4,INDIRECT(ADDRESS(ROW(A11), $D$4, 1, TRUE, "prepareData"))),
$C$5,INDIRECT(ADDRESS(ROW(A11), $D$5, 1, TRUE, "prepareData"))),
$C$6,INDIRECT(ADDRESS(ROW(A11), $D$6, 1, TRUE, "prepareData"))),
IF(AND(C19&lt;&gt;"",C19&lt;&gt;CHAR(10)&amp;"]"),"",""))
&amp;IF(ROW(C9)&lt;$A$11,","&amp;CHAR(10),"")</f>
        <v xml:space="preserve">    {
        "data": {
            "source": "99999936009",
            "target": "99999936001",
            "label": "関連"
        }
    },
</v>
      </c>
    </row>
    <row r="21" spans="2:3" x14ac:dyDescent="0.4">
      <c r="B21" t="s">
        <v>21</v>
      </c>
      <c r="C21" s="2" t="str" cm="1">
        <f t="array" aca="1" ref="C21" ca="1" xml:space="preserve">
IF(INDIRECT(ADDRESS(ROW(A12), $D$4, 1, TRUE, "prepareData"))&lt;&gt;"",
SUBSTITUTE(SUBSTITUTE(SUBSTITUTE($C$2,
$C$4,INDIRECT(ADDRESS(ROW(A12), $D$4, 1, TRUE, "prepareData"))),
$C$5,INDIRECT(ADDRESS(ROW(A12), $D$5, 1, TRUE, "prepareData"))),
$C$6,INDIRECT(ADDRESS(ROW(A12), $D$6, 1, TRUE, "prepareData"))),
IF(AND(C20&lt;&gt;"",C20&lt;&gt;CHAR(10)&amp;"]"),"",""))
&amp;IF(ROW(C10)&lt;$A$11,","&amp;CHAR(10),"")</f>
        <v xml:space="preserve">    {
        "data": {
            "source": "99999936010",
            "target": "99999936001",
            "label": "関連"
        }
    },
</v>
      </c>
    </row>
    <row r="22" spans="2:3" x14ac:dyDescent="0.4">
      <c r="B22" t="s">
        <v>21</v>
      </c>
      <c r="C22" s="2" t="str" cm="1">
        <f t="array" aca="1" ref="C22" ca="1" xml:space="preserve">
IF(INDIRECT(ADDRESS(ROW(A13), $D$4, 1, TRUE, "prepareData"))&lt;&gt;"",
SUBSTITUTE(SUBSTITUTE(SUBSTITUTE($C$2,
$C$4,INDIRECT(ADDRESS(ROW(A13), $D$4, 1, TRUE, "prepareData"))),
$C$5,INDIRECT(ADDRESS(ROW(A13), $D$5, 1, TRUE, "prepareData"))),
$C$6,INDIRECT(ADDRESS(ROW(A13), $D$6, 1, TRUE, "prepareData"))),
IF(AND(C21&lt;&gt;"",C21&lt;&gt;CHAR(10)&amp;"]"),"",""))
&amp;IF(ROW(C11)&lt;$A$11,","&amp;CHAR(10),"")</f>
        <v xml:space="preserve">    {
        "data": {
            "source": "99999936011",
            "target": "99999936001",
            "label": "関連"
        }
    },
</v>
      </c>
    </row>
    <row r="23" spans="2:3" x14ac:dyDescent="0.4">
      <c r="B23" t="s">
        <v>21</v>
      </c>
      <c r="C23" s="2" t="str" cm="1">
        <f t="array" aca="1" ref="C23" ca="1" xml:space="preserve">
IF(INDIRECT(ADDRESS(ROW(A14), $D$4, 1, TRUE, "prepareData"))&lt;&gt;"",
SUBSTITUTE(SUBSTITUTE(SUBSTITUTE($C$2,
$C$4,INDIRECT(ADDRESS(ROW(A14), $D$4, 1, TRUE, "prepareData"))),
$C$5,INDIRECT(ADDRESS(ROW(A14), $D$5, 1, TRUE, "prepareData"))),
$C$6,INDIRECT(ADDRESS(ROW(A14), $D$6, 1, TRUE, "prepareData"))),
IF(AND(C22&lt;&gt;"",C22&lt;&gt;CHAR(10)&amp;"]"),"",""))
&amp;IF(ROW(C12)&lt;$A$11,","&amp;CHAR(10),"")</f>
        <v xml:space="preserve">    {
        "data": {
            "source": "99999936012",
            "target": "99999936001",
            "label": "関連"
        }
    },
</v>
      </c>
    </row>
    <row r="24" spans="2:3" x14ac:dyDescent="0.4">
      <c r="B24" t="s">
        <v>21</v>
      </c>
      <c r="C24" s="2" t="str" cm="1">
        <f t="array" aca="1" ref="C24" ca="1" xml:space="preserve">
IF(INDIRECT(ADDRESS(ROW(A15), $D$4, 1, TRUE, "prepareData"))&lt;&gt;"",
SUBSTITUTE(SUBSTITUTE(SUBSTITUTE($C$2,
$C$4,INDIRECT(ADDRESS(ROW(A15), $D$4, 1, TRUE, "prepareData"))),
$C$5,INDIRECT(ADDRESS(ROW(A15), $D$5, 1, TRUE, "prepareData"))),
$C$6,INDIRECT(ADDRESS(ROW(A15), $D$6, 1, TRUE, "prepareData"))),
IF(AND(C23&lt;&gt;"",C23&lt;&gt;CHAR(10)&amp;"]"),"",""))
&amp;IF(ROW(C13)&lt;$A$11,","&amp;CHAR(10),"")</f>
        <v xml:space="preserve">    {
        "data": {
            "source": "99999936013",
            "target": "99999936001",
            "label": "関連"
        }
    },
</v>
      </c>
    </row>
    <row r="25" spans="2:3" x14ac:dyDescent="0.4">
      <c r="B25" t="s">
        <v>21</v>
      </c>
      <c r="C25" s="2" t="str" cm="1">
        <f t="array" aca="1" ref="C25" ca="1" xml:space="preserve">
IF(INDIRECT(ADDRESS(ROW(A16), $D$4, 1, TRUE, "prepareData"))&lt;&gt;"",
SUBSTITUTE(SUBSTITUTE(SUBSTITUTE($C$2,
$C$4,INDIRECT(ADDRESS(ROW(A16), $D$4, 1, TRUE, "prepareData"))),
$C$5,INDIRECT(ADDRESS(ROW(A16), $D$5, 1, TRUE, "prepareData"))),
$C$6,INDIRECT(ADDRESS(ROW(A16), $D$6, 1, TRUE, "prepareData"))),
IF(AND(C24&lt;&gt;"",C24&lt;&gt;CHAR(10)&amp;"]"),"",""))
&amp;IF(ROW(C14)&lt;$A$11,","&amp;CHAR(10),"")</f>
        <v xml:space="preserve">    {
        "data": {
            "source": "99999936014",
            "target": "99999936001",
            "label": "関連"
        }
    },
</v>
      </c>
    </row>
    <row r="26" spans="2:3" x14ac:dyDescent="0.4">
      <c r="B26" t="s">
        <v>21</v>
      </c>
      <c r="C26" s="2" t="str" cm="1">
        <f t="array" aca="1" ref="C26" ca="1" xml:space="preserve">
IF(INDIRECT(ADDRESS(ROW(A17), $D$4, 1, TRUE, "prepareData"))&lt;&gt;"",
SUBSTITUTE(SUBSTITUTE(SUBSTITUTE($C$2,
$C$4,INDIRECT(ADDRESS(ROW(A17), $D$4, 1, TRUE, "prepareData"))),
$C$5,INDIRECT(ADDRESS(ROW(A17), $D$5, 1, TRUE, "prepareData"))),
$C$6,INDIRECT(ADDRESS(ROW(A17), $D$6, 1, TRUE, "prepareData"))),
IF(AND(C25&lt;&gt;"",C25&lt;&gt;CHAR(10)&amp;"]"),"",""))
&amp;IF(ROW(C15)&lt;$A$11,","&amp;CHAR(10),"")</f>
        <v xml:space="preserve">    {
        "data": {
            "source": "99999937001",
            "target": "99999937001",
            "label": "介護施設"
        }
    },
</v>
      </c>
    </row>
    <row r="27" spans="2:3" x14ac:dyDescent="0.4">
      <c r="B27" t="s">
        <v>21</v>
      </c>
      <c r="C27" s="2" t="str" cm="1">
        <f t="array" aca="1" ref="C27" ca="1" xml:space="preserve">
IF(INDIRECT(ADDRESS(ROW(A18), $D$4, 1, TRUE, "prepareData"))&lt;&gt;"",
SUBSTITUTE(SUBSTITUTE(SUBSTITUTE($C$2,
$C$4,INDIRECT(ADDRESS(ROW(A18), $D$4, 1, TRUE, "prepareData"))),
$C$5,INDIRECT(ADDRESS(ROW(A18), $D$5, 1, TRUE, "prepareData"))),
$C$6,INDIRECT(ADDRESS(ROW(A18), $D$6, 1, TRUE, "prepareData"))),
IF(AND(C26&lt;&gt;"",C26&lt;&gt;CHAR(10)&amp;"]"),"",""))
&amp;IF(ROW(C16)&lt;$A$11,","&amp;CHAR(10),"")</f>
        <v xml:space="preserve">    {
        "data": {
            "source": "99999938001",
            "target": "99999938001",
            "label": "介護施設"
        }
    }</v>
      </c>
    </row>
    <row r="28" spans="2:3" x14ac:dyDescent="0.4">
      <c r="B28" t="s">
        <v>21</v>
      </c>
      <c r="C28" s="2" t="str" cm="1">
        <f t="array" aca="1" ref="C28" ca="1" xml:space="preserve">
IF(INDIRECT(ADDRESS(ROW(A19), $D$4, 1, TRUE, "prepareData"))&lt;&gt;"",
SUBSTITUTE(SUBSTITUTE(SUBSTITUTE($C$2,
$C$4,INDIRECT(ADDRESS(ROW(A19), $D$4, 1, TRUE, "prepareData"))),
$C$5,INDIRECT(ADDRESS(ROW(A19), $D$5, 1, TRUE, "prepareData"))),
$C$6,INDIRECT(ADDRESS(ROW(A19), $D$6, 1, TRUE, "prepareData"))),
IF(AND(C27&lt;&gt;"",C27&lt;&gt;CHAR(10)&amp;"]"),"",""))
&amp;IF(ROW(C17)&lt;$A$11,","&amp;CHAR(10),"")</f>
        <v/>
      </c>
    </row>
    <row r="29" spans="2:3" x14ac:dyDescent="0.4">
      <c r="B29" t="s">
        <v>21</v>
      </c>
      <c r="C29" s="2" t="str" cm="1">
        <f t="array" aca="1" ref="C29" ca="1" xml:space="preserve">
IF(INDIRECT(ADDRESS(ROW(A20), $D$4, 1, TRUE, "prepareData"))&lt;&gt;"",
SUBSTITUTE(SUBSTITUTE(SUBSTITUTE($C$2,
$C$4,INDIRECT(ADDRESS(ROW(A20), $D$4, 1, TRUE, "prepareData"))),
$C$5,INDIRECT(ADDRESS(ROW(A20), $D$5, 1, TRUE, "prepareData"))),
$C$6,INDIRECT(ADDRESS(ROW(A20), $D$6, 1, TRUE, "prepareData"))),
IF(AND(C28&lt;&gt;"",C28&lt;&gt;CHAR(10)&amp;"]"),"",""))
&amp;IF(ROW(C18)&lt;$A$11,","&amp;CHAR(10),"")</f>
        <v/>
      </c>
    </row>
    <row r="30" spans="2:3" x14ac:dyDescent="0.4">
      <c r="B30" t="s">
        <v>21</v>
      </c>
      <c r="C30" s="2" t="str" cm="1">
        <f t="array" aca="1" ref="C30" ca="1" xml:space="preserve">
IF(INDIRECT(ADDRESS(ROW(A21), $D$4, 1, TRUE, "prepareData"))&lt;&gt;"",
SUBSTITUTE(SUBSTITUTE(SUBSTITUTE($C$2,
$C$4,INDIRECT(ADDRESS(ROW(A21), $D$4, 1, TRUE, "prepareData"))),
$C$5,INDIRECT(ADDRESS(ROW(A21), $D$5, 1, TRUE, "prepareData"))),
$C$6,INDIRECT(ADDRESS(ROW(A21), $D$6, 1, TRUE, "prepareData"))),
IF(AND(C29&lt;&gt;"",C29&lt;&gt;CHAR(10)&amp;"]"),"",""))
&amp;IF(ROW(C19)&lt;$A$11,","&amp;CHAR(10),"")</f>
        <v/>
      </c>
    </row>
    <row r="31" spans="2:3" x14ac:dyDescent="0.4">
      <c r="B31" t="s">
        <v>21</v>
      </c>
      <c r="C31" s="2" t="str" cm="1">
        <f t="array" aca="1" ref="C31" ca="1" xml:space="preserve">
IF(INDIRECT(ADDRESS(ROW(A22), $D$4, 1, TRUE, "prepareData"))&lt;&gt;"",
SUBSTITUTE(SUBSTITUTE(SUBSTITUTE($C$2,
$C$4,INDIRECT(ADDRESS(ROW(A22), $D$4, 1, TRUE, "prepareData"))),
$C$5,INDIRECT(ADDRESS(ROW(A22), $D$5, 1, TRUE, "prepareData"))),
$C$6,INDIRECT(ADDRESS(ROW(A22), $D$6, 1, TRUE, "prepareData"))),
IF(AND(C30&lt;&gt;"",C30&lt;&gt;CHAR(10)&amp;"]"),"",""))
&amp;IF(ROW(C20)&lt;$A$11,","&amp;CHAR(10),"")</f>
        <v/>
      </c>
    </row>
    <row r="32" spans="2:3" x14ac:dyDescent="0.4">
      <c r="B32" t="s">
        <v>21</v>
      </c>
      <c r="C32" s="2" t="str" cm="1">
        <f t="array" aca="1" ref="C32" ca="1" xml:space="preserve">
IF(INDIRECT(ADDRESS(ROW(A23), $D$4, 1, TRUE, "prepareData"))&lt;&gt;"",
SUBSTITUTE(SUBSTITUTE(SUBSTITUTE($C$2,
$C$4,INDIRECT(ADDRESS(ROW(A23), $D$4, 1, TRUE, "prepareData"))),
$C$5,INDIRECT(ADDRESS(ROW(A23), $D$5, 1, TRUE, "prepareData"))),
$C$6,INDIRECT(ADDRESS(ROW(A23), $D$6, 1, TRUE, "prepareData"))),
IF(AND(C31&lt;&gt;"",C31&lt;&gt;CHAR(10)&amp;"]"),"",""))
&amp;IF(ROW(C21)&lt;$A$11,","&amp;CHAR(10),"")</f>
        <v/>
      </c>
    </row>
    <row r="33" spans="2:3" x14ac:dyDescent="0.4">
      <c r="B33" t="s">
        <v>21</v>
      </c>
      <c r="C33" s="2" t="str" cm="1">
        <f t="array" aca="1" ref="C33" ca="1" xml:space="preserve">
IF(INDIRECT(ADDRESS(ROW(A24), $D$4, 1, TRUE, "prepareData"))&lt;&gt;"",
SUBSTITUTE(SUBSTITUTE(SUBSTITUTE($C$2,
$C$4,INDIRECT(ADDRESS(ROW(A24), $D$4, 1, TRUE, "prepareData"))),
$C$5,INDIRECT(ADDRESS(ROW(A24), $D$5, 1, TRUE, "prepareData"))),
$C$6,INDIRECT(ADDRESS(ROW(A24), $D$6, 1, TRUE, "prepareData"))),
IF(AND(C32&lt;&gt;"",C32&lt;&gt;CHAR(10)&amp;"]"),"",""))
&amp;IF(ROW(C22)&lt;$A$11,","&amp;CHAR(10),"")</f>
        <v/>
      </c>
    </row>
    <row r="34" spans="2:3" x14ac:dyDescent="0.4">
      <c r="B34" t="s">
        <v>21</v>
      </c>
      <c r="C34" s="2" t="str" cm="1">
        <f t="array" aca="1" ref="C34" ca="1" xml:space="preserve">
IF(INDIRECT(ADDRESS(ROW(A25), $D$4, 1, TRUE, "prepareData"))&lt;&gt;"",
SUBSTITUTE(SUBSTITUTE(SUBSTITUTE($C$2,
$C$4,INDIRECT(ADDRESS(ROW(A25), $D$4, 1, TRUE, "prepareData"))),
$C$5,INDIRECT(ADDRESS(ROW(A25), $D$5, 1, TRUE, "prepareData"))),
$C$6,INDIRECT(ADDRESS(ROW(A25), $D$6, 1, TRUE, "prepareData"))),
IF(AND(C33&lt;&gt;"",C33&lt;&gt;CHAR(10)&amp;"]"),"",""))
&amp;IF(ROW(C23)&lt;$A$11,","&amp;CHAR(10),"")</f>
        <v/>
      </c>
    </row>
    <row r="35" spans="2:3" x14ac:dyDescent="0.4">
      <c r="B35" t="s">
        <v>21</v>
      </c>
      <c r="C35" s="2" t="str" cm="1">
        <f t="array" aca="1" ref="C35" ca="1" xml:space="preserve">
IF(INDIRECT(ADDRESS(ROW(A26), $D$4, 1, TRUE, "prepareData"))&lt;&gt;"",
SUBSTITUTE(SUBSTITUTE(SUBSTITUTE($C$2,
$C$4,INDIRECT(ADDRESS(ROW(A26), $D$4, 1, TRUE, "prepareData"))),
$C$5,INDIRECT(ADDRESS(ROW(A26), $D$5, 1, TRUE, "prepareData"))),
$C$6,INDIRECT(ADDRESS(ROW(A26), $D$6, 1, TRUE, "prepareData"))),
IF(AND(C34&lt;&gt;"",C34&lt;&gt;CHAR(10)&amp;"]"),"",""))
&amp;IF(ROW(C24)&lt;$A$11,","&amp;CHAR(10),"")</f>
        <v/>
      </c>
    </row>
    <row r="36" spans="2:3" x14ac:dyDescent="0.4">
      <c r="B36" t="s">
        <v>21</v>
      </c>
      <c r="C36" s="2" t="str" cm="1">
        <f t="array" aca="1" ref="C36" ca="1" xml:space="preserve">
IF(INDIRECT(ADDRESS(ROW(A27), $D$4, 1, TRUE, "prepareData"))&lt;&gt;"",
SUBSTITUTE(SUBSTITUTE(SUBSTITUTE($C$2,
$C$4,INDIRECT(ADDRESS(ROW(A27), $D$4, 1, TRUE, "prepareData"))),
$C$5,INDIRECT(ADDRESS(ROW(A27), $D$5, 1, TRUE, "prepareData"))),
$C$6,INDIRECT(ADDRESS(ROW(A27), $D$6, 1, TRUE, "prepareData"))),
IF(AND(C35&lt;&gt;"",C35&lt;&gt;CHAR(10)&amp;"]"),"",""))
&amp;IF(ROW(C25)&lt;$A$11,","&amp;CHAR(10),"")</f>
        <v/>
      </c>
    </row>
    <row r="37" spans="2:3" x14ac:dyDescent="0.4">
      <c r="B37" t="s">
        <v>21</v>
      </c>
      <c r="C37" s="2" t="str" cm="1">
        <f t="array" aca="1" ref="C37" ca="1" xml:space="preserve">
IF(INDIRECT(ADDRESS(ROW(A28), $D$4, 1, TRUE, "prepareData"))&lt;&gt;"",
SUBSTITUTE(SUBSTITUTE(SUBSTITUTE($C$2,
$C$4,INDIRECT(ADDRESS(ROW(A28), $D$4, 1, TRUE, "prepareData"))),
$C$5,INDIRECT(ADDRESS(ROW(A28), $D$5, 1, TRUE, "prepareData"))),
$C$6,INDIRECT(ADDRESS(ROW(A28), $D$6, 1, TRUE, "prepareData"))),
IF(AND(C36&lt;&gt;"",C36&lt;&gt;CHAR(10)&amp;"]"),"",""))
&amp;IF(ROW(C26)&lt;$A$11,","&amp;CHAR(10),"")</f>
        <v/>
      </c>
    </row>
    <row r="38" spans="2:3" x14ac:dyDescent="0.4">
      <c r="B38" t="s">
        <v>21</v>
      </c>
      <c r="C38" s="2" t="str" cm="1">
        <f t="array" aca="1" ref="C38" ca="1" xml:space="preserve">
IF(INDIRECT(ADDRESS(ROW(A29), $D$4, 1, TRUE, "prepareData"))&lt;&gt;"",
SUBSTITUTE(SUBSTITUTE(SUBSTITUTE($C$2,
$C$4,INDIRECT(ADDRESS(ROW(A29), $D$4, 1, TRUE, "prepareData"))),
$C$5,INDIRECT(ADDRESS(ROW(A29), $D$5, 1, TRUE, "prepareData"))),
$C$6,INDIRECT(ADDRESS(ROW(A29), $D$6, 1, TRUE, "prepareData"))),
IF(AND(C37&lt;&gt;"",C37&lt;&gt;CHAR(10)&amp;"]"),"",""))
&amp;IF(ROW(C27)&lt;$A$11,","&amp;CHAR(10),"")</f>
        <v/>
      </c>
    </row>
    <row r="39" spans="2:3" x14ac:dyDescent="0.4">
      <c r="B39" t="s">
        <v>21</v>
      </c>
      <c r="C39" s="2" t="str" cm="1">
        <f t="array" aca="1" ref="C39" ca="1" xml:space="preserve">
IF(INDIRECT(ADDRESS(ROW(A30), $D$4, 1, TRUE, "prepareData"))&lt;&gt;"",
SUBSTITUTE(SUBSTITUTE(SUBSTITUTE($C$2,
$C$4,INDIRECT(ADDRESS(ROW(A30), $D$4, 1, TRUE, "prepareData"))),
$C$5,INDIRECT(ADDRESS(ROW(A30), $D$5, 1, TRUE, "prepareData"))),
$C$6,INDIRECT(ADDRESS(ROW(A30), $D$6, 1, TRUE, "prepareData"))),
IF(AND(C38&lt;&gt;"",C38&lt;&gt;CHAR(10)&amp;"]"),"",""))
&amp;IF(ROW(C28)&lt;$A$11,","&amp;CHAR(10),"")</f>
        <v/>
      </c>
    </row>
    <row r="40" spans="2:3" x14ac:dyDescent="0.4">
      <c r="B40" t="s">
        <v>21</v>
      </c>
      <c r="C40" s="2" t="str" cm="1">
        <f t="array" aca="1" ref="C40" ca="1" xml:space="preserve">
IF(INDIRECT(ADDRESS(ROW(A31), $D$4, 1, TRUE, "prepareData"))&lt;&gt;"",
SUBSTITUTE(SUBSTITUTE(SUBSTITUTE($C$2,
$C$4,INDIRECT(ADDRESS(ROW(A31), $D$4, 1, TRUE, "prepareData"))),
$C$5,INDIRECT(ADDRESS(ROW(A31), $D$5, 1, TRUE, "prepareData"))),
$C$6,INDIRECT(ADDRESS(ROW(A31), $D$6, 1, TRUE, "prepareData"))),
IF(AND(C39&lt;&gt;"",C39&lt;&gt;CHAR(10)&amp;"]"),"",""))
&amp;IF(ROW(C29)&lt;$A$11,","&amp;CHAR(10),"")</f>
        <v/>
      </c>
    </row>
    <row r="41" spans="2:3" x14ac:dyDescent="0.4">
      <c r="B41" t="s">
        <v>21</v>
      </c>
      <c r="C41" s="2" t="str" cm="1">
        <f t="array" aca="1" ref="C41" ca="1" xml:space="preserve">
IF(INDIRECT(ADDRESS(ROW(A32), $D$4, 1, TRUE, "prepareData"))&lt;&gt;"",
SUBSTITUTE(SUBSTITUTE(SUBSTITUTE($C$2,
$C$4,INDIRECT(ADDRESS(ROW(A32), $D$4, 1, TRUE, "prepareData"))),
$C$5,INDIRECT(ADDRESS(ROW(A32), $D$5, 1, TRUE, "prepareData"))),
$C$6,INDIRECT(ADDRESS(ROW(A32), $D$6, 1, TRUE, "prepareData"))),
IF(AND(C40&lt;&gt;"",C40&lt;&gt;CHAR(10)&amp;"]"),"",""))
&amp;IF(ROW(C30)&lt;$A$11,","&amp;CHAR(10),"")</f>
        <v/>
      </c>
    </row>
    <row r="42" spans="2:3" x14ac:dyDescent="0.4">
      <c r="B42" t="s">
        <v>21</v>
      </c>
      <c r="C42" s="2" t="str" cm="1">
        <f t="array" aca="1" ref="C42" ca="1" xml:space="preserve">
IF(INDIRECT(ADDRESS(ROW(A33), $D$4, 1, TRUE, "prepareData"))&lt;&gt;"",
SUBSTITUTE(SUBSTITUTE(SUBSTITUTE($C$2,
$C$4,INDIRECT(ADDRESS(ROW(A33), $D$4, 1, TRUE, "prepareData"))),
$C$5,INDIRECT(ADDRESS(ROW(A33), $D$5, 1, TRUE, "prepareData"))),
$C$6,INDIRECT(ADDRESS(ROW(A33), $D$6, 1, TRUE, "prepareData"))),
IF(AND(C41&lt;&gt;"",C41&lt;&gt;CHAR(10)&amp;"]"),"",""))
&amp;IF(ROW(C31)&lt;$A$11,","&amp;CHAR(10),"")</f>
        <v/>
      </c>
    </row>
    <row r="43" spans="2:3" x14ac:dyDescent="0.4">
      <c r="B43" t="s">
        <v>21</v>
      </c>
      <c r="C43" s="2" t="str" cm="1">
        <f t="array" aca="1" ref="C43" ca="1" xml:space="preserve">
IF(INDIRECT(ADDRESS(ROW(A34), $D$4, 1, TRUE, "prepareData"))&lt;&gt;"",
SUBSTITUTE(SUBSTITUTE(SUBSTITUTE($C$2,
$C$4,INDIRECT(ADDRESS(ROW(A34), $D$4, 1, TRUE, "prepareData"))),
$C$5,INDIRECT(ADDRESS(ROW(A34), $D$5, 1, TRUE, "prepareData"))),
$C$6,INDIRECT(ADDRESS(ROW(A34), $D$6, 1, TRUE, "prepareData"))),
IF(AND(C42&lt;&gt;"",C42&lt;&gt;CHAR(10)&amp;"]"),"",""))
&amp;IF(ROW(C32)&lt;$A$11,","&amp;CHAR(10),"")</f>
        <v/>
      </c>
    </row>
    <row r="44" spans="2:3" x14ac:dyDescent="0.4">
      <c r="B44" t="s">
        <v>21</v>
      </c>
      <c r="C44" s="2" t="str" cm="1">
        <f t="array" aca="1" ref="C44" ca="1" xml:space="preserve">
IF(INDIRECT(ADDRESS(ROW(A35), $D$4, 1, TRUE, "prepareData"))&lt;&gt;"",
SUBSTITUTE(SUBSTITUTE(SUBSTITUTE($C$2,
$C$4,INDIRECT(ADDRESS(ROW(A35), $D$4, 1, TRUE, "prepareData"))),
$C$5,INDIRECT(ADDRESS(ROW(A35), $D$5, 1, TRUE, "prepareData"))),
$C$6,INDIRECT(ADDRESS(ROW(A35), $D$6, 1, TRUE, "prepareData"))),
IF(AND(C43&lt;&gt;"",C43&lt;&gt;CHAR(10)&amp;"]"),"",""))
&amp;IF(ROW(C33)&lt;$A$11,","&amp;CHAR(10),"")</f>
        <v/>
      </c>
    </row>
    <row r="45" spans="2:3" x14ac:dyDescent="0.4">
      <c r="B45" t="s">
        <v>21</v>
      </c>
      <c r="C45" s="2" t="str" cm="1">
        <f t="array" aca="1" ref="C45" ca="1" xml:space="preserve">
IF(INDIRECT(ADDRESS(ROW(A36), $D$4, 1, TRUE, "prepareData"))&lt;&gt;"",
SUBSTITUTE(SUBSTITUTE(SUBSTITUTE($C$2,
$C$4,INDIRECT(ADDRESS(ROW(A36), $D$4, 1, TRUE, "prepareData"))),
$C$5,INDIRECT(ADDRESS(ROW(A36), $D$5, 1, TRUE, "prepareData"))),
$C$6,INDIRECT(ADDRESS(ROW(A36), $D$6, 1, TRUE, "prepareData"))),
IF(AND(C44&lt;&gt;"",C44&lt;&gt;CHAR(10)&amp;"]"),"",""))
&amp;IF(ROW(C34)&lt;$A$11,","&amp;CHAR(10),"")</f>
        <v/>
      </c>
    </row>
    <row r="46" spans="2:3" x14ac:dyDescent="0.4">
      <c r="B46" t="s">
        <v>21</v>
      </c>
      <c r="C46" s="2" t="str" cm="1">
        <f t="array" aca="1" ref="C46" ca="1" xml:space="preserve">
IF(INDIRECT(ADDRESS(ROW(A37), $D$4, 1, TRUE, "prepareData"))&lt;&gt;"",
SUBSTITUTE(SUBSTITUTE(SUBSTITUTE($C$2,
$C$4,INDIRECT(ADDRESS(ROW(A37), $D$4, 1, TRUE, "prepareData"))),
$C$5,INDIRECT(ADDRESS(ROW(A37), $D$5, 1, TRUE, "prepareData"))),
$C$6,INDIRECT(ADDRESS(ROW(A37), $D$6, 1, TRUE, "prepareData"))),
IF(AND(C45&lt;&gt;"",C45&lt;&gt;CHAR(10)&amp;"]"),"",""))
&amp;IF(ROW(C35)&lt;$A$11,","&amp;CHAR(10),"")</f>
        <v/>
      </c>
    </row>
    <row r="47" spans="2:3" x14ac:dyDescent="0.4">
      <c r="B47" t="s">
        <v>21</v>
      </c>
      <c r="C47" s="2" t="str" cm="1">
        <f t="array" aca="1" ref="C47" ca="1" xml:space="preserve">
IF(INDIRECT(ADDRESS(ROW(A38), $D$4, 1, TRUE, "prepareData"))&lt;&gt;"",
SUBSTITUTE(SUBSTITUTE(SUBSTITUTE($C$2,
$C$4,INDIRECT(ADDRESS(ROW(A38), $D$4, 1, TRUE, "prepareData"))),
$C$5,INDIRECT(ADDRESS(ROW(A38), $D$5, 1, TRUE, "prepareData"))),
$C$6,INDIRECT(ADDRESS(ROW(A38), $D$6, 1, TRUE, "prepareData"))),
IF(AND(C46&lt;&gt;"",C46&lt;&gt;CHAR(10)&amp;"]"),"",""))
&amp;IF(ROW(C36)&lt;$A$11,","&amp;CHAR(10),"")</f>
        <v/>
      </c>
    </row>
    <row r="48" spans="2:3" x14ac:dyDescent="0.4">
      <c r="B48" t="s">
        <v>21</v>
      </c>
      <c r="C48" s="2" t="str" cm="1">
        <f t="array" aca="1" ref="C48" ca="1" xml:space="preserve">
IF(INDIRECT(ADDRESS(ROW(A39), $D$4, 1, TRUE, "prepareData"))&lt;&gt;"",
SUBSTITUTE(SUBSTITUTE(SUBSTITUTE($C$2,
$C$4,INDIRECT(ADDRESS(ROW(A39), $D$4, 1, TRUE, "prepareData"))),
$C$5,INDIRECT(ADDRESS(ROW(A39), $D$5, 1, TRUE, "prepareData"))),
$C$6,INDIRECT(ADDRESS(ROW(A39), $D$6, 1, TRUE, "prepareData"))),
IF(AND(C47&lt;&gt;"",C47&lt;&gt;CHAR(10)&amp;"]"),"",""))
&amp;IF(ROW(C37)&lt;$A$11,","&amp;CHAR(10),"")</f>
        <v/>
      </c>
    </row>
    <row r="49" spans="2:3" x14ac:dyDescent="0.4">
      <c r="B49" t="s">
        <v>21</v>
      </c>
      <c r="C49" s="2" t="str" cm="1">
        <f t="array" aca="1" ref="C49" ca="1" xml:space="preserve">
IF(INDIRECT(ADDRESS(ROW(A40), $D$4, 1, TRUE, "prepareData"))&lt;&gt;"",
SUBSTITUTE(SUBSTITUTE(SUBSTITUTE($C$2,
$C$4,INDIRECT(ADDRESS(ROW(A40), $D$4, 1, TRUE, "prepareData"))),
$C$5,INDIRECT(ADDRESS(ROW(A40), $D$5, 1, TRUE, "prepareData"))),
$C$6,INDIRECT(ADDRESS(ROW(A40), $D$6, 1, TRUE, "prepareData"))),
IF(AND(C48&lt;&gt;"",C48&lt;&gt;CHAR(10)&amp;"]"),"",""))
&amp;IF(ROW(C38)&lt;$A$11,","&amp;CHAR(10),"")</f>
        <v/>
      </c>
    </row>
    <row r="50" spans="2:3" x14ac:dyDescent="0.4">
      <c r="B50" t="s">
        <v>21</v>
      </c>
      <c r="C50" s="2" t="str" cm="1">
        <f t="array" aca="1" ref="C50" ca="1" xml:space="preserve">
IF(INDIRECT(ADDRESS(ROW(A41), $D$4, 1, TRUE, "prepareData"))&lt;&gt;"",
SUBSTITUTE(SUBSTITUTE(SUBSTITUTE($C$2,
$C$4,INDIRECT(ADDRESS(ROW(A41), $D$4, 1, TRUE, "prepareData"))),
$C$5,INDIRECT(ADDRESS(ROW(A41), $D$5, 1, TRUE, "prepareData"))),
$C$6,INDIRECT(ADDRESS(ROW(A41), $D$6, 1, TRUE, "prepareData"))),
IF(AND(C49&lt;&gt;"",C49&lt;&gt;CHAR(10)&amp;"]"),"",""))
&amp;IF(ROW(C39)&lt;$A$11,","&amp;CHAR(10),"")</f>
        <v/>
      </c>
    </row>
    <row r="51" spans="2:3" x14ac:dyDescent="0.4">
      <c r="B51" t="s">
        <v>21</v>
      </c>
      <c r="C51" s="2" t="str" cm="1">
        <f t="array" aca="1" ref="C51" ca="1" xml:space="preserve">
IF(INDIRECT(ADDRESS(ROW(A42), $D$4, 1, TRUE, "prepareData"))&lt;&gt;"",
SUBSTITUTE(SUBSTITUTE(SUBSTITUTE($C$2,
$C$4,INDIRECT(ADDRESS(ROW(A42), $D$4, 1, TRUE, "prepareData"))),
$C$5,INDIRECT(ADDRESS(ROW(A42), $D$5, 1, TRUE, "prepareData"))),
$C$6,INDIRECT(ADDRESS(ROW(A42), $D$6, 1, TRUE, "prepareData"))),
IF(AND(C50&lt;&gt;"",C50&lt;&gt;CHAR(10)&amp;"]"),"",""))
&amp;IF(ROW(C40)&lt;$A$11,","&amp;CHAR(10),"")</f>
        <v/>
      </c>
    </row>
    <row r="52" spans="2:3" x14ac:dyDescent="0.4">
      <c r="B52" t="s">
        <v>21</v>
      </c>
      <c r="C52" s="2" t="str" cm="1">
        <f t="array" aca="1" ref="C52" ca="1" xml:space="preserve">
IF(INDIRECT(ADDRESS(ROW(A43), $D$4, 1, TRUE, "prepareData"))&lt;&gt;"",
SUBSTITUTE(SUBSTITUTE(SUBSTITUTE($C$2,
$C$4,INDIRECT(ADDRESS(ROW(A43), $D$4, 1, TRUE, "prepareData"))),
$C$5,INDIRECT(ADDRESS(ROW(A43), $D$5, 1, TRUE, "prepareData"))),
$C$6,INDIRECT(ADDRESS(ROW(A43), $D$6, 1, TRUE, "prepareData"))),
IF(AND(C51&lt;&gt;"",C51&lt;&gt;CHAR(10)&amp;"]"),"",""))
&amp;IF(ROW(C41)&lt;$A$11,","&amp;CHAR(10),"")</f>
        <v/>
      </c>
    </row>
    <row r="53" spans="2:3" x14ac:dyDescent="0.4">
      <c r="B53" t="s">
        <v>21</v>
      </c>
      <c r="C53" s="2" t="str" cm="1">
        <f t="array" aca="1" ref="C53" ca="1" xml:space="preserve">
IF(INDIRECT(ADDRESS(ROW(A44), $D$4, 1, TRUE, "prepareData"))&lt;&gt;"",
SUBSTITUTE(SUBSTITUTE(SUBSTITUTE($C$2,
$C$4,INDIRECT(ADDRESS(ROW(A44), $D$4, 1, TRUE, "prepareData"))),
$C$5,INDIRECT(ADDRESS(ROW(A44), $D$5, 1, TRUE, "prepareData"))),
$C$6,INDIRECT(ADDRESS(ROW(A44), $D$6, 1, TRUE, "prepareData"))),
IF(AND(C52&lt;&gt;"",C52&lt;&gt;CHAR(10)&amp;"]"),"",""))
&amp;IF(ROW(C42)&lt;$A$11,","&amp;CHAR(10),"")</f>
        <v/>
      </c>
    </row>
    <row r="54" spans="2:3" x14ac:dyDescent="0.4">
      <c r="B54" t="s">
        <v>21</v>
      </c>
      <c r="C54" s="2" t="str" cm="1">
        <f t="array" aca="1" ref="C54" ca="1" xml:space="preserve">
IF(INDIRECT(ADDRESS(ROW(A45), $D$4, 1, TRUE, "prepareData"))&lt;&gt;"",
SUBSTITUTE(SUBSTITUTE(SUBSTITUTE($C$2,
$C$4,INDIRECT(ADDRESS(ROW(A45), $D$4, 1, TRUE, "prepareData"))),
$C$5,INDIRECT(ADDRESS(ROW(A45), $D$5, 1, TRUE, "prepareData"))),
$C$6,INDIRECT(ADDRESS(ROW(A45), $D$6, 1, TRUE, "prepareData"))),
IF(AND(C53&lt;&gt;"",C53&lt;&gt;CHAR(10)&amp;"]"),"",""))
&amp;IF(ROW(C43)&lt;$A$11,","&amp;CHAR(10),"")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IF(INDIRECT(ADDRESS(ROW(A46), $D$4, 1, TRUE, "prepareData"))&lt;&gt;"",
SUBSTITUTE(SUBSTITUTE(SUBSTITUTE($C$2,
$C$4,INDIRECT(ADDRESS(ROW(A46), $D$4, 1, TRUE, "prepareData"))),
$C$5,INDIRECT(ADDRESS(ROW(A46), $D$5, 1, TRUE, "prepareData"))),
$C$6,INDIRECT(ADDRESS(ROW(A46), $D$6, 1, TRUE, "prepareData"))),
IF(AND(C54&lt;&gt;"",C54&lt;&gt;CHAR(10)&amp;"]"),"",""))
&amp;IF(ROW(C44)&lt;$A$11,","&amp;CHAR(10),"")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IF(INDIRECT(ADDRESS(ROW(A47), $D$4, 1, TRUE, "prepareData"))&lt;&gt;"",
SUBSTITUTE(SUBSTITUTE(SUBSTITUTE($C$2,
$C$4,INDIRECT(ADDRESS(ROW(A47), $D$4, 1, TRUE, "prepareData"))),
$C$5,INDIRECT(ADDRESS(ROW(A47), $D$5, 1, TRUE, "prepareData"))),
$C$6,INDIRECT(ADDRESS(ROW(A47), $D$6, 1, TRUE, "prepareData"))),
IF(AND(C55&lt;&gt;"",C55&lt;&gt;CHAR(10)&amp;"]"),"",""))
&amp;IF(ROW(C45)&lt;$A$11,","&amp;CHAR(10),"")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IF(INDIRECT(ADDRESS(ROW(A48), $D$4, 1, TRUE, "prepareData"))&lt;&gt;"",
SUBSTITUTE(SUBSTITUTE(SUBSTITUTE($C$2,
$C$4,INDIRECT(ADDRESS(ROW(A48), $D$4, 1, TRUE, "prepareData"))),
$C$5,INDIRECT(ADDRESS(ROW(A48), $D$5, 1, TRUE, "prepareData"))),
$C$6,INDIRECT(ADDRESS(ROW(A48), $D$6, 1, TRUE, "prepareData"))),
IF(AND(C56&lt;&gt;"",C56&lt;&gt;CHAR(10)&amp;"]"),"",""))
&amp;IF(ROW(C46)&lt;$A$11,","&amp;CHAR(10),"")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IF(INDIRECT(ADDRESS(ROW(A49), $D$4, 1, TRUE, "prepareData"))&lt;&gt;"",
SUBSTITUTE(SUBSTITUTE(SUBSTITUTE($C$2,
$C$4,INDIRECT(ADDRESS(ROW(A49), $D$4, 1, TRUE, "prepareData"))),
$C$5,INDIRECT(ADDRESS(ROW(A49), $D$5, 1, TRUE, "prepareData"))),
$C$6,INDIRECT(ADDRESS(ROW(A49), $D$6, 1, TRUE, "prepareData"))),
IF(AND(C57&lt;&gt;"",C57&lt;&gt;CHAR(10)&amp;"]"),"",""))
&amp;IF(ROW(C47)&lt;$A$11,","&amp;CHAR(10),"")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IF(INDIRECT(ADDRESS(ROW(A50), $D$4, 1, TRUE, "prepareData"))&lt;&gt;"",
SUBSTITUTE(SUBSTITUTE(SUBSTITUTE($C$2,
$C$4,INDIRECT(ADDRESS(ROW(A50), $D$4, 1, TRUE, "prepareData"))),
$C$5,INDIRECT(ADDRESS(ROW(A50), $D$5, 1, TRUE, "prepareData"))),
$C$6,INDIRECT(ADDRESS(ROW(A50), $D$6, 1, TRUE, "prepareData"))),
IF(AND(C58&lt;&gt;"",C58&lt;&gt;CHAR(10)&amp;"]"),"",""))
&amp;IF(ROW(C48)&lt;$A$11,","&amp;CHAR(10),"")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IF(INDIRECT(ADDRESS(ROW(A51), $D$4, 1, TRUE, "prepareData"))&lt;&gt;"",
SUBSTITUTE(SUBSTITUTE(SUBSTITUTE($C$2,
$C$4,INDIRECT(ADDRESS(ROW(A51), $D$4, 1, TRUE, "prepareData"))),
$C$5,INDIRECT(ADDRESS(ROW(A51), $D$5, 1, TRUE, "prepareData"))),
$C$6,INDIRECT(ADDRESS(ROW(A51), $D$6, 1, TRUE, "prepareData"))),
IF(AND(C59&lt;&gt;"",C59&lt;&gt;CHAR(10)&amp;"]"),"",""))
&amp;IF(ROW(C49)&lt;$A$11,","&amp;CHAR(10),"")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IF(INDIRECT(ADDRESS(ROW(A52), $D$4, 1, TRUE, "prepareData"))&lt;&gt;"",
SUBSTITUTE(SUBSTITUTE(SUBSTITUTE($C$2,
$C$4,INDIRECT(ADDRESS(ROW(A52), $D$4, 1, TRUE, "prepareData"))),
$C$5,INDIRECT(ADDRESS(ROW(A52), $D$5, 1, TRUE, "prepareData"))),
$C$6,INDIRECT(ADDRESS(ROW(A52), $D$6, 1, TRUE, "prepareData"))),
IF(AND(C60&lt;&gt;"",C60&lt;&gt;CHAR(10)&amp;"]"),"",""))
&amp;IF(ROW(C50)&lt;$A$11,","&amp;CHAR(10),"")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IF(INDIRECT(ADDRESS(ROW(A53), $D$4, 1, TRUE, "prepareData"))&lt;&gt;"",
SUBSTITUTE(SUBSTITUTE(SUBSTITUTE($C$2,
$C$4,INDIRECT(ADDRESS(ROW(A53), $D$4, 1, TRUE, "prepareData"))),
$C$5,INDIRECT(ADDRESS(ROW(A53), $D$5, 1, TRUE, "prepareData"))),
$C$6,INDIRECT(ADDRESS(ROW(A53), $D$6, 1, TRUE, "prepareData"))),
IF(AND(C61&lt;&gt;"",C61&lt;&gt;CHAR(10)&amp;"]"),"",""))
&amp;IF(ROW(C51)&lt;$A$11,","&amp;CHAR(10),"")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IF(INDIRECT(ADDRESS(ROW(A54), $D$4, 1, TRUE, "prepareData"))&lt;&gt;"",
SUBSTITUTE(SUBSTITUTE(SUBSTITUTE($C$2,
$C$4,INDIRECT(ADDRESS(ROW(A54), $D$4, 1, TRUE, "prepareData"))),
$C$5,INDIRECT(ADDRESS(ROW(A54), $D$5, 1, TRUE, "prepareData"))),
$C$6,INDIRECT(ADDRESS(ROW(A54), $D$6, 1, TRUE, "prepareData"))),
IF(AND(C62&lt;&gt;"",C62&lt;&gt;CHAR(10)&amp;"]"),"",""))
&amp;IF(ROW(C52)&lt;$A$11,","&amp;CHAR(10),"")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IF(INDIRECT(ADDRESS(ROW(A55), $D$4, 1, TRUE, "prepareData"))&lt;&gt;"",
SUBSTITUTE(SUBSTITUTE(SUBSTITUTE($C$2,
$C$4,INDIRECT(ADDRESS(ROW(A55), $D$4, 1, TRUE, "prepareData"))),
$C$5,INDIRECT(ADDRESS(ROW(A55), $D$5, 1, TRUE, "prepareData"))),
$C$6,INDIRECT(ADDRESS(ROW(A55), $D$6, 1, TRUE, "prepareData"))),
IF(AND(C63&lt;&gt;"",C63&lt;&gt;CHAR(10)&amp;"]"),"",""))
&amp;IF(ROW(C53)&lt;$A$11,","&amp;CHAR(10),"")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IF(INDIRECT(ADDRESS(ROW(A56), $D$4, 1, TRUE, "prepareData"))&lt;&gt;"",
SUBSTITUTE(SUBSTITUTE(SUBSTITUTE($C$2,
$C$4,INDIRECT(ADDRESS(ROW(A56), $D$4, 1, TRUE, "prepareData"))),
$C$5,INDIRECT(ADDRESS(ROW(A56), $D$5, 1, TRUE, "prepareData"))),
$C$6,INDIRECT(ADDRESS(ROW(A56), $D$6, 1, TRUE, "prepareData"))),
IF(AND(C64&lt;&gt;"",C64&lt;&gt;CHAR(10)&amp;"]"),"",""))
&amp;IF(ROW(C54)&lt;$A$11,","&amp;CHAR(10),"")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IF(INDIRECT(ADDRESS(ROW(A57), $D$4, 1, TRUE, "prepareData"))&lt;&gt;"",
SUBSTITUTE(SUBSTITUTE(SUBSTITUTE($C$2,
$C$4,INDIRECT(ADDRESS(ROW(A57), $D$4, 1, TRUE, "prepareData"))),
$C$5,INDIRECT(ADDRESS(ROW(A57), $D$5, 1, TRUE, "prepareData"))),
$C$6,INDIRECT(ADDRESS(ROW(A57), $D$6, 1, TRUE, "prepareData"))),
IF(AND(C65&lt;&gt;"",C65&lt;&gt;CHAR(10)&amp;"]"),"",""))
&amp;IF(ROW(C55)&lt;$A$11,","&amp;CHAR(10),"")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IF(INDIRECT(ADDRESS(ROW(A58), $D$4, 1, TRUE, "prepareData"))&lt;&gt;"",
SUBSTITUTE(SUBSTITUTE(SUBSTITUTE($C$2,
$C$4,INDIRECT(ADDRESS(ROW(A58), $D$4, 1, TRUE, "prepareData"))),
$C$5,INDIRECT(ADDRESS(ROW(A58), $D$5, 1, TRUE, "prepareData"))),
$C$6,INDIRECT(ADDRESS(ROW(A58), $D$6, 1, TRUE, "prepareData"))),
IF(AND(C66&lt;&gt;"",C66&lt;&gt;CHAR(10)&amp;"]"),"",""))
&amp;IF(ROW(C56)&lt;$A$11,","&amp;CHAR(10),"")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IF(INDIRECT(ADDRESS(ROW(A59), $D$4, 1, TRUE, "prepareData"))&lt;&gt;"",
SUBSTITUTE(SUBSTITUTE(SUBSTITUTE($C$2,
$C$4,INDIRECT(ADDRESS(ROW(A59), $D$4, 1, TRUE, "prepareData"))),
$C$5,INDIRECT(ADDRESS(ROW(A59), $D$5, 1, TRUE, "prepareData"))),
$C$6,INDIRECT(ADDRESS(ROW(A59), $D$6, 1, TRUE, "prepareData"))),
IF(AND(C67&lt;&gt;"",C67&lt;&gt;CHAR(10)&amp;"]"),"",""))
&amp;IF(ROW(C57)&lt;$A$11,","&amp;CHAR(10),"")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IF(INDIRECT(ADDRESS(ROW(A60), $D$4, 1, TRUE, "prepareData"))&lt;&gt;"",
SUBSTITUTE(SUBSTITUTE(SUBSTITUTE($C$2,
$C$4,INDIRECT(ADDRESS(ROW(A60), $D$4, 1, TRUE, "prepareData"))),
$C$5,INDIRECT(ADDRESS(ROW(A60), $D$5, 1, TRUE, "prepareData"))),
$C$6,INDIRECT(ADDRESS(ROW(A60), $D$6, 1, TRUE, "prepareData"))),
IF(AND(C68&lt;&gt;"",C68&lt;&gt;CHAR(10)&amp;"]"),"",""))
&amp;IF(ROW(C58)&lt;$A$11,","&amp;CHAR(10),"")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IF(INDIRECT(ADDRESS(ROW(A61), $D$4, 1, TRUE, "prepareData"))&lt;&gt;"",
SUBSTITUTE(SUBSTITUTE(SUBSTITUTE($C$2,
$C$4,INDIRECT(ADDRESS(ROW(A61), $D$4, 1, TRUE, "prepareData"))),
$C$5,INDIRECT(ADDRESS(ROW(A61), $D$5, 1, TRUE, "prepareData"))),
$C$6,INDIRECT(ADDRESS(ROW(A61), $D$6, 1, TRUE, "prepareData"))),
IF(AND(C69&lt;&gt;"",C69&lt;&gt;CHAR(10)&amp;"]"),"",""))
&amp;IF(ROW(C59)&lt;$A$11,","&amp;CHAR(10),"")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IF(INDIRECT(ADDRESS(ROW(A62), $D$4, 1, TRUE, "prepareData"))&lt;&gt;"",
SUBSTITUTE(SUBSTITUTE(SUBSTITUTE($C$2,
$C$4,INDIRECT(ADDRESS(ROW(A62), $D$4, 1, TRUE, "prepareData"))),
$C$5,INDIRECT(ADDRESS(ROW(A62), $D$5, 1, TRUE, "prepareData"))),
$C$6,INDIRECT(ADDRESS(ROW(A62), $D$6, 1, TRUE, "prepareData"))),
IF(AND(C70&lt;&gt;"",C70&lt;&gt;CHAR(10)&amp;"]"),"",""))
&amp;IF(ROW(C60)&lt;$A$11,","&amp;CHAR(10),"")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IF(INDIRECT(ADDRESS(ROW(A63), $D$4, 1, TRUE, "prepareData"))&lt;&gt;"",
SUBSTITUTE(SUBSTITUTE(SUBSTITUTE($C$2,
$C$4,INDIRECT(ADDRESS(ROW(A63), $D$4, 1, TRUE, "prepareData"))),
$C$5,INDIRECT(ADDRESS(ROW(A63), $D$5, 1, TRUE, "prepareData"))),
$C$6,INDIRECT(ADDRESS(ROW(A63), $D$6, 1, TRUE, "prepareData"))),
IF(AND(C71&lt;&gt;"",C71&lt;&gt;CHAR(10)&amp;"]"),"",""))
&amp;IF(ROW(C61)&lt;$A$11,","&amp;CHAR(10),"")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IF(INDIRECT(ADDRESS(ROW(A64), $D$4, 1, TRUE, "prepareData"))&lt;&gt;"",
SUBSTITUTE(SUBSTITUTE(SUBSTITUTE($C$2,
$C$4,INDIRECT(ADDRESS(ROW(A64), $D$4, 1, TRUE, "prepareData"))),
$C$5,INDIRECT(ADDRESS(ROW(A64), $D$5, 1, TRUE, "prepareData"))),
$C$6,INDIRECT(ADDRESS(ROW(A64), $D$6, 1, TRUE, "prepareData"))),
IF(AND(C72&lt;&gt;"",C72&lt;&gt;CHAR(10)&amp;"]"),"",""))
&amp;IF(ROW(C62)&lt;$A$11,","&amp;CHAR(10),"")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IF(INDIRECT(ADDRESS(ROW(A65), $D$4, 1, TRUE, "prepareData"))&lt;&gt;"",
SUBSTITUTE(SUBSTITUTE(SUBSTITUTE($C$2,
$C$4,INDIRECT(ADDRESS(ROW(A65), $D$4, 1, TRUE, "prepareData"))),
$C$5,INDIRECT(ADDRESS(ROW(A65), $D$5, 1, TRUE, "prepareData"))),
$C$6,INDIRECT(ADDRESS(ROW(A65), $D$6, 1, TRUE, "prepareData"))),
IF(AND(C73&lt;&gt;"",C73&lt;&gt;CHAR(10)&amp;"]"),"",""))
&amp;IF(ROW(C63)&lt;$A$11,","&amp;CHAR(10),"")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IF(INDIRECT(ADDRESS(ROW(A66), $D$4, 1, TRUE, "prepareData"))&lt;&gt;"",
SUBSTITUTE(SUBSTITUTE(SUBSTITUTE($C$2,
$C$4,INDIRECT(ADDRESS(ROW(A66), $D$4, 1, TRUE, "prepareData"))),
$C$5,INDIRECT(ADDRESS(ROW(A66), $D$5, 1, TRUE, "prepareData"))),
$C$6,INDIRECT(ADDRESS(ROW(A66), $D$6, 1, TRUE, "prepareData"))),
IF(AND(C74&lt;&gt;"",C74&lt;&gt;CHAR(10)&amp;"]"),"",""))
&amp;IF(ROW(C64)&lt;$A$11,","&amp;CHAR(10),"")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IF(INDIRECT(ADDRESS(ROW(A67), $D$4, 1, TRUE, "prepareData"))&lt;&gt;"",
SUBSTITUTE(SUBSTITUTE(SUBSTITUTE($C$2,
$C$4,INDIRECT(ADDRESS(ROW(A67), $D$4, 1, TRUE, "prepareData"))),
$C$5,INDIRECT(ADDRESS(ROW(A67), $D$5, 1, TRUE, "prepareData"))),
$C$6,INDIRECT(ADDRESS(ROW(A67), $D$6, 1, TRUE, "prepareData"))),
IF(AND(C75&lt;&gt;"",C75&lt;&gt;CHAR(10)&amp;"]"),"",""))
&amp;IF(ROW(C65)&lt;$A$11,","&amp;CHAR(10),"")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IF(INDIRECT(ADDRESS(ROW(A68), $D$4, 1, TRUE, "prepareData"))&lt;&gt;"",
SUBSTITUTE(SUBSTITUTE(SUBSTITUTE($C$2,
$C$4,INDIRECT(ADDRESS(ROW(A68), $D$4, 1, TRUE, "prepareData"))),
$C$5,INDIRECT(ADDRESS(ROW(A68), $D$5, 1, TRUE, "prepareData"))),
$C$6,INDIRECT(ADDRESS(ROW(A68), $D$6, 1, TRUE, "prepareData"))),
IF(AND(C76&lt;&gt;"",C76&lt;&gt;CHAR(10)&amp;"]"),"",""))
&amp;IF(ROW(C66)&lt;$A$11,","&amp;CHAR(10),"")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IF(INDIRECT(ADDRESS(ROW(A69), $D$4, 1, TRUE, "prepareData"))&lt;&gt;"",
SUBSTITUTE(SUBSTITUTE(SUBSTITUTE($C$2,
$C$4,INDIRECT(ADDRESS(ROW(A69), $D$4, 1, TRUE, "prepareData"))),
$C$5,INDIRECT(ADDRESS(ROW(A69), $D$5, 1, TRUE, "prepareData"))),
$C$6,INDIRECT(ADDRESS(ROW(A69), $D$6, 1, TRUE, "prepareData"))),
IF(AND(C77&lt;&gt;"",C77&lt;&gt;CHAR(10)&amp;"]"),"",""))
&amp;IF(ROW(C67)&lt;$A$11,","&amp;CHAR(10),"")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IF(INDIRECT(ADDRESS(ROW(A70), $D$4, 1, TRUE, "prepareData"))&lt;&gt;"",
SUBSTITUTE(SUBSTITUTE(SUBSTITUTE($C$2,
$C$4,INDIRECT(ADDRESS(ROW(A70), $D$4, 1, TRUE, "prepareData"))),
$C$5,INDIRECT(ADDRESS(ROW(A70), $D$5, 1, TRUE, "prepareData"))),
$C$6,INDIRECT(ADDRESS(ROW(A70), $D$6, 1, TRUE, "prepareData"))),
IF(AND(C78&lt;&gt;"",C78&lt;&gt;CHAR(10)&amp;"]"),"",""))
&amp;IF(ROW(C68)&lt;$A$11,","&amp;CHAR(10),"")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IF(INDIRECT(ADDRESS(ROW(A71), $D$4, 1, TRUE, "prepareData"))&lt;&gt;"",
SUBSTITUTE(SUBSTITUTE(SUBSTITUTE($C$2,
$C$4,INDIRECT(ADDRESS(ROW(A71), $D$4, 1, TRUE, "prepareData"))),
$C$5,INDIRECT(ADDRESS(ROW(A71), $D$5, 1, TRUE, "prepareData"))),
$C$6,INDIRECT(ADDRESS(ROW(A71), $D$6, 1, TRUE, "prepareData"))),
IF(AND(C79&lt;&gt;"",C79&lt;&gt;CHAR(10)&amp;"]"),"",""))
&amp;IF(ROW(C69)&lt;$A$11,","&amp;CHAR(10),"")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IF(INDIRECT(ADDRESS(ROW(A72), $D$4, 1, TRUE, "prepareData"))&lt;&gt;"",
SUBSTITUTE(SUBSTITUTE(SUBSTITUTE($C$2,
$C$4,INDIRECT(ADDRESS(ROW(A72), $D$4, 1, TRUE, "prepareData"))),
$C$5,INDIRECT(ADDRESS(ROW(A72), $D$5, 1, TRUE, "prepareData"))),
$C$6,INDIRECT(ADDRESS(ROW(A72), $D$6, 1, TRUE, "prepareData"))),
IF(AND(C80&lt;&gt;"",C80&lt;&gt;CHAR(10)&amp;"]"),"",""))
&amp;IF(ROW(C70)&lt;$A$11,","&amp;CHAR(10),"")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IF(INDIRECT(ADDRESS(ROW(A73), $D$4, 1, TRUE, "prepareData"))&lt;&gt;"",
SUBSTITUTE(SUBSTITUTE(SUBSTITUTE($C$2,
$C$4,INDIRECT(ADDRESS(ROW(A73), $D$4, 1, TRUE, "prepareData"))),
$C$5,INDIRECT(ADDRESS(ROW(A73), $D$5, 1, TRUE, "prepareData"))),
$C$6,INDIRECT(ADDRESS(ROW(A73), $D$6, 1, TRUE, "prepareData"))),
IF(AND(C81&lt;&gt;"",C81&lt;&gt;CHAR(10)&amp;"]"),"",""))
&amp;IF(ROW(C71)&lt;$A$11,","&amp;CHAR(10),"")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IF(INDIRECT(ADDRESS(ROW(A74), $D$4, 1, TRUE, "prepareData"))&lt;&gt;"",
SUBSTITUTE(SUBSTITUTE(SUBSTITUTE($C$2,
$C$4,INDIRECT(ADDRESS(ROW(A74), $D$4, 1, TRUE, "prepareData"))),
$C$5,INDIRECT(ADDRESS(ROW(A74), $D$5, 1, TRUE, "prepareData"))),
$C$6,INDIRECT(ADDRESS(ROW(A74), $D$6, 1, TRUE, "prepareData"))),
IF(AND(C82&lt;&gt;"",C82&lt;&gt;CHAR(10)&amp;"]"),"",""))
&amp;IF(ROW(C72)&lt;$A$11,","&amp;CHAR(10),"")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IF(INDIRECT(ADDRESS(ROW(A75), $D$4, 1, TRUE, "prepareData"))&lt;&gt;"",
SUBSTITUTE(SUBSTITUTE(SUBSTITUTE($C$2,
$C$4,INDIRECT(ADDRESS(ROW(A75), $D$4, 1, TRUE, "prepareData"))),
$C$5,INDIRECT(ADDRESS(ROW(A75), $D$5, 1, TRUE, "prepareData"))),
$C$6,INDIRECT(ADDRESS(ROW(A75), $D$6, 1, TRUE, "prepareData"))),
IF(AND(C83&lt;&gt;"",C83&lt;&gt;CHAR(10)&amp;"]"),"",""))
&amp;IF(ROW(C73)&lt;$A$11,","&amp;CHAR(10),"")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IF(INDIRECT(ADDRESS(ROW(A76), $D$4, 1, TRUE, "prepareData"))&lt;&gt;"",
SUBSTITUTE(SUBSTITUTE(SUBSTITUTE($C$2,
$C$4,INDIRECT(ADDRESS(ROW(A76), $D$4, 1, TRUE, "prepareData"))),
$C$5,INDIRECT(ADDRESS(ROW(A76), $D$5, 1, TRUE, "prepareData"))),
$C$6,INDIRECT(ADDRESS(ROW(A76), $D$6, 1, TRUE, "prepareData"))),
IF(AND(C84&lt;&gt;"",C84&lt;&gt;CHAR(10)&amp;"]"),"",""))
&amp;IF(ROW(C74)&lt;$A$11,","&amp;CHAR(10),"")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IF(INDIRECT(ADDRESS(ROW(A77), $D$4, 1, TRUE, "prepareData"))&lt;&gt;"",
SUBSTITUTE(SUBSTITUTE(SUBSTITUTE($C$2,
$C$4,INDIRECT(ADDRESS(ROW(A77), $D$4, 1, TRUE, "prepareData"))),
$C$5,INDIRECT(ADDRESS(ROW(A77), $D$5, 1, TRUE, "prepareData"))),
$C$6,INDIRECT(ADDRESS(ROW(A77), $D$6, 1, TRUE, "prepareData"))),
IF(AND(C85&lt;&gt;"",C85&lt;&gt;CHAR(10)&amp;"]"),"",""))
&amp;IF(ROW(C75)&lt;$A$11,","&amp;CHAR(10),"")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IF(INDIRECT(ADDRESS(ROW(A78), $D$4, 1, TRUE, "prepareData"))&lt;&gt;"",
SUBSTITUTE(SUBSTITUTE(SUBSTITUTE($C$2,
$C$4,INDIRECT(ADDRESS(ROW(A78), $D$4, 1, TRUE, "prepareData"))),
$C$5,INDIRECT(ADDRESS(ROW(A78), $D$5, 1, TRUE, "prepareData"))),
$C$6,INDIRECT(ADDRESS(ROW(A78), $D$6, 1, TRUE, "prepareData"))),
IF(AND(C86&lt;&gt;"",C86&lt;&gt;CHAR(10)&amp;"]"),"",""))
&amp;IF(ROW(C76)&lt;$A$11,","&amp;CHAR(10),"")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IF(INDIRECT(ADDRESS(ROW(A79), $D$4, 1, TRUE, "prepareData"))&lt;&gt;"",
SUBSTITUTE(SUBSTITUTE(SUBSTITUTE($C$2,
$C$4,INDIRECT(ADDRESS(ROW(A79), $D$4, 1, TRUE, "prepareData"))),
$C$5,INDIRECT(ADDRESS(ROW(A79), $D$5, 1, TRUE, "prepareData"))),
$C$6,INDIRECT(ADDRESS(ROW(A79), $D$6, 1, TRUE, "prepareData"))),
IF(AND(C87&lt;&gt;"",C87&lt;&gt;CHAR(10)&amp;"]"),"",""))
&amp;IF(ROW(C77)&lt;$A$11,","&amp;CHAR(10),"")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IF(INDIRECT(ADDRESS(ROW(A80), $D$4, 1, TRUE, "prepareData"))&lt;&gt;"",
SUBSTITUTE(SUBSTITUTE(SUBSTITUTE($C$2,
$C$4,INDIRECT(ADDRESS(ROW(A80), $D$4, 1, TRUE, "prepareData"))),
$C$5,INDIRECT(ADDRESS(ROW(A80), $D$5, 1, TRUE, "prepareData"))),
$C$6,INDIRECT(ADDRESS(ROW(A80), $D$6, 1, TRUE, "prepareData"))),
IF(AND(C88&lt;&gt;"",C88&lt;&gt;CHAR(10)&amp;"]"),"",""))
&amp;IF(ROW(C78)&lt;$A$11,","&amp;CHAR(10),"")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IF(INDIRECT(ADDRESS(ROW(A81), $D$4, 1, TRUE, "prepareData"))&lt;&gt;"",
SUBSTITUTE(SUBSTITUTE(SUBSTITUTE($C$2,
$C$4,INDIRECT(ADDRESS(ROW(A81), $D$4, 1, TRUE, "prepareData"))),
$C$5,INDIRECT(ADDRESS(ROW(A81), $D$5, 1, TRUE, "prepareData"))),
$C$6,INDIRECT(ADDRESS(ROW(A81), $D$6, 1, TRUE, "prepareData"))),
IF(AND(C89&lt;&gt;"",C89&lt;&gt;CHAR(10)&amp;"]"),"",""))
&amp;IF(ROW(C79)&lt;$A$11,","&amp;CHAR(10),"")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IF(INDIRECT(ADDRESS(ROW(A82), $D$4, 1, TRUE, "prepareData"))&lt;&gt;"",
SUBSTITUTE(SUBSTITUTE(SUBSTITUTE($C$2,
$C$4,INDIRECT(ADDRESS(ROW(A82), $D$4, 1, TRUE, "prepareData"))),
$C$5,INDIRECT(ADDRESS(ROW(A82), $D$5, 1, TRUE, "prepareData"))),
$C$6,INDIRECT(ADDRESS(ROW(A82), $D$6, 1, TRUE, "prepareData"))),
IF(AND(C90&lt;&gt;"",C90&lt;&gt;CHAR(10)&amp;"]"),"",""))
&amp;IF(ROW(C80)&lt;$A$11,","&amp;CHAR(10),"")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IF(INDIRECT(ADDRESS(ROW(A83), $D$4, 1, TRUE, "prepareData"))&lt;&gt;"",
SUBSTITUTE(SUBSTITUTE(SUBSTITUTE($C$2,
$C$4,INDIRECT(ADDRESS(ROW(A83), $D$4, 1, TRUE, "prepareData"))),
$C$5,INDIRECT(ADDRESS(ROW(A83), $D$5, 1, TRUE, "prepareData"))),
$C$6,INDIRECT(ADDRESS(ROW(A83), $D$6, 1, TRUE, "prepareData"))),
IF(AND(C91&lt;&gt;"",C91&lt;&gt;CHAR(10)&amp;"]"),"",""))
&amp;IF(ROW(C81)&lt;$A$11,","&amp;CHAR(10),"")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IF(INDIRECT(ADDRESS(ROW(A84), $D$4, 1, TRUE, "prepareData"))&lt;&gt;"",
SUBSTITUTE(SUBSTITUTE(SUBSTITUTE($C$2,
$C$4,INDIRECT(ADDRESS(ROW(A84), $D$4, 1, TRUE, "prepareData"))),
$C$5,INDIRECT(ADDRESS(ROW(A84), $D$5, 1, TRUE, "prepareData"))),
$C$6,INDIRECT(ADDRESS(ROW(A84), $D$6, 1, TRUE, "prepareData"))),
IF(AND(C92&lt;&gt;"",C92&lt;&gt;CHAR(10)&amp;"]"),"",""))
&amp;IF(ROW(C82)&lt;$A$11,","&amp;CHAR(10),"")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IF(INDIRECT(ADDRESS(ROW(A85), $D$4, 1, TRUE, "prepareData"))&lt;&gt;"",
SUBSTITUTE(SUBSTITUTE(SUBSTITUTE($C$2,
$C$4,INDIRECT(ADDRESS(ROW(A85), $D$4, 1, TRUE, "prepareData"))),
$C$5,INDIRECT(ADDRESS(ROW(A85), $D$5, 1, TRUE, "prepareData"))),
$C$6,INDIRECT(ADDRESS(ROW(A85), $D$6, 1, TRUE, "prepareData"))),
IF(AND(C93&lt;&gt;"",C93&lt;&gt;CHAR(10)&amp;"]"),"",""))
&amp;IF(ROW(C83)&lt;$A$11,","&amp;CHAR(10),"")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IF(INDIRECT(ADDRESS(ROW(A86), $D$4, 1, TRUE, "prepareData"))&lt;&gt;"",
SUBSTITUTE(SUBSTITUTE(SUBSTITUTE($C$2,
$C$4,INDIRECT(ADDRESS(ROW(A86), $D$4, 1, TRUE, "prepareData"))),
$C$5,INDIRECT(ADDRESS(ROW(A86), $D$5, 1, TRUE, "prepareData"))),
$C$6,INDIRECT(ADDRESS(ROW(A86), $D$6, 1, TRUE, "prepareData"))),
IF(AND(C94&lt;&gt;"",C94&lt;&gt;CHAR(10)&amp;"]"),"",""))
&amp;IF(ROW(C84)&lt;$A$11,","&amp;CHAR(10),"")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IF(INDIRECT(ADDRESS(ROW(A87), $D$4, 1, TRUE, "prepareData"))&lt;&gt;"",
SUBSTITUTE(SUBSTITUTE(SUBSTITUTE($C$2,
$C$4,INDIRECT(ADDRESS(ROW(A87), $D$4, 1, TRUE, "prepareData"))),
$C$5,INDIRECT(ADDRESS(ROW(A87), $D$5, 1, TRUE, "prepareData"))),
$C$6,INDIRECT(ADDRESS(ROW(A87), $D$6, 1, TRUE, "prepareData"))),
IF(AND(C95&lt;&gt;"",C95&lt;&gt;CHAR(10)&amp;"]"),"",""))
&amp;IF(ROW(C85)&lt;$A$11,","&amp;CHAR(10),"")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IF(INDIRECT(ADDRESS(ROW(A88), $D$4, 1, TRUE, "prepareData"))&lt;&gt;"",
SUBSTITUTE(SUBSTITUTE(SUBSTITUTE($C$2,
$C$4,INDIRECT(ADDRESS(ROW(A88), $D$4, 1, TRUE, "prepareData"))),
$C$5,INDIRECT(ADDRESS(ROW(A88), $D$5, 1, TRUE, "prepareData"))),
$C$6,INDIRECT(ADDRESS(ROW(A88), $D$6, 1, TRUE, "prepareData"))),
IF(AND(C96&lt;&gt;"",C96&lt;&gt;CHAR(10)&amp;"]"),"",""))
&amp;IF(ROW(C86)&lt;$A$11,","&amp;CHAR(10),"")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IF(INDIRECT(ADDRESS(ROW(A89), $D$4, 1, TRUE, "prepareData"))&lt;&gt;"",
SUBSTITUTE(SUBSTITUTE(SUBSTITUTE($C$2,
$C$4,INDIRECT(ADDRESS(ROW(A89), $D$4, 1, TRUE, "prepareData"))),
$C$5,INDIRECT(ADDRESS(ROW(A89), $D$5, 1, TRUE, "prepareData"))),
$C$6,INDIRECT(ADDRESS(ROW(A89), $D$6, 1, TRUE, "prepareData"))),
IF(AND(C97&lt;&gt;"",C97&lt;&gt;CHAR(10)&amp;"]"),"",""))
&amp;IF(ROW(C87)&lt;$A$11,","&amp;CHAR(10),"")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IF(INDIRECT(ADDRESS(ROW(A90), $D$4, 1, TRUE, "prepareData"))&lt;&gt;"",
SUBSTITUTE(SUBSTITUTE(SUBSTITUTE($C$2,
$C$4,INDIRECT(ADDRESS(ROW(A90), $D$4, 1, TRUE, "prepareData"))),
$C$5,INDIRECT(ADDRESS(ROW(A90), $D$5, 1, TRUE, "prepareData"))),
$C$6,INDIRECT(ADDRESS(ROW(A90), $D$6, 1, TRUE, "prepareData"))),
IF(AND(C98&lt;&gt;"",C98&lt;&gt;CHAR(10)&amp;"]"),"",""))
&amp;IF(ROW(C88)&lt;$A$11,","&amp;CHAR(10),"")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IF(INDIRECT(ADDRESS(ROW(A91), $D$4, 1, TRUE, "prepareData"))&lt;&gt;"",
SUBSTITUTE(SUBSTITUTE(SUBSTITUTE($C$2,
$C$4,INDIRECT(ADDRESS(ROW(A91), $D$4, 1, TRUE, "prepareData"))),
$C$5,INDIRECT(ADDRESS(ROW(A91), $D$5, 1, TRUE, "prepareData"))),
$C$6,INDIRECT(ADDRESS(ROW(A91), $D$6, 1, TRUE, "prepareData"))),
IF(AND(C99&lt;&gt;"",C99&lt;&gt;CHAR(10)&amp;"]"),"",""))
&amp;IF(ROW(C89)&lt;$A$11,","&amp;CHAR(10),"")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IF(INDIRECT(ADDRESS(ROW(A92), $D$4, 1, TRUE, "prepareData"))&lt;&gt;"",
SUBSTITUTE(SUBSTITUTE(SUBSTITUTE($C$2,
$C$4,INDIRECT(ADDRESS(ROW(A92), $D$4, 1, TRUE, "prepareData"))),
$C$5,INDIRECT(ADDRESS(ROW(A92), $D$5, 1, TRUE, "prepareData"))),
$C$6,INDIRECT(ADDRESS(ROW(A92), $D$6, 1, TRUE, "prepareData"))),
IF(AND(C100&lt;&gt;"",C100&lt;&gt;CHAR(10)&amp;"]"),"",""))
&amp;IF(ROW(C90)&lt;$A$11,","&amp;CHAR(10),"")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IF(INDIRECT(ADDRESS(ROW(A93), $D$4, 1, TRUE, "prepareData"))&lt;&gt;"",
SUBSTITUTE(SUBSTITUTE(SUBSTITUTE($C$2,
$C$4,INDIRECT(ADDRESS(ROW(A93), $D$4, 1, TRUE, "prepareData"))),
$C$5,INDIRECT(ADDRESS(ROW(A93), $D$5, 1, TRUE, "prepareData"))),
$C$6,INDIRECT(ADDRESS(ROW(A93), $D$6, 1, TRUE, "prepareData"))),
IF(AND(C101&lt;&gt;"",C101&lt;&gt;CHAR(10)&amp;"]"),"",""))
&amp;IF(ROW(C91)&lt;$A$11,","&amp;CHAR(10),"")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IF(INDIRECT(ADDRESS(ROW(A94), $D$4, 1, TRUE, "prepareData"))&lt;&gt;"",
SUBSTITUTE(SUBSTITUTE(SUBSTITUTE($C$2,
$C$4,INDIRECT(ADDRESS(ROW(A94), $D$4, 1, TRUE, "prepareData"))),
$C$5,INDIRECT(ADDRESS(ROW(A94), $D$5, 1, TRUE, "prepareData"))),
$C$6,INDIRECT(ADDRESS(ROW(A94), $D$6, 1, TRUE, "prepareData"))),
IF(AND(C102&lt;&gt;"",C102&lt;&gt;CHAR(10)&amp;"]"),"",""))
&amp;IF(ROW(C92)&lt;$A$11,","&amp;CHAR(10),"")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IF(INDIRECT(ADDRESS(ROW(A95), $D$4, 1, TRUE, "prepareData"))&lt;&gt;"",
SUBSTITUTE(SUBSTITUTE(SUBSTITUTE($C$2,
$C$4,INDIRECT(ADDRESS(ROW(A95), $D$4, 1, TRUE, "prepareData"))),
$C$5,INDIRECT(ADDRESS(ROW(A95), $D$5, 1, TRUE, "prepareData"))),
$C$6,INDIRECT(ADDRESS(ROW(A95), $D$6, 1, TRUE, "prepareData"))),
IF(AND(C103&lt;&gt;"",C103&lt;&gt;CHAR(10)&amp;"]"),"",""))
&amp;IF(ROW(C93)&lt;$A$11,","&amp;CHAR(10),"")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IF(INDIRECT(ADDRESS(ROW(A96), $D$4, 1, TRUE, "prepareData"))&lt;&gt;"",
SUBSTITUTE(SUBSTITUTE(SUBSTITUTE($C$2,
$C$4,INDIRECT(ADDRESS(ROW(A96), $D$4, 1, TRUE, "prepareData"))),
$C$5,INDIRECT(ADDRESS(ROW(A96), $D$5, 1, TRUE, "prepareData"))),
$C$6,INDIRECT(ADDRESS(ROW(A96), $D$6, 1, TRUE, "prepareData"))),
IF(AND(C104&lt;&gt;"",C104&lt;&gt;CHAR(10)&amp;"]"),"",""))
&amp;IF(ROW(C94)&lt;$A$11,","&amp;CHAR(10),"")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IF(INDIRECT(ADDRESS(ROW(A97), $D$4, 1, TRUE, "prepareData"))&lt;&gt;"",
SUBSTITUTE(SUBSTITUTE(SUBSTITUTE($C$2,
$C$4,INDIRECT(ADDRESS(ROW(A97), $D$4, 1, TRUE, "prepareData"))),
$C$5,INDIRECT(ADDRESS(ROW(A97), $D$5, 1, TRUE, "prepareData"))),
$C$6,INDIRECT(ADDRESS(ROW(A97), $D$6, 1, TRUE, "prepareData"))),
IF(AND(C105&lt;&gt;"",C105&lt;&gt;CHAR(10)&amp;"]"),"",""))
&amp;IF(ROW(C95)&lt;$A$11,","&amp;CHAR(10),"")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IF(INDIRECT(ADDRESS(ROW(A98), $D$4, 1, TRUE, "prepareData"))&lt;&gt;"",
SUBSTITUTE(SUBSTITUTE(SUBSTITUTE($C$2,
$C$4,INDIRECT(ADDRESS(ROW(A98), $D$4, 1, TRUE, "prepareData"))),
$C$5,INDIRECT(ADDRESS(ROW(A98), $D$5, 1, TRUE, "prepareData"))),
$C$6,INDIRECT(ADDRESS(ROW(A98), $D$6, 1, TRUE, "prepareData"))),
IF(AND(C106&lt;&gt;"",C106&lt;&gt;CHAR(10)&amp;"]"),"",""))
&amp;IF(ROW(C96)&lt;$A$11,","&amp;CHAR(10),"")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IF(INDIRECT(ADDRESS(ROW(A99), $D$4, 1, TRUE, "prepareData"))&lt;&gt;"",
SUBSTITUTE(SUBSTITUTE(SUBSTITUTE($C$2,
$C$4,INDIRECT(ADDRESS(ROW(A99), $D$4, 1, TRUE, "prepareData"))),
$C$5,INDIRECT(ADDRESS(ROW(A99), $D$5, 1, TRUE, "prepareData"))),
$C$6,INDIRECT(ADDRESS(ROW(A99), $D$6, 1, TRUE, "prepareData"))),
IF(AND(C107&lt;&gt;"",C107&lt;&gt;CHAR(10)&amp;"]"),"",""))
&amp;IF(ROW(C97)&lt;$A$11,","&amp;CHAR(10),"")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IF(INDIRECT(ADDRESS(ROW(A100), $D$4, 1, TRUE, "prepareData"))&lt;&gt;"",
SUBSTITUTE(SUBSTITUTE(SUBSTITUTE($C$2,
$C$4,INDIRECT(ADDRESS(ROW(A100), $D$4, 1, TRUE, "prepareData"))),
$C$5,INDIRECT(ADDRESS(ROW(A100), $D$5, 1, TRUE, "prepareData"))),
$C$6,INDIRECT(ADDRESS(ROW(A100), $D$6, 1, TRUE, "prepareData"))),
IF(AND(C108&lt;&gt;"",C108&lt;&gt;CHAR(10)&amp;"]"),"",""))
&amp;IF(ROW(C98)&lt;$A$11,","&amp;CHAR(10),"")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IF(INDIRECT(ADDRESS(ROW(A101), $D$4, 1, TRUE, "prepareData"))&lt;&gt;"",
SUBSTITUTE(SUBSTITUTE(SUBSTITUTE($C$2,
$C$4,INDIRECT(ADDRESS(ROW(A101), $D$4, 1, TRUE, "prepareData"))),
$C$5,INDIRECT(ADDRESS(ROW(A101), $D$5, 1, TRUE, "prepareData"))),
$C$6,INDIRECT(ADDRESS(ROW(A101), $D$6, 1, TRUE, "prepareData"))),
IF(AND(C109&lt;&gt;"",C109&lt;&gt;CHAR(10)&amp;"]"),"",""))
&amp;IF(ROW(C99)&lt;$A$11,","&amp;CHAR(10),"")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IF(INDIRECT(ADDRESS(ROW(A102), $D$4, 1, TRUE, "prepareData"))&lt;&gt;"",
SUBSTITUTE(SUBSTITUTE(SUBSTITUTE($C$2,
$C$4,INDIRECT(ADDRESS(ROW(A102), $D$4, 1, TRUE, "prepareData"))),
$C$5,INDIRECT(ADDRESS(ROW(A102), $D$5, 1, TRUE, "prepareData"))),
$C$6,INDIRECT(ADDRESS(ROW(A102), $D$6, 1, TRUE, "prepareData"))),
IF(AND(C110&lt;&gt;"",C110&lt;&gt;CHAR(10)&amp;"]"),"",""))
&amp;IF(ROW(C100)&lt;$A$11,","&amp;CHAR(10),"")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IF(INDIRECT(ADDRESS(ROW(A103), $D$4, 1, TRUE, "prepareData"))&lt;&gt;"",
SUBSTITUTE(SUBSTITUTE(SUBSTITUTE($C$2,
$C$4,INDIRECT(ADDRESS(ROW(A103), $D$4, 1, TRUE, "prepareData"))),
$C$5,INDIRECT(ADDRESS(ROW(A103), $D$5, 1, TRUE, "prepareData"))),
$C$6,INDIRECT(ADDRESS(ROW(A103), $D$6, 1, TRUE, "prepareData"))),
IF(AND(C111&lt;&gt;"",C111&lt;&gt;CHAR(10)&amp;"]"),"",""))
&amp;IF(ROW(C101)&lt;$A$11,","&amp;CHAR(10),"")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IF(INDIRECT(ADDRESS(ROW(A104), $D$4, 1, TRUE, "prepareData"))&lt;&gt;"",
SUBSTITUTE(SUBSTITUTE(SUBSTITUTE($C$2,
$C$4,INDIRECT(ADDRESS(ROW(A104), $D$4, 1, TRUE, "prepareData"))),
$C$5,INDIRECT(ADDRESS(ROW(A104), $D$5, 1, TRUE, "prepareData"))),
$C$6,INDIRECT(ADDRESS(ROW(A104), $D$6, 1, TRUE, "prepareData"))),
IF(AND(C112&lt;&gt;"",C112&lt;&gt;CHAR(10)&amp;"]"),"",""))
&amp;IF(ROW(C102)&lt;$A$11,","&amp;CHAR(10),"")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IF(INDIRECT(ADDRESS(ROW(A105), $D$4, 1, TRUE, "prepareData"))&lt;&gt;"",
SUBSTITUTE(SUBSTITUTE(SUBSTITUTE($C$2,
$C$4,INDIRECT(ADDRESS(ROW(A105), $D$4, 1, TRUE, "prepareData"))),
$C$5,INDIRECT(ADDRESS(ROW(A105), $D$5, 1, TRUE, "prepareData"))),
$C$6,INDIRECT(ADDRESS(ROW(A105), $D$6, 1, TRUE, "prepareData"))),
IF(AND(C113&lt;&gt;"",C113&lt;&gt;CHAR(10)&amp;"]"),"",""))
&amp;IF(ROW(C103)&lt;$A$11,","&amp;CHAR(10),"")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IF(INDIRECT(ADDRESS(ROW(A106), $D$4, 1, TRUE, "prepareData"))&lt;&gt;"",
SUBSTITUTE(SUBSTITUTE(SUBSTITUTE($C$2,
$C$4,INDIRECT(ADDRESS(ROW(A106), $D$4, 1, TRUE, "prepareData"))),
$C$5,INDIRECT(ADDRESS(ROW(A106), $D$5, 1, TRUE, "prepareData"))),
$C$6,INDIRECT(ADDRESS(ROW(A106), $D$6, 1, TRUE, "prepareData"))),
IF(AND(C114&lt;&gt;"",C114&lt;&gt;CHAR(10)&amp;"]"),"",""))
&amp;IF(ROW(C104)&lt;$A$11,","&amp;CHAR(10),"")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IF(INDIRECT(ADDRESS(ROW(A107), $D$4, 1, TRUE, "prepareData"))&lt;&gt;"",
SUBSTITUTE(SUBSTITUTE(SUBSTITUTE($C$2,
$C$4,INDIRECT(ADDRESS(ROW(A107), $D$4, 1, TRUE, "prepareData"))),
$C$5,INDIRECT(ADDRESS(ROW(A107), $D$5, 1, TRUE, "prepareData"))),
$C$6,INDIRECT(ADDRESS(ROW(A107), $D$6, 1, TRUE, "prepareData"))),
IF(AND(C115&lt;&gt;"",C115&lt;&gt;CHAR(10)&amp;"]"),"",""))
&amp;IF(ROW(C105)&lt;$A$11,","&amp;CHAR(10),"")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IF(INDIRECT(ADDRESS(ROW(A108), $D$4, 1, TRUE, "prepareData"))&lt;&gt;"",
SUBSTITUTE(SUBSTITUTE(SUBSTITUTE($C$2,
$C$4,INDIRECT(ADDRESS(ROW(A108), $D$4, 1, TRUE, "prepareData"))),
$C$5,INDIRECT(ADDRESS(ROW(A108), $D$5, 1, TRUE, "prepareData"))),
$C$6,INDIRECT(ADDRESS(ROW(A108), $D$6, 1, TRUE, "prepareData"))),
IF(AND(C116&lt;&gt;"",C116&lt;&gt;CHAR(10)&amp;"]"),"",""))
&amp;IF(ROW(C106)&lt;$A$11,","&amp;CHAR(10),"")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IF(INDIRECT(ADDRESS(ROW(A109), $D$4, 1, TRUE, "prepareData"))&lt;&gt;"",
SUBSTITUTE(SUBSTITUTE(SUBSTITUTE($C$2,
$C$4,INDIRECT(ADDRESS(ROW(A109), $D$4, 1, TRUE, "prepareData"))),
$C$5,INDIRECT(ADDRESS(ROW(A109), $D$5, 1, TRUE, "prepareData"))),
$C$6,INDIRECT(ADDRESS(ROW(A109), $D$6, 1, TRUE, "prepareData"))),
IF(AND(C117&lt;&gt;"",C117&lt;&gt;CHAR(10)&amp;"]"),"",""))
&amp;IF(ROW(C107)&lt;$A$11,","&amp;CHAR(10),"")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IF(INDIRECT(ADDRESS(ROW(A110), $D$4, 1, TRUE, "prepareData"))&lt;&gt;"",
SUBSTITUTE(SUBSTITUTE(SUBSTITUTE($C$2,
$C$4,INDIRECT(ADDRESS(ROW(A110), $D$4, 1, TRUE, "prepareData"))),
$C$5,INDIRECT(ADDRESS(ROW(A110), $D$5, 1, TRUE, "prepareData"))),
$C$6,INDIRECT(ADDRESS(ROW(A110), $D$6, 1, TRUE, "prepareData"))),
IF(AND(C118&lt;&gt;"",C118&lt;&gt;CHAR(10)&amp;"]"),"",""))
&amp;IF(ROW(C108)&lt;$A$11,","&amp;CHAR(10),"")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IF(INDIRECT(ADDRESS(ROW(A111), $D$4, 1, TRUE, "prepareData"))&lt;&gt;"",
SUBSTITUTE(SUBSTITUTE(SUBSTITUTE($C$2,
$C$4,INDIRECT(ADDRESS(ROW(A111), $D$4, 1, TRUE, "prepareData"))),
$C$5,INDIRECT(ADDRESS(ROW(A111), $D$5, 1, TRUE, "prepareData"))),
$C$6,INDIRECT(ADDRESS(ROW(A111), $D$6, 1, TRUE, "prepareData"))),
IF(AND(C119&lt;&gt;"",C119&lt;&gt;CHAR(10)&amp;"]"),"",""))
&amp;IF(ROW(C109)&lt;$A$11,","&amp;CHAR(10),"")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IF(INDIRECT(ADDRESS(ROW(A112), $D$4, 1, TRUE, "prepareData"))&lt;&gt;"",
SUBSTITUTE(SUBSTITUTE(SUBSTITUTE($C$2,
$C$4,INDIRECT(ADDRESS(ROW(A112), $D$4, 1, TRUE, "prepareData"))),
$C$5,INDIRECT(ADDRESS(ROW(A112), $D$5, 1, TRUE, "prepareData"))),
$C$6,INDIRECT(ADDRESS(ROW(A112), $D$6, 1, TRUE, "prepareData"))),
IF(AND(C120&lt;&gt;"",C120&lt;&gt;CHAR(10)&amp;"]"),"",""))
&amp;IF(ROW(C110)&lt;$A$11,","&amp;CHAR(10),"")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IF(INDIRECT(ADDRESS(ROW(A113), $D$4, 1, TRUE, "prepareData"))&lt;&gt;"",
SUBSTITUTE(SUBSTITUTE(SUBSTITUTE($C$2,
$C$4,INDIRECT(ADDRESS(ROW(A113), $D$4, 1, TRUE, "prepareData"))),
$C$5,INDIRECT(ADDRESS(ROW(A113), $D$5, 1, TRUE, "prepareData"))),
$C$6,INDIRECT(ADDRESS(ROW(A113), $D$6, 1, TRUE, "prepareData"))),
IF(AND(C121&lt;&gt;"",C121&lt;&gt;CHAR(10)&amp;"]"),"",""))
&amp;IF(ROW(C111)&lt;$A$11,","&amp;CHAR(10),"")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IF(INDIRECT(ADDRESS(ROW(A114), $D$4, 1, TRUE, "prepareData"))&lt;&gt;"",
SUBSTITUTE(SUBSTITUTE(SUBSTITUTE($C$2,
$C$4,INDIRECT(ADDRESS(ROW(A114), $D$4, 1, TRUE, "prepareData"))),
$C$5,INDIRECT(ADDRESS(ROW(A114), $D$5, 1, TRUE, "prepareData"))),
$C$6,INDIRECT(ADDRESS(ROW(A114), $D$6, 1, TRUE, "prepareData"))),
IF(AND(C122&lt;&gt;"",C122&lt;&gt;CHAR(10)&amp;"]"),"",""))
&amp;IF(ROW(C112)&lt;$A$11,","&amp;CHAR(10),"")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IF(INDIRECT(ADDRESS(ROW(A115), $D$4, 1, TRUE, "prepareData"))&lt;&gt;"",
SUBSTITUTE(SUBSTITUTE(SUBSTITUTE($C$2,
$C$4,INDIRECT(ADDRESS(ROW(A115), $D$4, 1, TRUE, "prepareData"))),
$C$5,INDIRECT(ADDRESS(ROW(A115), $D$5, 1, TRUE, "prepareData"))),
$C$6,INDIRECT(ADDRESS(ROW(A115), $D$6, 1, TRUE, "prepareData"))),
IF(AND(C123&lt;&gt;"",C123&lt;&gt;CHAR(10)&amp;"]"),"",""))
&amp;IF(ROW(C113)&lt;$A$11,","&amp;CHAR(10),"")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IF(INDIRECT(ADDRESS(ROW(A116), $D$4, 1, TRUE, "prepareData"))&lt;&gt;"",
SUBSTITUTE(SUBSTITUTE(SUBSTITUTE($C$2,
$C$4,INDIRECT(ADDRESS(ROW(A116), $D$4, 1, TRUE, "prepareData"))),
$C$5,INDIRECT(ADDRESS(ROW(A116), $D$5, 1, TRUE, "prepareData"))),
$C$6,INDIRECT(ADDRESS(ROW(A116), $D$6, 1, TRUE, "prepareData"))),
IF(AND(C124&lt;&gt;"",C124&lt;&gt;CHAR(10)&amp;"]"),"",""))
&amp;IF(ROW(C114)&lt;$A$11,","&amp;CHAR(10),"")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IF(INDIRECT(ADDRESS(ROW(A117), $D$4, 1, TRUE, "prepareData"))&lt;&gt;"",
SUBSTITUTE(SUBSTITUTE(SUBSTITUTE($C$2,
$C$4,INDIRECT(ADDRESS(ROW(A117), $D$4, 1, TRUE, "prepareData"))),
$C$5,INDIRECT(ADDRESS(ROW(A117), $D$5, 1, TRUE, "prepareData"))),
$C$6,INDIRECT(ADDRESS(ROW(A117), $D$6, 1, TRUE, "prepareData"))),
IF(AND(C125&lt;&gt;"",C125&lt;&gt;CHAR(10)&amp;"]"),"",""))
&amp;IF(ROW(C115)&lt;$A$11,","&amp;CHAR(10),"")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IF(INDIRECT(ADDRESS(ROW(A118), $D$4, 1, TRUE, "prepareData"))&lt;&gt;"",
SUBSTITUTE(SUBSTITUTE(SUBSTITUTE($C$2,
$C$4,INDIRECT(ADDRESS(ROW(A118), $D$4, 1, TRUE, "prepareData"))),
$C$5,INDIRECT(ADDRESS(ROW(A118), $D$5, 1, TRUE, "prepareData"))),
$C$6,INDIRECT(ADDRESS(ROW(A118), $D$6, 1, TRUE, "prepareData"))),
IF(AND(C126&lt;&gt;"",C126&lt;&gt;CHAR(10)&amp;"]"),"",""))
&amp;IF(ROW(C116)&lt;$A$11,","&amp;CHAR(10),"")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IF(INDIRECT(ADDRESS(ROW(A119), $D$4, 1, TRUE, "prepareData"))&lt;&gt;"",
SUBSTITUTE(SUBSTITUTE(SUBSTITUTE($C$2,
$C$4,INDIRECT(ADDRESS(ROW(A119), $D$4, 1, TRUE, "prepareData"))),
$C$5,INDIRECT(ADDRESS(ROW(A119), $D$5, 1, TRUE, "prepareData"))),
$C$6,INDIRECT(ADDRESS(ROW(A119), $D$6, 1, TRUE, "prepareData"))),
IF(AND(C127&lt;&gt;"",C127&lt;&gt;CHAR(10)&amp;"]"),"",""))
&amp;IF(ROW(C117)&lt;$A$11,","&amp;CHAR(10),"")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IF(INDIRECT(ADDRESS(ROW(A120), $D$4, 1, TRUE, "prepareData"))&lt;&gt;"",
SUBSTITUTE(SUBSTITUTE(SUBSTITUTE($C$2,
$C$4,INDIRECT(ADDRESS(ROW(A120), $D$4, 1, TRUE, "prepareData"))),
$C$5,INDIRECT(ADDRESS(ROW(A120), $D$5, 1, TRUE, "prepareData"))),
$C$6,INDIRECT(ADDRESS(ROW(A120), $D$6, 1, TRUE, "prepareData"))),
IF(AND(C128&lt;&gt;"",C128&lt;&gt;CHAR(10)&amp;"]"),"",""))
&amp;IF(ROW(C118)&lt;$A$11,","&amp;CHAR(10),"")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IF(INDIRECT(ADDRESS(ROW(A121), $D$4, 1, TRUE, "prepareData"))&lt;&gt;"",
SUBSTITUTE(SUBSTITUTE(SUBSTITUTE($C$2,
$C$4,INDIRECT(ADDRESS(ROW(A121), $D$4, 1, TRUE, "prepareData"))),
$C$5,INDIRECT(ADDRESS(ROW(A121), $D$5, 1, TRUE, "prepareData"))),
$C$6,INDIRECT(ADDRESS(ROW(A121), $D$6, 1, TRUE, "prepareData"))),
IF(AND(C129&lt;&gt;"",C129&lt;&gt;CHAR(10)&amp;"]"),"",""))
&amp;IF(ROW(C119)&lt;$A$11,","&amp;CHAR(10),"")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IF(INDIRECT(ADDRESS(ROW(A122), $D$4, 1, TRUE, "prepareData"))&lt;&gt;"",
SUBSTITUTE(SUBSTITUTE(SUBSTITUTE($C$2,
$C$4,INDIRECT(ADDRESS(ROW(A122), $D$4, 1, TRUE, "prepareData"))),
$C$5,INDIRECT(ADDRESS(ROW(A122), $D$5, 1, TRUE, "prepareData"))),
$C$6,INDIRECT(ADDRESS(ROW(A122), $D$6, 1, TRUE, "prepareData"))),
IF(AND(C130&lt;&gt;"",C130&lt;&gt;CHAR(10)&amp;"]"),"",""))
&amp;IF(ROW(C120)&lt;$A$11,","&amp;CHAR(10),"")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IF(INDIRECT(ADDRESS(ROW(A123), $D$4, 1, TRUE, "prepareData"))&lt;&gt;"",
SUBSTITUTE(SUBSTITUTE(SUBSTITUTE($C$2,
$C$4,INDIRECT(ADDRESS(ROW(A123), $D$4, 1, TRUE, "prepareData"))),
$C$5,INDIRECT(ADDRESS(ROW(A123), $D$5, 1, TRUE, "prepareData"))),
$C$6,INDIRECT(ADDRESS(ROW(A123), $D$6, 1, TRUE, "prepareData"))),
IF(AND(C131&lt;&gt;"",C131&lt;&gt;CHAR(10)&amp;"]"),"",""))
&amp;IF(ROW(C121)&lt;$A$11,","&amp;CHAR(10),"")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IF(INDIRECT(ADDRESS(ROW(A124), $D$4, 1, TRUE, "prepareData"))&lt;&gt;"",
SUBSTITUTE(SUBSTITUTE(SUBSTITUTE($C$2,
$C$4,INDIRECT(ADDRESS(ROW(A124), $D$4, 1, TRUE, "prepareData"))),
$C$5,INDIRECT(ADDRESS(ROW(A124), $D$5, 1, TRUE, "prepareData"))),
$C$6,INDIRECT(ADDRESS(ROW(A124), $D$6, 1, TRUE, "prepareData"))),
IF(AND(C132&lt;&gt;"",C132&lt;&gt;CHAR(10)&amp;"]"),"",""))
&amp;IF(ROW(C122)&lt;$A$11,","&amp;CHAR(10),"")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IF(INDIRECT(ADDRESS(ROW(A125), $D$4, 1, TRUE, "prepareData"))&lt;&gt;"",
SUBSTITUTE(SUBSTITUTE(SUBSTITUTE($C$2,
$C$4,INDIRECT(ADDRESS(ROW(A125), $D$4, 1, TRUE, "prepareData"))),
$C$5,INDIRECT(ADDRESS(ROW(A125), $D$5, 1, TRUE, "prepareData"))),
$C$6,INDIRECT(ADDRESS(ROW(A125), $D$6, 1, TRUE, "prepareData"))),
IF(AND(C133&lt;&gt;"",C133&lt;&gt;CHAR(10)&amp;"]"),"",""))
&amp;IF(ROW(C123)&lt;$A$11,","&amp;CHAR(10),"")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IF(INDIRECT(ADDRESS(ROW(A126), $D$4, 1, TRUE, "prepareData"))&lt;&gt;"",
SUBSTITUTE(SUBSTITUTE(SUBSTITUTE($C$2,
$C$4,INDIRECT(ADDRESS(ROW(A126), $D$4, 1, TRUE, "prepareData"))),
$C$5,INDIRECT(ADDRESS(ROW(A126), $D$5, 1, TRUE, "prepareData"))),
$C$6,INDIRECT(ADDRESS(ROW(A126), $D$6, 1, TRUE, "prepareData"))),
IF(AND(C134&lt;&gt;"",C134&lt;&gt;CHAR(10)&amp;"]"),"",""))
&amp;IF(ROW(C124)&lt;$A$11,","&amp;CHAR(10),"")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IF(INDIRECT(ADDRESS(ROW(A127), $D$4, 1, TRUE, "prepareData"))&lt;&gt;"",
SUBSTITUTE(SUBSTITUTE(SUBSTITUTE($C$2,
$C$4,INDIRECT(ADDRESS(ROW(A127), $D$4, 1, TRUE, "prepareData"))),
$C$5,INDIRECT(ADDRESS(ROW(A127), $D$5, 1, TRUE, "prepareData"))),
$C$6,INDIRECT(ADDRESS(ROW(A127), $D$6, 1, TRUE, "prepareData"))),
IF(AND(C135&lt;&gt;"",C135&lt;&gt;CHAR(10)&amp;"]"),"",""))
&amp;IF(ROW(C125)&lt;$A$11,","&amp;CHAR(10),"")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IF(INDIRECT(ADDRESS(ROW(A128), $D$4, 1, TRUE, "prepareData"))&lt;&gt;"",
SUBSTITUTE(SUBSTITUTE(SUBSTITUTE($C$2,
$C$4,INDIRECT(ADDRESS(ROW(A128), $D$4, 1, TRUE, "prepareData"))),
$C$5,INDIRECT(ADDRESS(ROW(A128), $D$5, 1, TRUE, "prepareData"))),
$C$6,INDIRECT(ADDRESS(ROW(A128), $D$6, 1, TRUE, "prepareData"))),
IF(AND(C136&lt;&gt;"",C136&lt;&gt;CHAR(10)&amp;"]"),"",""))
&amp;IF(ROW(C126)&lt;$A$11,","&amp;CHAR(10),"")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IF(INDIRECT(ADDRESS(ROW(A129), $D$4, 1, TRUE, "prepareData"))&lt;&gt;"",
SUBSTITUTE(SUBSTITUTE(SUBSTITUTE($C$2,
$C$4,INDIRECT(ADDRESS(ROW(A129), $D$4, 1, TRUE, "prepareData"))),
$C$5,INDIRECT(ADDRESS(ROW(A129), $D$5, 1, TRUE, "prepareData"))),
$C$6,INDIRECT(ADDRESS(ROW(A129), $D$6, 1, TRUE, "prepareData"))),
IF(AND(C137&lt;&gt;"",C137&lt;&gt;CHAR(10)&amp;"]"),"",""))
&amp;IF(ROW(C127)&lt;$A$11,","&amp;CHAR(10),"")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IF(INDIRECT(ADDRESS(ROW(A130), $D$4, 1, TRUE, "prepareData"))&lt;&gt;"",
SUBSTITUTE(SUBSTITUTE(SUBSTITUTE($C$2,
$C$4,INDIRECT(ADDRESS(ROW(A130), $D$4, 1, TRUE, "prepareData"))),
$C$5,INDIRECT(ADDRESS(ROW(A130), $D$5, 1, TRUE, "prepareData"))),
$C$6,INDIRECT(ADDRESS(ROW(A130), $D$6, 1, TRUE, "prepareData"))),
IF(AND(C138&lt;&gt;"",C138&lt;&gt;CHAR(10)&amp;"]"),"",""))
&amp;IF(ROW(C128)&lt;$A$11,","&amp;CHAR(10),"")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IF(INDIRECT(ADDRESS(ROW(A131), $D$4, 1, TRUE, "prepareData"))&lt;&gt;"",
SUBSTITUTE(SUBSTITUTE(SUBSTITUTE($C$2,
$C$4,INDIRECT(ADDRESS(ROW(A131), $D$4, 1, TRUE, "prepareData"))),
$C$5,INDIRECT(ADDRESS(ROW(A131), $D$5, 1, TRUE, "prepareData"))),
$C$6,INDIRECT(ADDRESS(ROW(A131), $D$6, 1, TRUE, "prepareData"))),
IF(AND(C139&lt;&gt;"",C139&lt;&gt;CHAR(10)&amp;"]"),"",""))
&amp;IF(ROW(C129)&lt;$A$11,","&amp;CHAR(10),"")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IF(INDIRECT(ADDRESS(ROW(A132), $D$4, 1, TRUE, "prepareData"))&lt;&gt;"",
SUBSTITUTE(SUBSTITUTE(SUBSTITUTE($C$2,
$C$4,INDIRECT(ADDRESS(ROW(A132), $D$4, 1, TRUE, "prepareData"))),
$C$5,INDIRECT(ADDRESS(ROW(A132), $D$5, 1, TRUE, "prepareData"))),
$C$6,INDIRECT(ADDRESS(ROW(A132), $D$6, 1, TRUE, "prepareData"))),
IF(AND(C140&lt;&gt;"",C140&lt;&gt;CHAR(10)&amp;"]"),"",""))
&amp;IF(ROW(C130)&lt;$A$11,","&amp;CHAR(10),"")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IF(INDIRECT(ADDRESS(ROW(A133), $D$4, 1, TRUE, "prepareData"))&lt;&gt;"",
SUBSTITUTE(SUBSTITUTE(SUBSTITUTE($C$2,
$C$4,INDIRECT(ADDRESS(ROW(A133), $D$4, 1, TRUE, "prepareData"))),
$C$5,INDIRECT(ADDRESS(ROW(A133), $D$5, 1, TRUE, "prepareData"))),
$C$6,INDIRECT(ADDRESS(ROW(A133), $D$6, 1, TRUE, "prepareData"))),
IF(AND(C141&lt;&gt;"",C141&lt;&gt;CHAR(10)&amp;"]"),"",""))
&amp;IF(ROW(C131)&lt;$A$11,","&amp;CHAR(10),"")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IF(INDIRECT(ADDRESS(ROW(A134), $D$4, 1, TRUE, "prepareData"))&lt;&gt;"",
SUBSTITUTE(SUBSTITUTE(SUBSTITUTE($C$2,
$C$4,INDIRECT(ADDRESS(ROW(A134), $D$4, 1, TRUE, "prepareData"))),
$C$5,INDIRECT(ADDRESS(ROW(A134), $D$5, 1, TRUE, "prepareData"))),
$C$6,INDIRECT(ADDRESS(ROW(A134), $D$6, 1, TRUE, "prepareData"))),
IF(AND(C142&lt;&gt;"",C142&lt;&gt;CHAR(10)&amp;"]"),"",""))
&amp;IF(ROW(C132)&lt;$A$11,","&amp;CHAR(10),"")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IF(INDIRECT(ADDRESS(ROW(A135), $D$4, 1, TRUE, "prepareData"))&lt;&gt;"",
SUBSTITUTE(SUBSTITUTE(SUBSTITUTE($C$2,
$C$4,INDIRECT(ADDRESS(ROW(A135), $D$4, 1, TRUE, "prepareData"))),
$C$5,INDIRECT(ADDRESS(ROW(A135), $D$5, 1, TRUE, "prepareData"))),
$C$6,INDIRECT(ADDRESS(ROW(A135), $D$6, 1, TRUE, "prepareData"))),
IF(AND(C143&lt;&gt;"",C143&lt;&gt;CHAR(10)&amp;"]"),"",""))
&amp;IF(ROW(C133)&lt;$A$11,","&amp;CHAR(10),"")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IF(INDIRECT(ADDRESS(ROW(A136), $D$4, 1, TRUE, "prepareData"))&lt;&gt;"",
SUBSTITUTE(SUBSTITUTE(SUBSTITUTE($C$2,
$C$4,INDIRECT(ADDRESS(ROW(A136), $D$4, 1, TRUE, "prepareData"))),
$C$5,INDIRECT(ADDRESS(ROW(A136), $D$5, 1, TRUE, "prepareData"))),
$C$6,INDIRECT(ADDRESS(ROW(A136), $D$6, 1, TRUE, "prepareData"))),
IF(AND(C144&lt;&gt;"",C144&lt;&gt;CHAR(10)&amp;"]"),"",""))
&amp;IF(ROW(C134)&lt;$A$11,","&amp;CHAR(10),"")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IF(INDIRECT(ADDRESS(ROW(A137), $D$4, 1, TRUE, "prepareData"))&lt;&gt;"",
SUBSTITUTE(SUBSTITUTE(SUBSTITUTE($C$2,
$C$4,INDIRECT(ADDRESS(ROW(A137), $D$4, 1, TRUE, "prepareData"))),
$C$5,INDIRECT(ADDRESS(ROW(A137), $D$5, 1, TRUE, "prepareData"))),
$C$6,INDIRECT(ADDRESS(ROW(A137), $D$6, 1, TRUE, "prepareData"))),
IF(AND(C145&lt;&gt;"",C145&lt;&gt;CHAR(10)&amp;"]"),"",""))
&amp;IF(ROW(C135)&lt;$A$11,","&amp;CHAR(10),"")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IF(INDIRECT(ADDRESS(ROW(A138), $D$4, 1, TRUE, "prepareData"))&lt;&gt;"",
SUBSTITUTE(SUBSTITUTE(SUBSTITUTE($C$2,
$C$4,INDIRECT(ADDRESS(ROW(A138), $D$4, 1, TRUE, "prepareData"))),
$C$5,INDIRECT(ADDRESS(ROW(A138), $D$5, 1, TRUE, "prepareData"))),
$C$6,INDIRECT(ADDRESS(ROW(A138), $D$6, 1, TRUE, "prepareData"))),
IF(AND(C146&lt;&gt;"",C146&lt;&gt;CHAR(10)&amp;"]"),"",""))
&amp;IF(ROW(C136)&lt;$A$11,","&amp;CHAR(10),"")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IF(INDIRECT(ADDRESS(ROW(A139), $D$4, 1, TRUE, "prepareData"))&lt;&gt;"",
SUBSTITUTE(SUBSTITUTE(SUBSTITUTE($C$2,
$C$4,INDIRECT(ADDRESS(ROW(A139), $D$4, 1, TRUE, "prepareData"))),
$C$5,INDIRECT(ADDRESS(ROW(A139), $D$5, 1, TRUE, "prepareData"))),
$C$6,INDIRECT(ADDRESS(ROW(A139), $D$6, 1, TRUE, "prepareData"))),
IF(AND(C147&lt;&gt;"",C147&lt;&gt;CHAR(10)&amp;"]"),"",""))
&amp;IF(ROW(C137)&lt;$A$11,","&amp;CHAR(10),"")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IF(INDIRECT(ADDRESS(ROW(A140), $D$4, 1, TRUE, "prepareData"))&lt;&gt;"",
SUBSTITUTE(SUBSTITUTE(SUBSTITUTE($C$2,
$C$4,INDIRECT(ADDRESS(ROW(A140), $D$4, 1, TRUE, "prepareData"))),
$C$5,INDIRECT(ADDRESS(ROW(A140), $D$5, 1, TRUE, "prepareData"))),
$C$6,INDIRECT(ADDRESS(ROW(A140), $D$6, 1, TRUE, "prepareData"))),
IF(AND(C148&lt;&gt;"",C148&lt;&gt;CHAR(10)&amp;"]"),"",""))
&amp;IF(ROW(C138)&lt;$A$11,","&amp;CHAR(10),"")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IF(INDIRECT(ADDRESS(ROW(A141), $D$4, 1, TRUE, "prepareData"))&lt;&gt;"",
SUBSTITUTE(SUBSTITUTE(SUBSTITUTE($C$2,
$C$4,INDIRECT(ADDRESS(ROW(A141), $D$4, 1, TRUE, "prepareData"))),
$C$5,INDIRECT(ADDRESS(ROW(A141), $D$5, 1, TRUE, "prepareData"))),
$C$6,INDIRECT(ADDRESS(ROW(A141), $D$6, 1, TRUE, "prepareData"))),
IF(AND(C149&lt;&gt;"",C149&lt;&gt;CHAR(10)&amp;"]"),"",""))
&amp;IF(ROW(C139)&lt;$A$11,","&amp;CHAR(10),"")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IF(INDIRECT(ADDRESS(ROW(A142), $D$4, 1, TRUE, "prepareData"))&lt;&gt;"",
SUBSTITUTE(SUBSTITUTE(SUBSTITUTE($C$2,
$C$4,INDIRECT(ADDRESS(ROW(A142), $D$4, 1, TRUE, "prepareData"))),
$C$5,INDIRECT(ADDRESS(ROW(A142), $D$5, 1, TRUE, "prepareData"))),
$C$6,INDIRECT(ADDRESS(ROW(A142), $D$6, 1, TRUE, "prepareData"))),
IF(AND(C150&lt;&gt;"",C150&lt;&gt;CHAR(10)&amp;"]"),"",""))
&amp;IF(ROW(C140)&lt;$A$11,","&amp;CHAR(10),"")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IF(INDIRECT(ADDRESS(ROW(A143), $D$4, 1, TRUE, "prepareData"))&lt;&gt;"",
SUBSTITUTE(SUBSTITUTE(SUBSTITUTE($C$2,
$C$4,INDIRECT(ADDRESS(ROW(A143), $D$4, 1, TRUE, "prepareData"))),
$C$5,INDIRECT(ADDRESS(ROW(A143), $D$5, 1, TRUE, "prepareData"))),
$C$6,INDIRECT(ADDRESS(ROW(A143), $D$6, 1, TRUE, "prepareData"))),
IF(AND(C151&lt;&gt;"",C151&lt;&gt;CHAR(10)&amp;"]"),"",""))
&amp;IF(ROW(C141)&lt;$A$11,","&amp;CHAR(10),"")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IF(INDIRECT(ADDRESS(ROW(A144), $D$4, 1, TRUE, "prepareData"))&lt;&gt;"",
SUBSTITUTE(SUBSTITUTE(SUBSTITUTE($C$2,
$C$4,INDIRECT(ADDRESS(ROW(A144), $D$4, 1, TRUE, "prepareData"))),
$C$5,INDIRECT(ADDRESS(ROW(A144), $D$5, 1, TRUE, "prepareData"))),
$C$6,INDIRECT(ADDRESS(ROW(A144), $D$6, 1, TRUE, "prepareData"))),
IF(AND(C152&lt;&gt;"",C152&lt;&gt;CHAR(10)&amp;"]"),"",""))
&amp;IF(ROW(C142)&lt;$A$11,","&amp;CHAR(10),"")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IF(INDIRECT(ADDRESS(ROW(A145), $D$4, 1, TRUE, "prepareData"))&lt;&gt;"",
SUBSTITUTE(SUBSTITUTE(SUBSTITUTE($C$2,
$C$4,INDIRECT(ADDRESS(ROW(A145), $D$4, 1, TRUE, "prepareData"))),
$C$5,INDIRECT(ADDRESS(ROW(A145), $D$5, 1, TRUE, "prepareData"))),
$C$6,INDIRECT(ADDRESS(ROW(A145), $D$6, 1, TRUE, "prepareData"))),
IF(AND(C153&lt;&gt;"",C153&lt;&gt;CHAR(10)&amp;"]"),"",""))
&amp;IF(ROW(C143)&lt;$A$11,","&amp;CHAR(10),"")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IF(INDIRECT(ADDRESS(ROW(A146), $D$4, 1, TRUE, "prepareData"))&lt;&gt;"",
SUBSTITUTE(SUBSTITUTE(SUBSTITUTE($C$2,
$C$4,INDIRECT(ADDRESS(ROW(A146), $D$4, 1, TRUE, "prepareData"))),
$C$5,INDIRECT(ADDRESS(ROW(A146), $D$5, 1, TRUE, "prepareData"))),
$C$6,INDIRECT(ADDRESS(ROW(A146), $D$6, 1, TRUE, "prepareData"))),
IF(AND(C154&lt;&gt;"",C154&lt;&gt;CHAR(10)&amp;"]"),"",""))
&amp;IF(ROW(C144)&lt;$A$11,","&amp;CHAR(10),"")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IF(INDIRECT(ADDRESS(ROW(A147), $D$4, 1, TRUE, "prepareData"))&lt;&gt;"",
SUBSTITUTE(SUBSTITUTE(SUBSTITUTE($C$2,
$C$4,INDIRECT(ADDRESS(ROW(A147), $D$4, 1, TRUE, "prepareData"))),
$C$5,INDIRECT(ADDRESS(ROW(A147), $D$5, 1, TRUE, "prepareData"))),
$C$6,INDIRECT(ADDRESS(ROW(A147), $D$6, 1, TRUE, "prepareData"))),
IF(AND(C155&lt;&gt;"",C155&lt;&gt;CHAR(10)&amp;"]"),"",""))
&amp;IF(ROW(C145)&lt;$A$11,","&amp;CHAR(10),"")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IF(INDIRECT(ADDRESS(ROW(A148), $D$4, 1, TRUE, "prepareData"))&lt;&gt;"",
SUBSTITUTE(SUBSTITUTE(SUBSTITUTE($C$2,
$C$4,INDIRECT(ADDRESS(ROW(A148), $D$4, 1, TRUE, "prepareData"))),
$C$5,INDIRECT(ADDRESS(ROW(A148), $D$5, 1, TRUE, "prepareData"))),
$C$6,INDIRECT(ADDRESS(ROW(A148), $D$6, 1, TRUE, "prepareData"))),
IF(AND(C156&lt;&gt;"",C156&lt;&gt;CHAR(10)&amp;"]"),"",""))
&amp;IF(ROW(C146)&lt;$A$11,","&amp;CHAR(10),"")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IF(INDIRECT(ADDRESS(ROW(A149), $D$4, 1, TRUE, "prepareData"))&lt;&gt;"",
SUBSTITUTE(SUBSTITUTE(SUBSTITUTE($C$2,
$C$4,INDIRECT(ADDRESS(ROW(A149), $D$4, 1, TRUE, "prepareData"))),
$C$5,INDIRECT(ADDRESS(ROW(A149), $D$5, 1, TRUE, "prepareData"))),
$C$6,INDIRECT(ADDRESS(ROW(A149), $D$6, 1, TRUE, "prepareData"))),
IF(AND(C157&lt;&gt;"",C157&lt;&gt;CHAR(10)&amp;"]"),"",""))
&amp;IF(ROW(C147)&lt;$A$11,","&amp;CHAR(10),"")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IF(INDIRECT(ADDRESS(ROW(A150), $D$4, 1, TRUE, "prepareData"))&lt;&gt;"",
SUBSTITUTE(SUBSTITUTE(SUBSTITUTE($C$2,
$C$4,INDIRECT(ADDRESS(ROW(A150), $D$4, 1, TRUE, "prepareData"))),
$C$5,INDIRECT(ADDRESS(ROW(A150), $D$5, 1, TRUE, "prepareData"))),
$C$6,INDIRECT(ADDRESS(ROW(A150), $D$6, 1, TRUE, "prepareData"))),
IF(AND(C158&lt;&gt;"",C158&lt;&gt;CHAR(10)&amp;"]"),"",""))
&amp;IF(ROW(C148)&lt;$A$11,","&amp;CHAR(10),"")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IF(INDIRECT(ADDRESS(ROW(A151), $D$4, 1, TRUE, "prepareData"))&lt;&gt;"",
SUBSTITUTE(SUBSTITUTE(SUBSTITUTE($C$2,
$C$4,INDIRECT(ADDRESS(ROW(A151), $D$4, 1, TRUE, "prepareData"))),
$C$5,INDIRECT(ADDRESS(ROW(A151), $D$5, 1, TRUE, "prepareData"))),
$C$6,INDIRECT(ADDRESS(ROW(A151), $D$6, 1, TRUE, "prepareData"))),
IF(AND(C159&lt;&gt;"",C159&lt;&gt;CHAR(10)&amp;"]"),"",""))
&amp;IF(ROW(C149)&lt;$A$11,","&amp;CHAR(10),"")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IF(INDIRECT(ADDRESS(ROW(A152), $D$4, 1, TRUE, "prepareData"))&lt;&gt;"",
SUBSTITUTE(SUBSTITUTE(SUBSTITUTE($C$2,
$C$4,INDIRECT(ADDRESS(ROW(A152), $D$4, 1, TRUE, "prepareData"))),
$C$5,INDIRECT(ADDRESS(ROW(A152), $D$5, 1, TRUE, "prepareData"))),
$C$6,INDIRECT(ADDRESS(ROW(A152), $D$6, 1, TRUE, "prepareData"))),
IF(AND(C160&lt;&gt;"",C160&lt;&gt;CHAR(10)&amp;"]"),"",""))
&amp;IF(ROW(C150)&lt;$A$11,","&amp;CHAR(10),"")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IF(INDIRECT(ADDRESS(ROW(A153), $D$4, 1, TRUE, "prepareData"))&lt;&gt;"",
SUBSTITUTE(SUBSTITUTE(SUBSTITUTE($C$2,
$C$4,INDIRECT(ADDRESS(ROW(A153), $D$4, 1, TRUE, "prepareData"))),
$C$5,INDIRECT(ADDRESS(ROW(A153), $D$5, 1, TRUE, "prepareData"))),
$C$6,INDIRECT(ADDRESS(ROW(A153), $D$6, 1, TRUE, "prepareData"))),
IF(AND(C161&lt;&gt;"",C161&lt;&gt;CHAR(10)&amp;"]"),"",""))
&amp;IF(ROW(C151)&lt;$A$11,","&amp;CHAR(10),"")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IF(INDIRECT(ADDRESS(ROW(A154), $D$4, 1, TRUE, "prepareData"))&lt;&gt;"",
SUBSTITUTE(SUBSTITUTE(SUBSTITUTE($C$2,
$C$4,INDIRECT(ADDRESS(ROW(A154), $D$4, 1, TRUE, "prepareData"))),
$C$5,INDIRECT(ADDRESS(ROW(A154), $D$5, 1, TRUE, "prepareData"))),
$C$6,INDIRECT(ADDRESS(ROW(A154), $D$6, 1, TRUE, "prepareData"))),
IF(AND(C162&lt;&gt;"",C162&lt;&gt;CHAR(10)&amp;"]"),"",""))
&amp;IF(ROW(C152)&lt;$A$11,","&amp;CHAR(10),"")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IF(INDIRECT(ADDRESS(ROW(A155), $D$4, 1, TRUE, "prepareData"))&lt;&gt;"",
SUBSTITUTE(SUBSTITUTE(SUBSTITUTE($C$2,
$C$4,INDIRECT(ADDRESS(ROW(A155), $D$4, 1, TRUE, "prepareData"))),
$C$5,INDIRECT(ADDRESS(ROW(A155), $D$5, 1, TRUE, "prepareData"))),
$C$6,INDIRECT(ADDRESS(ROW(A155), $D$6, 1, TRUE, "prepareData"))),
IF(AND(C163&lt;&gt;"",C163&lt;&gt;CHAR(10)&amp;"]"),"",""))
&amp;IF(ROW(C153)&lt;$A$11,","&amp;CHAR(10),"")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IF(INDIRECT(ADDRESS(ROW(A156), $D$4, 1, TRUE, "prepareData"))&lt;&gt;"",
SUBSTITUTE(SUBSTITUTE(SUBSTITUTE($C$2,
$C$4,INDIRECT(ADDRESS(ROW(A156), $D$4, 1, TRUE, "prepareData"))),
$C$5,INDIRECT(ADDRESS(ROW(A156), $D$5, 1, TRUE, "prepareData"))),
$C$6,INDIRECT(ADDRESS(ROW(A156), $D$6, 1, TRUE, "prepareData"))),
IF(AND(C164&lt;&gt;"",C164&lt;&gt;CHAR(10)&amp;"]"),"",""))
&amp;IF(ROW(C154)&lt;$A$11,","&amp;CHAR(10),"")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IF(INDIRECT(ADDRESS(ROW(A157), $D$4, 1, TRUE, "prepareData"))&lt;&gt;"",
SUBSTITUTE(SUBSTITUTE(SUBSTITUTE($C$2,
$C$4,INDIRECT(ADDRESS(ROW(A157), $D$4, 1, TRUE, "prepareData"))),
$C$5,INDIRECT(ADDRESS(ROW(A157), $D$5, 1, TRUE, "prepareData"))),
$C$6,INDIRECT(ADDRESS(ROW(A157), $D$6, 1, TRUE, "prepareData"))),
IF(AND(C165&lt;&gt;"",C165&lt;&gt;CHAR(10)&amp;"]"),"",""))
&amp;IF(ROW(C155)&lt;$A$11,","&amp;CHAR(10),"")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IF(INDIRECT(ADDRESS(ROW(A158), $D$4, 1, TRUE, "prepareData"))&lt;&gt;"",
SUBSTITUTE(SUBSTITUTE(SUBSTITUTE($C$2,
$C$4,INDIRECT(ADDRESS(ROW(A158), $D$4, 1, TRUE, "prepareData"))),
$C$5,INDIRECT(ADDRESS(ROW(A158), $D$5, 1, TRUE, "prepareData"))),
$C$6,INDIRECT(ADDRESS(ROW(A158), $D$6, 1, TRUE, "prepareData"))),
IF(AND(C166&lt;&gt;"",C166&lt;&gt;CHAR(10)&amp;"]"),"",""))
&amp;IF(ROW(C156)&lt;$A$11,","&amp;CHAR(10),"")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IF(INDIRECT(ADDRESS(ROW(A159), $D$4, 1, TRUE, "prepareData"))&lt;&gt;"",
SUBSTITUTE(SUBSTITUTE(SUBSTITUTE($C$2,
$C$4,INDIRECT(ADDRESS(ROW(A159), $D$4, 1, TRUE, "prepareData"))),
$C$5,INDIRECT(ADDRESS(ROW(A159), $D$5, 1, TRUE, "prepareData"))),
$C$6,INDIRECT(ADDRESS(ROW(A159), $D$6, 1, TRUE, "prepareData"))),
IF(AND(C167&lt;&gt;"",C167&lt;&gt;CHAR(10)&amp;"]"),"",""))
&amp;IF(ROW(C157)&lt;$A$11,","&amp;CHAR(10),"")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IF(INDIRECT(ADDRESS(ROW(A160), $D$4, 1, TRUE, "prepareData"))&lt;&gt;"",
SUBSTITUTE(SUBSTITUTE(SUBSTITUTE($C$2,
$C$4,INDIRECT(ADDRESS(ROW(A160), $D$4, 1, TRUE, "prepareData"))),
$C$5,INDIRECT(ADDRESS(ROW(A160), $D$5, 1, TRUE, "prepareData"))),
$C$6,INDIRECT(ADDRESS(ROW(A160), $D$6, 1, TRUE, "prepareData"))),
IF(AND(C168&lt;&gt;"",C168&lt;&gt;CHAR(10)&amp;"]"),"",""))
&amp;IF(ROW(C158)&lt;$A$11,","&amp;CHAR(10),"")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IF(INDIRECT(ADDRESS(ROW(A161), $D$4, 1, TRUE, "prepareData"))&lt;&gt;"",
SUBSTITUTE(SUBSTITUTE(SUBSTITUTE($C$2,
$C$4,INDIRECT(ADDRESS(ROW(A161), $D$4, 1, TRUE, "prepareData"))),
$C$5,INDIRECT(ADDRESS(ROW(A161), $D$5, 1, TRUE, "prepareData"))),
$C$6,INDIRECT(ADDRESS(ROW(A161), $D$6, 1, TRUE, "prepareData"))),
IF(AND(C169&lt;&gt;"",C169&lt;&gt;CHAR(10)&amp;"]"),"",""))
&amp;IF(ROW(C159)&lt;$A$11,","&amp;CHAR(10),"")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IF(INDIRECT(ADDRESS(ROW(A162), $D$4, 1, TRUE, "prepareData"))&lt;&gt;"",
SUBSTITUTE(SUBSTITUTE(SUBSTITUTE($C$2,
$C$4,INDIRECT(ADDRESS(ROW(A162), $D$4, 1, TRUE, "prepareData"))),
$C$5,INDIRECT(ADDRESS(ROW(A162), $D$5, 1, TRUE, "prepareData"))),
$C$6,INDIRECT(ADDRESS(ROW(A162), $D$6, 1, TRUE, "prepareData"))),
IF(AND(C170&lt;&gt;"",C170&lt;&gt;CHAR(10)&amp;"]"),"",""))
&amp;IF(ROW(C160)&lt;$A$11,","&amp;CHAR(10),"")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IF(INDIRECT(ADDRESS(ROW(A163), $D$4, 1, TRUE, "prepareData"))&lt;&gt;"",
SUBSTITUTE(SUBSTITUTE(SUBSTITUTE($C$2,
$C$4,INDIRECT(ADDRESS(ROW(A163), $D$4, 1, TRUE, "prepareData"))),
$C$5,INDIRECT(ADDRESS(ROW(A163), $D$5, 1, TRUE, "prepareData"))),
$C$6,INDIRECT(ADDRESS(ROW(A163), $D$6, 1, TRUE, "prepareData"))),
IF(AND(C171&lt;&gt;"",C171&lt;&gt;CHAR(10)&amp;"]"),"",""))
&amp;IF(ROW(C161)&lt;$A$11,","&amp;CHAR(10),"")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IF(INDIRECT(ADDRESS(ROW(A164), $D$4, 1, TRUE, "prepareData"))&lt;&gt;"",
SUBSTITUTE(SUBSTITUTE(SUBSTITUTE($C$2,
$C$4,INDIRECT(ADDRESS(ROW(A164), $D$4, 1, TRUE, "prepareData"))),
$C$5,INDIRECT(ADDRESS(ROW(A164), $D$5, 1, TRUE, "prepareData"))),
$C$6,INDIRECT(ADDRESS(ROW(A164), $D$6, 1, TRUE, "prepareData"))),
IF(AND(C172&lt;&gt;"",C172&lt;&gt;CHAR(10)&amp;"]"),"",""))
&amp;IF(ROW(C162)&lt;$A$11,","&amp;CHAR(10),"")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IF(INDIRECT(ADDRESS(ROW(A165), $D$4, 1, TRUE, "prepareData"))&lt;&gt;"",
SUBSTITUTE(SUBSTITUTE(SUBSTITUTE($C$2,
$C$4,INDIRECT(ADDRESS(ROW(A165), $D$4, 1, TRUE, "prepareData"))),
$C$5,INDIRECT(ADDRESS(ROW(A165), $D$5, 1, TRUE, "prepareData"))),
$C$6,INDIRECT(ADDRESS(ROW(A165), $D$6, 1, TRUE, "prepareData"))),
IF(AND(C173&lt;&gt;"",C173&lt;&gt;CHAR(10)&amp;"]"),"",""))
&amp;IF(ROW(C163)&lt;$A$11,","&amp;CHAR(10),"")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IF(INDIRECT(ADDRESS(ROW(A166), $D$4, 1, TRUE, "prepareData"))&lt;&gt;"",
SUBSTITUTE(SUBSTITUTE(SUBSTITUTE($C$2,
$C$4,INDIRECT(ADDRESS(ROW(A166), $D$4, 1, TRUE, "prepareData"))),
$C$5,INDIRECT(ADDRESS(ROW(A166), $D$5, 1, TRUE, "prepareData"))),
$C$6,INDIRECT(ADDRESS(ROW(A166), $D$6, 1, TRUE, "prepareData"))),
IF(AND(C174&lt;&gt;"",C174&lt;&gt;CHAR(10)&amp;"]"),"",""))
&amp;IF(ROW(C164)&lt;$A$11,","&amp;CHAR(10),"")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IF(INDIRECT(ADDRESS(ROW(A167), $D$4, 1, TRUE, "prepareData"))&lt;&gt;"",
SUBSTITUTE(SUBSTITUTE(SUBSTITUTE($C$2,
$C$4,INDIRECT(ADDRESS(ROW(A167), $D$4, 1, TRUE, "prepareData"))),
$C$5,INDIRECT(ADDRESS(ROW(A167), $D$5, 1, TRUE, "prepareData"))),
$C$6,INDIRECT(ADDRESS(ROW(A167), $D$6, 1, TRUE, "prepareData"))),
IF(AND(C175&lt;&gt;"",C175&lt;&gt;CHAR(10)&amp;"]"),"",""))
&amp;IF(ROW(C165)&lt;$A$11,","&amp;CHAR(10),"")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IF(INDIRECT(ADDRESS(ROW(A168), $D$4, 1, TRUE, "prepareData"))&lt;&gt;"",
SUBSTITUTE(SUBSTITUTE(SUBSTITUTE($C$2,
$C$4,INDIRECT(ADDRESS(ROW(A168), $D$4, 1, TRUE, "prepareData"))),
$C$5,INDIRECT(ADDRESS(ROW(A168), $D$5, 1, TRUE, "prepareData"))),
$C$6,INDIRECT(ADDRESS(ROW(A168), $D$6, 1, TRUE, "prepareData"))),
IF(AND(C176&lt;&gt;"",C176&lt;&gt;CHAR(10)&amp;"]"),"",""))
&amp;IF(ROW(C166)&lt;$A$11,","&amp;CHAR(10),"")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IF(INDIRECT(ADDRESS(ROW(A169), $D$4, 1, TRUE, "prepareData"))&lt;&gt;"",
SUBSTITUTE(SUBSTITUTE(SUBSTITUTE($C$2,
$C$4,INDIRECT(ADDRESS(ROW(A169), $D$4, 1, TRUE, "prepareData"))),
$C$5,INDIRECT(ADDRESS(ROW(A169), $D$5, 1, TRUE, "prepareData"))),
$C$6,INDIRECT(ADDRESS(ROW(A169), $D$6, 1, TRUE, "prepareData"))),
IF(AND(C177&lt;&gt;"",C177&lt;&gt;CHAR(10)&amp;"]"),"",""))
&amp;IF(ROW(C167)&lt;$A$11,","&amp;CHAR(10),"")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IF(INDIRECT(ADDRESS(ROW(A170), $D$4, 1, TRUE, "prepareData"))&lt;&gt;"",
SUBSTITUTE(SUBSTITUTE(SUBSTITUTE($C$2,
$C$4,INDIRECT(ADDRESS(ROW(A170), $D$4, 1, TRUE, "prepareData"))),
$C$5,INDIRECT(ADDRESS(ROW(A170), $D$5, 1, TRUE, "prepareData"))),
$C$6,INDIRECT(ADDRESS(ROW(A170), $D$6, 1, TRUE, "prepareData"))),
IF(AND(C178&lt;&gt;"",C178&lt;&gt;CHAR(10)&amp;"]"),"",""))
&amp;IF(ROW(C168)&lt;$A$11,","&amp;CHAR(10),"")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IF(INDIRECT(ADDRESS(ROW(A171), $D$4, 1, TRUE, "prepareData"))&lt;&gt;"",
SUBSTITUTE(SUBSTITUTE(SUBSTITUTE($C$2,
$C$4,INDIRECT(ADDRESS(ROW(A171), $D$4, 1, TRUE, "prepareData"))),
$C$5,INDIRECT(ADDRESS(ROW(A171), $D$5, 1, TRUE, "prepareData"))),
$C$6,INDIRECT(ADDRESS(ROW(A171), $D$6, 1, TRUE, "prepareData"))),
IF(AND(C179&lt;&gt;"",C179&lt;&gt;CHAR(10)&amp;"]"),"",""))
&amp;IF(ROW(C169)&lt;$A$11,","&amp;CHAR(10),"")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IF(INDIRECT(ADDRESS(ROW(A172), $D$4, 1, TRUE, "prepareData"))&lt;&gt;"",
SUBSTITUTE(SUBSTITUTE(SUBSTITUTE($C$2,
$C$4,INDIRECT(ADDRESS(ROW(A172), $D$4, 1, TRUE, "prepareData"))),
$C$5,INDIRECT(ADDRESS(ROW(A172), $D$5, 1, TRUE, "prepareData"))),
$C$6,INDIRECT(ADDRESS(ROW(A172), $D$6, 1, TRUE, "prepareData"))),
IF(AND(C180&lt;&gt;"",C180&lt;&gt;CHAR(10)&amp;"]"),"",""))
&amp;IF(ROW(C170)&lt;$A$11,","&amp;CHAR(10),"")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IF(INDIRECT(ADDRESS(ROW(A173), $D$4, 1, TRUE, "prepareData"))&lt;&gt;"",
SUBSTITUTE(SUBSTITUTE(SUBSTITUTE($C$2,
$C$4,INDIRECT(ADDRESS(ROW(A173), $D$4, 1, TRUE, "prepareData"))),
$C$5,INDIRECT(ADDRESS(ROW(A173), $D$5, 1, TRUE, "prepareData"))),
$C$6,INDIRECT(ADDRESS(ROW(A173), $D$6, 1, TRUE, "prepareData"))),
IF(AND(C181&lt;&gt;"",C181&lt;&gt;CHAR(10)&amp;"]"),"",""))
&amp;IF(ROW(C171)&lt;$A$11,","&amp;CHAR(10),"")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IF(INDIRECT(ADDRESS(ROW(A174), $D$4, 1, TRUE, "prepareData"))&lt;&gt;"",
SUBSTITUTE(SUBSTITUTE(SUBSTITUTE($C$2,
$C$4,INDIRECT(ADDRESS(ROW(A174), $D$4, 1, TRUE, "prepareData"))),
$C$5,INDIRECT(ADDRESS(ROW(A174), $D$5, 1, TRUE, "prepareData"))),
$C$6,INDIRECT(ADDRESS(ROW(A174), $D$6, 1, TRUE, "prepareData"))),
IF(AND(C182&lt;&gt;"",C182&lt;&gt;CHAR(10)&amp;"]"),"",""))
&amp;IF(ROW(C172)&lt;$A$11,","&amp;CHAR(10),"")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IF(INDIRECT(ADDRESS(ROW(A175), $D$4, 1, TRUE, "prepareData"))&lt;&gt;"",
SUBSTITUTE(SUBSTITUTE(SUBSTITUTE($C$2,
$C$4,INDIRECT(ADDRESS(ROW(A175), $D$4, 1, TRUE, "prepareData"))),
$C$5,INDIRECT(ADDRESS(ROW(A175), $D$5, 1, TRUE, "prepareData"))),
$C$6,INDIRECT(ADDRESS(ROW(A175), $D$6, 1, TRUE, "prepareData"))),
IF(AND(C183&lt;&gt;"",C183&lt;&gt;CHAR(10)&amp;"]"),"",""))
&amp;IF(ROW(C173)&lt;$A$11,","&amp;CHAR(10),"")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IF(INDIRECT(ADDRESS(ROW(A176), $D$4, 1, TRUE, "prepareData"))&lt;&gt;"",
SUBSTITUTE(SUBSTITUTE(SUBSTITUTE($C$2,
$C$4,INDIRECT(ADDRESS(ROW(A176), $D$4, 1, TRUE, "prepareData"))),
$C$5,INDIRECT(ADDRESS(ROW(A176), $D$5, 1, TRUE, "prepareData"))),
$C$6,INDIRECT(ADDRESS(ROW(A176), $D$6, 1, TRUE, "prepareData"))),
IF(AND(C184&lt;&gt;"",C184&lt;&gt;CHAR(10)&amp;"]"),"",""))
&amp;IF(ROW(C174)&lt;$A$11,","&amp;CHAR(10),"")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IF(INDIRECT(ADDRESS(ROW(A177), $D$4, 1, TRUE, "prepareData"))&lt;&gt;"",
SUBSTITUTE(SUBSTITUTE(SUBSTITUTE($C$2,
$C$4,INDIRECT(ADDRESS(ROW(A177), $D$4, 1, TRUE, "prepareData"))),
$C$5,INDIRECT(ADDRESS(ROW(A177), $D$5, 1, TRUE, "prepareData"))),
$C$6,INDIRECT(ADDRESS(ROW(A177), $D$6, 1, TRUE, "prepareData"))),
IF(AND(C185&lt;&gt;"",C185&lt;&gt;CHAR(10)&amp;"]"),"",""))
&amp;IF(ROW(C175)&lt;$A$11,","&amp;CHAR(10),"")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IF(INDIRECT(ADDRESS(ROW(A178), $D$4, 1, TRUE, "prepareData"))&lt;&gt;"",
SUBSTITUTE(SUBSTITUTE(SUBSTITUTE($C$2,
$C$4,INDIRECT(ADDRESS(ROW(A178), $D$4, 1, TRUE, "prepareData"))),
$C$5,INDIRECT(ADDRESS(ROW(A178), $D$5, 1, TRUE, "prepareData"))),
$C$6,INDIRECT(ADDRESS(ROW(A178), $D$6, 1, TRUE, "prepareData"))),
IF(AND(C186&lt;&gt;"",C186&lt;&gt;CHAR(10)&amp;"]"),"",""))
&amp;IF(ROW(C176)&lt;$A$11,","&amp;CHAR(10),"")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IF(INDIRECT(ADDRESS(ROW(A179), $D$4, 1, TRUE, "prepareData"))&lt;&gt;"",
SUBSTITUTE(SUBSTITUTE(SUBSTITUTE($C$2,
$C$4,INDIRECT(ADDRESS(ROW(A179), $D$4, 1, TRUE, "prepareData"))),
$C$5,INDIRECT(ADDRESS(ROW(A179), $D$5, 1, TRUE, "prepareData"))),
$C$6,INDIRECT(ADDRESS(ROW(A179), $D$6, 1, TRUE, "prepareData"))),
IF(AND(C187&lt;&gt;"",C187&lt;&gt;CHAR(10)&amp;"]"),"",""))
&amp;IF(ROW(C177)&lt;$A$11,","&amp;CHAR(10),"")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IF(INDIRECT(ADDRESS(ROW(A180), $D$4, 1, TRUE, "prepareData"))&lt;&gt;"",
SUBSTITUTE(SUBSTITUTE(SUBSTITUTE($C$2,
$C$4,INDIRECT(ADDRESS(ROW(A180), $D$4, 1, TRUE, "prepareData"))),
$C$5,INDIRECT(ADDRESS(ROW(A180), $D$5, 1, TRUE, "prepareData"))),
$C$6,INDIRECT(ADDRESS(ROW(A180), $D$6, 1, TRUE, "prepareData"))),
IF(AND(C188&lt;&gt;"",C188&lt;&gt;CHAR(10)&amp;"]"),"",""))
&amp;IF(ROW(C178)&lt;$A$11,","&amp;CHAR(10),"")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IF(INDIRECT(ADDRESS(ROW(A181), $D$4, 1, TRUE, "prepareData"))&lt;&gt;"",
SUBSTITUTE(SUBSTITUTE(SUBSTITUTE($C$2,
$C$4,INDIRECT(ADDRESS(ROW(A181), $D$4, 1, TRUE, "prepareData"))),
$C$5,INDIRECT(ADDRESS(ROW(A181), $D$5, 1, TRUE, "prepareData"))),
$C$6,INDIRECT(ADDRESS(ROW(A181), $D$6, 1, TRUE, "prepareData"))),
IF(AND(C189&lt;&gt;"",C189&lt;&gt;CHAR(10)&amp;"]"),"",""))
&amp;IF(ROW(C179)&lt;$A$11,","&amp;CHAR(10),"")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IF(INDIRECT(ADDRESS(ROW(A182), $D$4, 1, TRUE, "prepareData"))&lt;&gt;"",
SUBSTITUTE(SUBSTITUTE(SUBSTITUTE($C$2,
$C$4,INDIRECT(ADDRESS(ROW(A182), $D$4, 1, TRUE, "prepareData"))),
$C$5,INDIRECT(ADDRESS(ROW(A182), $D$5, 1, TRUE, "prepareData"))),
$C$6,INDIRECT(ADDRESS(ROW(A182), $D$6, 1, TRUE, "prepareData"))),
IF(AND(C190&lt;&gt;"",C190&lt;&gt;CHAR(10)&amp;"]"),"",""))
&amp;IF(ROW(C180)&lt;$A$11,","&amp;CHAR(10),"")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IF(INDIRECT(ADDRESS(ROW(A183), $D$4, 1, TRUE, "prepareData"))&lt;&gt;"",
SUBSTITUTE(SUBSTITUTE(SUBSTITUTE($C$2,
$C$4,INDIRECT(ADDRESS(ROW(A183), $D$4, 1, TRUE, "prepareData"))),
$C$5,INDIRECT(ADDRESS(ROW(A183), $D$5, 1, TRUE, "prepareData"))),
$C$6,INDIRECT(ADDRESS(ROW(A183), $D$6, 1, TRUE, "prepareData"))),
IF(AND(C191&lt;&gt;"",C191&lt;&gt;CHAR(10)&amp;"]"),"",""))
&amp;IF(ROW(C181)&lt;$A$11,","&amp;CHAR(10),"")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IF(INDIRECT(ADDRESS(ROW(A184), $D$4, 1, TRUE, "prepareData"))&lt;&gt;"",
SUBSTITUTE(SUBSTITUTE(SUBSTITUTE($C$2,
$C$4,INDIRECT(ADDRESS(ROW(A184), $D$4, 1, TRUE, "prepareData"))),
$C$5,INDIRECT(ADDRESS(ROW(A184), $D$5, 1, TRUE, "prepareData"))),
$C$6,INDIRECT(ADDRESS(ROW(A184), $D$6, 1, TRUE, "prepareData"))),
IF(AND(C192&lt;&gt;"",C192&lt;&gt;CHAR(10)&amp;"]"),"",""))
&amp;IF(ROW(C182)&lt;$A$11,","&amp;CHAR(10),"")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IF(INDIRECT(ADDRESS(ROW(A185), $D$4, 1, TRUE, "prepareData"))&lt;&gt;"",
SUBSTITUTE(SUBSTITUTE(SUBSTITUTE($C$2,
$C$4,INDIRECT(ADDRESS(ROW(A185), $D$4, 1, TRUE, "prepareData"))),
$C$5,INDIRECT(ADDRESS(ROW(A185), $D$5, 1, TRUE, "prepareData"))),
$C$6,INDIRECT(ADDRESS(ROW(A185), $D$6, 1, TRUE, "prepareData"))),
IF(AND(C193&lt;&gt;"",C193&lt;&gt;CHAR(10)&amp;"]"),"",""))
&amp;IF(ROW(C183)&lt;$A$11,","&amp;CHAR(10),"")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IF(INDIRECT(ADDRESS(ROW(A186), $D$4, 1, TRUE, "prepareData"))&lt;&gt;"",
SUBSTITUTE(SUBSTITUTE(SUBSTITUTE($C$2,
$C$4,INDIRECT(ADDRESS(ROW(A186), $D$4, 1, TRUE, "prepareData"))),
$C$5,INDIRECT(ADDRESS(ROW(A186), $D$5, 1, TRUE, "prepareData"))),
$C$6,INDIRECT(ADDRESS(ROW(A186), $D$6, 1, TRUE, "prepareData"))),
IF(AND(C194&lt;&gt;"",C194&lt;&gt;CHAR(10)&amp;"]"),"",""))
&amp;IF(ROW(C184)&lt;$A$11,","&amp;CHAR(10),"")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IF(INDIRECT(ADDRESS(ROW(A187), $D$4, 1, TRUE, "prepareData"))&lt;&gt;"",
SUBSTITUTE(SUBSTITUTE(SUBSTITUTE($C$2,
$C$4,INDIRECT(ADDRESS(ROW(A187), $D$4, 1, TRUE, "prepareData"))),
$C$5,INDIRECT(ADDRESS(ROW(A187), $D$5, 1, TRUE, "prepareData"))),
$C$6,INDIRECT(ADDRESS(ROW(A187), $D$6, 1, TRUE, "prepareData"))),
IF(AND(C195&lt;&gt;"",C195&lt;&gt;CHAR(10)&amp;"]"),"",""))
&amp;IF(ROW(C185)&lt;$A$11,","&amp;CHAR(10),"")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IF(INDIRECT(ADDRESS(ROW(A188), $D$4, 1, TRUE, "prepareData"))&lt;&gt;"",
SUBSTITUTE(SUBSTITUTE(SUBSTITUTE($C$2,
$C$4,INDIRECT(ADDRESS(ROW(A188), $D$4, 1, TRUE, "prepareData"))),
$C$5,INDIRECT(ADDRESS(ROW(A188), $D$5, 1, TRUE, "prepareData"))),
$C$6,INDIRECT(ADDRESS(ROW(A188), $D$6, 1, TRUE, "prepareData"))),
IF(AND(C196&lt;&gt;"",C196&lt;&gt;CHAR(10)&amp;"]"),"",""))
&amp;IF(ROW(C186)&lt;$A$11,","&amp;CHAR(10),"")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IF(INDIRECT(ADDRESS(ROW(A189), $D$4, 1, TRUE, "prepareData"))&lt;&gt;"",
SUBSTITUTE(SUBSTITUTE(SUBSTITUTE($C$2,
$C$4,INDIRECT(ADDRESS(ROW(A189), $D$4, 1, TRUE, "prepareData"))),
$C$5,INDIRECT(ADDRESS(ROW(A189), $D$5, 1, TRUE, "prepareData"))),
$C$6,INDIRECT(ADDRESS(ROW(A189), $D$6, 1, TRUE, "prepareData"))),
IF(AND(C197&lt;&gt;"",C197&lt;&gt;CHAR(10)&amp;"]"),"",""))
&amp;IF(ROW(C187)&lt;$A$11,","&amp;CHAR(10),"")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IF(INDIRECT(ADDRESS(ROW(A190), $D$4, 1, TRUE, "prepareData"))&lt;&gt;"",
SUBSTITUTE(SUBSTITUTE(SUBSTITUTE($C$2,
$C$4,INDIRECT(ADDRESS(ROW(A190), $D$4, 1, TRUE, "prepareData"))),
$C$5,INDIRECT(ADDRESS(ROW(A190), $D$5, 1, TRUE, "prepareData"))),
$C$6,INDIRECT(ADDRESS(ROW(A190), $D$6, 1, TRUE, "prepareData"))),
IF(AND(C198&lt;&gt;"",C198&lt;&gt;CHAR(10)&amp;"]"),"",""))
&amp;IF(ROW(C188)&lt;$A$11,","&amp;CHAR(10),"")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IF(INDIRECT(ADDRESS(ROW(A191), $D$4, 1, TRUE, "prepareData"))&lt;&gt;"",
SUBSTITUTE(SUBSTITUTE(SUBSTITUTE($C$2,
$C$4,INDIRECT(ADDRESS(ROW(A191), $D$4, 1, TRUE, "prepareData"))),
$C$5,INDIRECT(ADDRESS(ROW(A191), $D$5, 1, TRUE, "prepareData"))),
$C$6,INDIRECT(ADDRESS(ROW(A191), $D$6, 1, TRUE, "prepareData"))),
IF(AND(C199&lt;&gt;"",C199&lt;&gt;CHAR(10)&amp;"]"),"",""))
&amp;IF(ROW(C189)&lt;$A$11,","&amp;CHAR(10),"")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3819E-6C0A-471A-9489-4A7CFA1E10BF}">
  <sheetPr codeName="Sheet5"/>
  <dimension ref="B2:B4"/>
  <sheetViews>
    <sheetView tabSelected="1" zoomScale="70" zoomScaleNormal="70" workbookViewId="0">
      <selection activeCell="B12" sqref="B12"/>
    </sheetView>
  </sheetViews>
  <sheetFormatPr defaultRowHeight="18.75" x14ac:dyDescent="0.4"/>
  <cols>
    <col min="2" max="2" width="46" customWidth="1"/>
  </cols>
  <sheetData>
    <row r="2" spans="2:2" x14ac:dyDescent="0.4">
      <c r="B2" t="str">
        <f>CHAR(10)</f>
        <v xml:space="preserve">
</v>
      </c>
    </row>
    <row r="3" spans="2:2" x14ac:dyDescent="0.4">
      <c r="B3" t="str">
        <f>CHAR(10)</f>
        <v xml:space="preserve">
</v>
      </c>
    </row>
    <row r="4" spans="2:2" x14ac:dyDescent="0.4">
      <c r="B4" t="str">
        <f ca="1">"""lastUpdate"":"""&amp;TEXT(NOW(),"yyyy/m/d hh:mm")&amp;"""}"</f>
        <v>"lastUpdate":"2023/1/25 20:20"}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makeText">
                <anchor moveWithCells="1" sizeWithCells="1">
                  <from>
                    <xdr:col>2</xdr:col>
                    <xdr:colOff>628650</xdr:colOff>
                    <xdr:row>2</xdr:row>
                    <xdr:rowOff>104775</xdr:rowOff>
                  </from>
                  <to>
                    <xdr:col>7</xdr:col>
                    <xdr:colOff>285750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merge">
                <anchor moveWithCells="1" sizeWithCells="1">
                  <from>
                    <xdr:col>8</xdr:col>
                    <xdr:colOff>333375</xdr:colOff>
                    <xdr:row>2</xdr:row>
                    <xdr:rowOff>142875</xdr:rowOff>
                  </from>
                  <to>
                    <xdr:col>12</xdr:col>
                    <xdr:colOff>161925</xdr:colOff>
                    <xdr:row>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731AD-74DD-4BE0-B732-4F4E4F5D9734}">
  <sheetPr codeName="Sheet6"/>
  <dimension ref="B2:F127"/>
  <sheetViews>
    <sheetView workbookViewId="0">
      <pane ySplit="3" topLeftCell="A112" activePane="bottomLeft" state="frozen"/>
      <selection activeCell="E20" sqref="E20"/>
      <selection pane="bottomLeft" activeCell="F126" sqref="F126"/>
    </sheetView>
  </sheetViews>
  <sheetFormatPr defaultRowHeight="18.75" x14ac:dyDescent="0.4"/>
  <cols>
    <col min="2" max="2" width="26.875" customWidth="1"/>
    <col min="5" max="5" width="32.125" customWidth="1"/>
  </cols>
  <sheetData>
    <row r="2" spans="2:6" x14ac:dyDescent="0.4">
      <c r="B2" t="s">
        <v>51</v>
      </c>
      <c r="E2" t="s">
        <v>52</v>
      </c>
    </row>
    <row r="3" spans="2:6" x14ac:dyDescent="0.4">
      <c r="B3" s="28" t="s">
        <v>22</v>
      </c>
      <c r="C3" s="28" t="s">
        <v>20</v>
      </c>
      <c r="E3" s="28" t="s">
        <v>22</v>
      </c>
      <c r="F3" s="28" t="s">
        <v>20</v>
      </c>
    </row>
    <row r="4" spans="2:6" x14ac:dyDescent="0.4">
      <c r="B4" t="s">
        <v>68</v>
      </c>
      <c r="C4" t="s">
        <v>69</v>
      </c>
      <c r="E4" t="s">
        <v>54</v>
      </c>
      <c r="F4" t="s">
        <v>63</v>
      </c>
    </row>
    <row r="5" spans="2:6" x14ac:dyDescent="0.4">
      <c r="B5" t="s">
        <v>58</v>
      </c>
      <c r="C5" t="s">
        <v>70</v>
      </c>
      <c r="E5" t="s">
        <v>53</v>
      </c>
      <c r="F5" t="s">
        <v>67</v>
      </c>
    </row>
    <row r="6" spans="2:6" x14ac:dyDescent="0.4">
      <c r="B6" t="s">
        <v>61</v>
      </c>
      <c r="C6" t="s">
        <v>71</v>
      </c>
      <c r="E6" s="22" t="s">
        <v>55</v>
      </c>
      <c r="F6" t="s">
        <v>64</v>
      </c>
    </row>
    <row r="7" spans="2:6" x14ac:dyDescent="0.4">
      <c r="B7" t="s">
        <v>62</v>
      </c>
      <c r="C7" t="s">
        <v>72</v>
      </c>
      <c r="E7" t="s">
        <v>56</v>
      </c>
      <c r="F7" t="s">
        <v>66</v>
      </c>
    </row>
    <row r="8" spans="2:6" x14ac:dyDescent="0.4">
      <c r="B8" t="s">
        <v>73</v>
      </c>
      <c r="C8" t="s">
        <v>75</v>
      </c>
      <c r="E8" t="s">
        <v>57</v>
      </c>
      <c r="F8" t="s">
        <v>65</v>
      </c>
    </row>
    <row r="9" spans="2:6" x14ac:dyDescent="0.4">
      <c r="B9" t="s">
        <v>74</v>
      </c>
      <c r="C9" t="s">
        <v>76</v>
      </c>
      <c r="E9" t="s">
        <v>59</v>
      </c>
      <c r="F9" t="s">
        <v>60</v>
      </c>
    </row>
    <row r="10" spans="2:6" x14ac:dyDescent="0.4">
      <c r="B10" t="s">
        <v>79</v>
      </c>
      <c r="C10" t="s">
        <v>80</v>
      </c>
      <c r="E10" t="s">
        <v>77</v>
      </c>
      <c r="F10" t="s">
        <v>78</v>
      </c>
    </row>
    <row r="11" spans="2:6" x14ac:dyDescent="0.4">
      <c r="B11" t="s">
        <v>81</v>
      </c>
      <c r="C11" t="s">
        <v>83</v>
      </c>
      <c r="E11" t="s">
        <v>85</v>
      </c>
      <c r="F11" t="s">
        <v>86</v>
      </c>
    </row>
    <row r="12" spans="2:6" x14ac:dyDescent="0.4">
      <c r="B12" t="s">
        <v>82</v>
      </c>
      <c r="C12" t="s">
        <v>84</v>
      </c>
      <c r="E12" t="s">
        <v>106</v>
      </c>
      <c r="F12" t="s">
        <v>105</v>
      </c>
    </row>
    <row r="13" spans="2:6" x14ac:dyDescent="0.4">
      <c r="B13" t="s">
        <v>87</v>
      </c>
      <c r="C13" t="s">
        <v>91</v>
      </c>
      <c r="E13" t="s">
        <v>113</v>
      </c>
      <c r="F13" t="s">
        <v>114</v>
      </c>
    </row>
    <row r="14" spans="2:6" x14ac:dyDescent="0.4">
      <c r="B14" t="s">
        <v>88</v>
      </c>
      <c r="C14" t="s">
        <v>92</v>
      </c>
      <c r="E14" t="s">
        <v>119</v>
      </c>
      <c r="F14" t="s">
        <v>122</v>
      </c>
    </row>
    <row r="15" spans="2:6" x14ac:dyDescent="0.4">
      <c r="B15" t="s">
        <v>89</v>
      </c>
      <c r="C15" t="s">
        <v>93</v>
      </c>
      <c r="E15" t="s">
        <v>120</v>
      </c>
      <c r="F15" t="s">
        <v>123</v>
      </c>
    </row>
    <row r="16" spans="2:6" x14ac:dyDescent="0.4">
      <c r="B16" t="s">
        <v>90</v>
      </c>
      <c r="C16" t="s">
        <v>94</v>
      </c>
      <c r="E16" t="s">
        <v>121</v>
      </c>
      <c r="F16" t="s">
        <v>124</v>
      </c>
    </row>
    <row r="17" spans="2:6" x14ac:dyDescent="0.4">
      <c r="B17" t="s">
        <v>95</v>
      </c>
      <c r="C17" t="s">
        <v>100</v>
      </c>
      <c r="E17" t="s">
        <v>134</v>
      </c>
      <c r="F17" t="s">
        <v>135</v>
      </c>
    </row>
    <row r="18" spans="2:6" x14ac:dyDescent="0.4">
      <c r="B18" t="s">
        <v>96</v>
      </c>
      <c r="C18" t="s">
        <v>101</v>
      </c>
      <c r="E18" t="s">
        <v>136</v>
      </c>
      <c r="F18" t="s">
        <v>137</v>
      </c>
    </row>
    <row r="19" spans="2:6" x14ac:dyDescent="0.4">
      <c r="B19" t="s">
        <v>97</v>
      </c>
      <c r="C19" t="s">
        <v>102</v>
      </c>
      <c r="E19" t="s">
        <v>145</v>
      </c>
      <c r="F19" t="s">
        <v>146</v>
      </c>
    </row>
    <row r="20" spans="2:6" x14ac:dyDescent="0.4">
      <c r="B20" t="s">
        <v>98</v>
      </c>
      <c r="C20" t="s">
        <v>103</v>
      </c>
      <c r="E20" t="s">
        <v>147</v>
      </c>
      <c r="F20" t="s">
        <v>148</v>
      </c>
    </row>
    <row r="21" spans="2:6" x14ac:dyDescent="0.4">
      <c r="B21" t="s">
        <v>99</v>
      </c>
      <c r="C21" t="s">
        <v>104</v>
      </c>
      <c r="E21" t="s">
        <v>161</v>
      </c>
      <c r="F21" t="s">
        <v>162</v>
      </c>
    </row>
    <row r="22" spans="2:6" x14ac:dyDescent="0.4">
      <c r="B22" t="s">
        <v>107</v>
      </c>
      <c r="C22" t="s">
        <v>110</v>
      </c>
      <c r="E22" t="s">
        <v>171</v>
      </c>
      <c r="F22" t="s">
        <v>169</v>
      </c>
    </row>
    <row r="23" spans="2:6" x14ac:dyDescent="0.4">
      <c r="B23" t="s">
        <v>108</v>
      </c>
      <c r="C23" t="s">
        <v>111</v>
      </c>
      <c r="E23" t="s">
        <v>172</v>
      </c>
      <c r="F23" t="s">
        <v>170</v>
      </c>
    </row>
    <row r="24" spans="2:6" x14ac:dyDescent="0.4">
      <c r="B24" t="s">
        <v>109</v>
      </c>
      <c r="C24" t="s">
        <v>112</v>
      </c>
      <c r="E24" t="s">
        <v>173</v>
      </c>
      <c r="F24" t="s">
        <v>174</v>
      </c>
    </row>
    <row r="25" spans="2:6" x14ac:dyDescent="0.4">
      <c r="B25" t="s">
        <v>115</v>
      </c>
      <c r="C25" t="s">
        <v>116</v>
      </c>
      <c r="E25" t="s">
        <v>181</v>
      </c>
      <c r="F25" t="s">
        <v>182</v>
      </c>
    </row>
    <row r="26" spans="2:6" x14ac:dyDescent="0.4">
      <c r="B26" t="s">
        <v>117</v>
      </c>
      <c r="C26" t="s">
        <v>118</v>
      </c>
      <c r="E26" t="s">
        <v>184</v>
      </c>
      <c r="F26" t="s">
        <v>183</v>
      </c>
    </row>
    <row r="27" spans="2:6" x14ac:dyDescent="0.4">
      <c r="B27" t="s">
        <v>125</v>
      </c>
      <c r="C27" t="s">
        <v>126</v>
      </c>
      <c r="E27" t="s">
        <v>195</v>
      </c>
      <c r="F27" t="s">
        <v>196</v>
      </c>
    </row>
    <row r="28" spans="2:6" x14ac:dyDescent="0.4">
      <c r="B28" t="s">
        <v>127</v>
      </c>
      <c r="C28" t="s">
        <v>130</v>
      </c>
      <c r="E28" t="s">
        <v>197</v>
      </c>
      <c r="F28" t="s">
        <v>198</v>
      </c>
    </row>
    <row r="29" spans="2:6" x14ac:dyDescent="0.4">
      <c r="B29" t="s">
        <v>128</v>
      </c>
      <c r="C29" t="s">
        <v>131</v>
      </c>
      <c r="E29" t="s">
        <v>199</v>
      </c>
      <c r="F29" t="s">
        <v>200</v>
      </c>
    </row>
    <row r="30" spans="2:6" x14ac:dyDescent="0.4">
      <c r="B30" t="s">
        <v>129</v>
      </c>
      <c r="C30" t="s">
        <v>132</v>
      </c>
      <c r="E30" t="s">
        <v>202</v>
      </c>
      <c r="F30" t="s">
        <v>203</v>
      </c>
    </row>
    <row r="31" spans="2:6" x14ac:dyDescent="0.4">
      <c r="B31" t="s">
        <v>133</v>
      </c>
      <c r="C31" t="s">
        <v>138</v>
      </c>
      <c r="E31" t="s">
        <v>205</v>
      </c>
      <c r="F31" t="s">
        <v>206</v>
      </c>
    </row>
    <row r="32" spans="2:6" x14ac:dyDescent="0.4">
      <c r="B32" t="s">
        <v>139</v>
      </c>
      <c r="C32" t="s">
        <v>142</v>
      </c>
      <c r="E32" t="s">
        <v>209</v>
      </c>
      <c r="F32" t="s">
        <v>210</v>
      </c>
    </row>
    <row r="33" spans="2:6" x14ac:dyDescent="0.4">
      <c r="B33" t="s">
        <v>140</v>
      </c>
      <c r="C33" t="s">
        <v>143</v>
      </c>
      <c r="E33" t="s">
        <v>241</v>
      </c>
      <c r="F33" t="s">
        <v>242</v>
      </c>
    </row>
    <row r="34" spans="2:6" x14ac:dyDescent="0.4">
      <c r="B34" t="s">
        <v>141</v>
      </c>
      <c r="C34" t="s">
        <v>144</v>
      </c>
      <c r="E34" t="s">
        <v>247</v>
      </c>
      <c r="F34" t="s">
        <v>248</v>
      </c>
    </row>
    <row r="35" spans="2:6" x14ac:dyDescent="0.4">
      <c r="B35" t="s">
        <v>149</v>
      </c>
      <c r="C35" t="s">
        <v>150</v>
      </c>
      <c r="E35" t="s">
        <v>249</v>
      </c>
      <c r="F35" t="s">
        <v>250</v>
      </c>
    </row>
    <row r="36" spans="2:6" x14ac:dyDescent="0.4">
      <c r="B36" t="s">
        <v>151</v>
      </c>
      <c r="C36" t="s">
        <v>153</v>
      </c>
      <c r="E36" t="s">
        <v>254</v>
      </c>
      <c r="F36" t="s">
        <v>253</v>
      </c>
    </row>
    <row r="37" spans="2:6" x14ac:dyDescent="0.4">
      <c r="B37" t="s">
        <v>152</v>
      </c>
      <c r="C37" t="s">
        <v>154</v>
      </c>
      <c r="E37" t="s">
        <v>255</v>
      </c>
      <c r="F37" t="s">
        <v>256</v>
      </c>
    </row>
    <row r="38" spans="2:6" x14ac:dyDescent="0.4">
      <c r="B38" t="s">
        <v>155</v>
      </c>
      <c r="C38" t="s">
        <v>158</v>
      </c>
      <c r="E38" t="s">
        <v>261</v>
      </c>
      <c r="F38" t="s">
        <v>262</v>
      </c>
    </row>
    <row r="39" spans="2:6" x14ac:dyDescent="0.4">
      <c r="B39" t="s">
        <v>156</v>
      </c>
      <c r="C39" t="s">
        <v>159</v>
      </c>
      <c r="E39" t="s">
        <v>263</v>
      </c>
      <c r="F39" t="s">
        <v>264</v>
      </c>
    </row>
    <row r="40" spans="2:6" x14ac:dyDescent="0.4">
      <c r="B40" t="s">
        <v>157</v>
      </c>
      <c r="C40" t="s">
        <v>160</v>
      </c>
      <c r="E40" t="s">
        <v>265</v>
      </c>
      <c r="F40" t="s">
        <v>266</v>
      </c>
    </row>
    <row r="41" spans="2:6" x14ac:dyDescent="0.4">
      <c r="B41" t="s">
        <v>163</v>
      </c>
      <c r="C41" t="s">
        <v>165</v>
      </c>
      <c r="E41" t="s">
        <v>268</v>
      </c>
      <c r="F41" t="s">
        <v>267</v>
      </c>
    </row>
    <row r="42" spans="2:6" x14ac:dyDescent="0.4">
      <c r="B42" t="s">
        <v>164</v>
      </c>
      <c r="C42" t="s">
        <v>166</v>
      </c>
      <c r="E42" t="s">
        <v>269</v>
      </c>
      <c r="F42" t="s">
        <v>270</v>
      </c>
    </row>
    <row r="43" spans="2:6" x14ac:dyDescent="0.4">
      <c r="B43" t="s">
        <v>167</v>
      </c>
      <c r="C43" t="s">
        <v>168</v>
      </c>
      <c r="E43" t="s">
        <v>271</v>
      </c>
      <c r="F43" t="s">
        <v>272</v>
      </c>
    </row>
    <row r="44" spans="2:6" x14ac:dyDescent="0.4">
      <c r="B44" t="s">
        <v>175</v>
      </c>
      <c r="C44" t="s">
        <v>176</v>
      </c>
      <c r="E44" t="s">
        <v>273</v>
      </c>
      <c r="F44" t="s">
        <v>274</v>
      </c>
    </row>
    <row r="45" spans="2:6" x14ac:dyDescent="0.4">
      <c r="B45" t="s">
        <v>177</v>
      </c>
      <c r="C45" t="s">
        <v>179</v>
      </c>
      <c r="E45" t="s">
        <v>275</v>
      </c>
      <c r="F45" t="s">
        <v>276</v>
      </c>
    </row>
    <row r="46" spans="2:6" x14ac:dyDescent="0.4">
      <c r="B46" t="s">
        <v>178</v>
      </c>
      <c r="C46" t="s">
        <v>180</v>
      </c>
      <c r="E46" t="s">
        <v>278</v>
      </c>
      <c r="F46" t="s">
        <v>277</v>
      </c>
    </row>
    <row r="47" spans="2:6" x14ac:dyDescent="0.4">
      <c r="B47" t="s">
        <v>185</v>
      </c>
      <c r="C47" t="s">
        <v>188</v>
      </c>
      <c r="E47" t="s">
        <v>279</v>
      </c>
      <c r="F47" t="s">
        <v>280</v>
      </c>
    </row>
    <row r="48" spans="2:6" x14ac:dyDescent="0.4">
      <c r="B48" t="s">
        <v>186</v>
      </c>
      <c r="C48" t="s">
        <v>189</v>
      </c>
      <c r="E48" t="s">
        <v>281</v>
      </c>
      <c r="F48" t="s">
        <v>282</v>
      </c>
    </row>
    <row r="49" spans="2:6" x14ac:dyDescent="0.4">
      <c r="B49" t="s">
        <v>187</v>
      </c>
      <c r="C49" t="s">
        <v>190</v>
      </c>
      <c r="E49" t="s">
        <v>283</v>
      </c>
      <c r="F49" t="s">
        <v>284</v>
      </c>
    </row>
    <row r="50" spans="2:6" x14ac:dyDescent="0.4">
      <c r="B50" t="s">
        <v>191</v>
      </c>
      <c r="C50" t="s">
        <v>193</v>
      </c>
      <c r="E50" t="s">
        <v>285</v>
      </c>
      <c r="F50" t="s">
        <v>286</v>
      </c>
    </row>
    <row r="51" spans="2:6" x14ac:dyDescent="0.4">
      <c r="B51" t="s">
        <v>192</v>
      </c>
      <c r="C51" t="s">
        <v>194</v>
      </c>
      <c r="E51" t="s">
        <v>287</v>
      </c>
      <c r="F51" t="s">
        <v>288</v>
      </c>
    </row>
    <row r="52" spans="2:6" x14ac:dyDescent="0.4">
      <c r="B52" t="s">
        <v>201</v>
      </c>
      <c r="C52" t="s">
        <v>204</v>
      </c>
      <c r="E52" t="s">
        <v>289</v>
      </c>
      <c r="F52" t="s">
        <v>290</v>
      </c>
    </row>
    <row r="53" spans="2:6" x14ac:dyDescent="0.4">
      <c r="B53" t="s">
        <v>207</v>
      </c>
      <c r="C53" t="s">
        <v>208</v>
      </c>
      <c r="E53" t="s">
        <v>291</v>
      </c>
      <c r="F53" t="s">
        <v>292</v>
      </c>
    </row>
    <row r="54" spans="2:6" x14ac:dyDescent="0.4">
      <c r="B54" t="s">
        <v>211</v>
      </c>
      <c r="C54" t="s">
        <v>212</v>
      </c>
      <c r="E54" t="s">
        <v>293</v>
      </c>
      <c r="F54" t="s">
        <v>294</v>
      </c>
    </row>
    <row r="55" spans="2:6" x14ac:dyDescent="0.4">
      <c r="B55" t="s">
        <v>213</v>
      </c>
      <c r="C55" t="s">
        <v>214</v>
      </c>
      <c r="E55" t="s">
        <v>295</v>
      </c>
      <c r="F55" t="s">
        <v>296</v>
      </c>
    </row>
    <row r="56" spans="2:6" x14ac:dyDescent="0.4">
      <c r="B56" t="s">
        <v>215</v>
      </c>
      <c r="C56" t="s">
        <v>218</v>
      </c>
      <c r="E56" t="s">
        <v>297</v>
      </c>
      <c r="F56" t="s">
        <v>298</v>
      </c>
    </row>
    <row r="57" spans="2:6" x14ac:dyDescent="0.4">
      <c r="B57" t="s">
        <v>219</v>
      </c>
      <c r="C57" t="s">
        <v>220</v>
      </c>
      <c r="E57" t="s">
        <v>299</v>
      </c>
      <c r="F57" t="s">
        <v>300</v>
      </c>
    </row>
    <row r="58" spans="2:6" x14ac:dyDescent="0.4">
      <c r="B58" t="s">
        <v>216</v>
      </c>
      <c r="C58" t="s">
        <v>221</v>
      </c>
      <c r="E58" t="s">
        <v>301</v>
      </c>
      <c r="F58" t="s">
        <v>302</v>
      </c>
    </row>
    <row r="59" spans="2:6" x14ac:dyDescent="0.4">
      <c r="B59" t="s">
        <v>217</v>
      </c>
      <c r="C59" t="s">
        <v>222</v>
      </c>
      <c r="E59" t="s">
        <v>303</v>
      </c>
      <c r="F59" t="s">
        <v>304</v>
      </c>
    </row>
    <row r="60" spans="2:6" x14ac:dyDescent="0.4">
      <c r="B60" t="s">
        <v>223</v>
      </c>
      <c r="C60" t="s">
        <v>224</v>
      </c>
      <c r="E60" t="s">
        <v>305</v>
      </c>
      <c r="F60" t="s">
        <v>306</v>
      </c>
    </row>
    <row r="61" spans="2:6" x14ac:dyDescent="0.4">
      <c r="B61" t="s">
        <v>226</v>
      </c>
      <c r="C61" t="s">
        <v>227</v>
      </c>
      <c r="E61" t="s">
        <v>307</v>
      </c>
      <c r="F61" t="s">
        <v>308</v>
      </c>
    </row>
    <row r="62" spans="2:6" x14ac:dyDescent="0.4">
      <c r="B62" t="s">
        <v>228</v>
      </c>
      <c r="C62" t="s">
        <v>229</v>
      </c>
      <c r="E62" t="s">
        <v>309</v>
      </c>
      <c r="F62" t="s">
        <v>310</v>
      </c>
    </row>
    <row r="63" spans="2:6" x14ac:dyDescent="0.4">
      <c r="B63" t="s">
        <v>230</v>
      </c>
      <c r="C63" t="s">
        <v>231</v>
      </c>
      <c r="E63" t="s">
        <v>311</v>
      </c>
      <c r="F63" t="s">
        <v>312</v>
      </c>
    </row>
    <row r="64" spans="2:6" x14ac:dyDescent="0.4">
      <c r="B64" t="s">
        <v>225</v>
      </c>
      <c r="C64" t="s">
        <v>232</v>
      </c>
      <c r="E64" t="s">
        <v>313</v>
      </c>
      <c r="F64" t="s">
        <v>314</v>
      </c>
    </row>
    <row r="65" spans="2:6" x14ac:dyDescent="0.4">
      <c r="B65" t="s">
        <v>233</v>
      </c>
      <c r="C65" t="s">
        <v>234</v>
      </c>
      <c r="E65" t="s">
        <v>315</v>
      </c>
      <c r="F65" t="s">
        <v>316</v>
      </c>
    </row>
    <row r="66" spans="2:6" x14ac:dyDescent="0.4">
      <c r="B66" t="s">
        <v>235</v>
      </c>
      <c r="C66" t="s">
        <v>236</v>
      </c>
      <c r="E66" t="s">
        <v>317</v>
      </c>
      <c r="F66" t="s">
        <v>318</v>
      </c>
    </row>
    <row r="67" spans="2:6" x14ac:dyDescent="0.4">
      <c r="B67" t="s">
        <v>237</v>
      </c>
      <c r="C67" t="s">
        <v>238</v>
      </c>
      <c r="E67" t="s">
        <v>319</v>
      </c>
      <c r="F67" t="s">
        <v>320</v>
      </c>
    </row>
    <row r="68" spans="2:6" x14ac:dyDescent="0.4">
      <c r="B68" t="s">
        <v>243</v>
      </c>
      <c r="C68" t="s">
        <v>244</v>
      </c>
      <c r="E68" t="s">
        <v>321</v>
      </c>
      <c r="F68" t="s">
        <v>322</v>
      </c>
    </row>
    <row r="69" spans="2:6" x14ac:dyDescent="0.4">
      <c r="B69" t="s">
        <v>239</v>
      </c>
      <c r="C69" t="s">
        <v>245</v>
      </c>
      <c r="E69" t="s">
        <v>323</v>
      </c>
      <c r="F69" t="s">
        <v>324</v>
      </c>
    </row>
    <row r="70" spans="2:6" x14ac:dyDescent="0.4">
      <c r="B70" t="s">
        <v>240</v>
      </c>
      <c r="C70" t="s">
        <v>246</v>
      </c>
      <c r="E70" t="s">
        <v>325</v>
      </c>
      <c r="F70" t="s">
        <v>326</v>
      </c>
    </row>
    <row r="71" spans="2:6" x14ac:dyDescent="0.4">
      <c r="B71" t="s">
        <v>251</v>
      </c>
      <c r="C71" t="s">
        <v>252</v>
      </c>
      <c r="E71" t="s">
        <v>327</v>
      </c>
      <c r="F71" t="s">
        <v>328</v>
      </c>
    </row>
    <row r="72" spans="2:6" x14ac:dyDescent="0.4">
      <c r="B72" t="s">
        <v>257</v>
      </c>
      <c r="C72" t="s">
        <v>259</v>
      </c>
      <c r="E72" t="s">
        <v>329</v>
      </c>
      <c r="F72" t="s">
        <v>330</v>
      </c>
    </row>
    <row r="73" spans="2:6" x14ac:dyDescent="0.4">
      <c r="B73" t="s">
        <v>258</v>
      </c>
      <c r="C73" t="s">
        <v>260</v>
      </c>
      <c r="E73" t="s">
        <v>331</v>
      </c>
      <c r="F73" t="s">
        <v>332</v>
      </c>
    </row>
    <row r="74" spans="2:6" x14ac:dyDescent="0.4">
      <c r="E74" t="s">
        <v>333</v>
      </c>
      <c r="F74" t="s">
        <v>334</v>
      </c>
    </row>
    <row r="75" spans="2:6" x14ac:dyDescent="0.4">
      <c r="E75" t="s">
        <v>335</v>
      </c>
      <c r="F75" t="s">
        <v>336</v>
      </c>
    </row>
    <row r="76" spans="2:6" x14ac:dyDescent="0.4">
      <c r="E76" t="s">
        <v>337</v>
      </c>
      <c r="F76" t="s">
        <v>338</v>
      </c>
    </row>
    <row r="77" spans="2:6" x14ac:dyDescent="0.4">
      <c r="E77" t="s">
        <v>339</v>
      </c>
      <c r="F77" t="s">
        <v>340</v>
      </c>
    </row>
    <row r="78" spans="2:6" x14ac:dyDescent="0.4">
      <c r="E78" t="s">
        <v>341</v>
      </c>
      <c r="F78" t="s">
        <v>342</v>
      </c>
    </row>
    <row r="79" spans="2:6" x14ac:dyDescent="0.4">
      <c r="E79" t="s">
        <v>343</v>
      </c>
      <c r="F79" t="s">
        <v>344</v>
      </c>
    </row>
    <row r="80" spans="2:6" x14ac:dyDescent="0.4">
      <c r="E80" t="s">
        <v>345</v>
      </c>
      <c r="F80" t="s">
        <v>346</v>
      </c>
    </row>
    <row r="81" spans="5:6" x14ac:dyDescent="0.4">
      <c r="E81" t="s">
        <v>347</v>
      </c>
      <c r="F81" t="s">
        <v>348</v>
      </c>
    </row>
    <row r="82" spans="5:6" x14ac:dyDescent="0.4">
      <c r="E82" t="s">
        <v>349</v>
      </c>
      <c r="F82" t="s">
        <v>350</v>
      </c>
    </row>
    <row r="83" spans="5:6" x14ac:dyDescent="0.4">
      <c r="E83" t="s">
        <v>351</v>
      </c>
      <c r="F83" t="s">
        <v>352</v>
      </c>
    </row>
    <row r="84" spans="5:6" x14ac:dyDescent="0.4">
      <c r="E84" t="s">
        <v>353</v>
      </c>
      <c r="F84" t="s">
        <v>354</v>
      </c>
    </row>
    <row r="85" spans="5:6" x14ac:dyDescent="0.4">
      <c r="E85" t="s">
        <v>355</v>
      </c>
      <c r="F85" t="s">
        <v>356</v>
      </c>
    </row>
    <row r="86" spans="5:6" x14ac:dyDescent="0.4">
      <c r="E86" t="s">
        <v>357</v>
      </c>
      <c r="F86" t="s">
        <v>358</v>
      </c>
    </row>
    <row r="87" spans="5:6" x14ac:dyDescent="0.4">
      <c r="E87" t="s">
        <v>359</v>
      </c>
      <c r="F87" t="s">
        <v>360</v>
      </c>
    </row>
    <row r="88" spans="5:6" x14ac:dyDescent="0.4">
      <c r="E88" t="s">
        <v>361</v>
      </c>
      <c r="F88" t="s">
        <v>362</v>
      </c>
    </row>
    <row r="89" spans="5:6" x14ac:dyDescent="0.4">
      <c r="E89" t="s">
        <v>363</v>
      </c>
      <c r="F89" t="s">
        <v>364</v>
      </c>
    </row>
    <row r="90" spans="5:6" x14ac:dyDescent="0.4">
      <c r="E90" t="s">
        <v>365</v>
      </c>
      <c r="F90" t="s">
        <v>366</v>
      </c>
    </row>
    <row r="91" spans="5:6" x14ac:dyDescent="0.4">
      <c r="E91" t="s">
        <v>367</v>
      </c>
      <c r="F91" t="s">
        <v>368</v>
      </c>
    </row>
    <row r="92" spans="5:6" x14ac:dyDescent="0.4">
      <c r="E92" t="s">
        <v>369</v>
      </c>
      <c r="F92" t="s">
        <v>370</v>
      </c>
    </row>
    <row r="93" spans="5:6" x14ac:dyDescent="0.4">
      <c r="E93" t="s">
        <v>371</v>
      </c>
      <c r="F93" t="s">
        <v>372</v>
      </c>
    </row>
    <row r="94" spans="5:6" x14ac:dyDescent="0.4">
      <c r="E94" t="s">
        <v>373</v>
      </c>
      <c r="F94" t="s">
        <v>374</v>
      </c>
    </row>
    <row r="95" spans="5:6" x14ac:dyDescent="0.4">
      <c r="E95" t="s">
        <v>375</v>
      </c>
      <c r="F95" t="s">
        <v>376</v>
      </c>
    </row>
    <row r="96" spans="5:6" x14ac:dyDescent="0.4">
      <c r="E96" t="s">
        <v>377</v>
      </c>
      <c r="F96" t="s">
        <v>378</v>
      </c>
    </row>
    <row r="97" spans="5:6" x14ac:dyDescent="0.4">
      <c r="E97" t="s">
        <v>379</v>
      </c>
      <c r="F97" t="s">
        <v>380</v>
      </c>
    </row>
    <row r="98" spans="5:6" x14ac:dyDescent="0.4">
      <c r="E98" t="s">
        <v>381</v>
      </c>
      <c r="F98" t="s">
        <v>382</v>
      </c>
    </row>
    <row r="99" spans="5:6" x14ac:dyDescent="0.4">
      <c r="E99" t="s">
        <v>383</v>
      </c>
      <c r="F99" t="s">
        <v>384</v>
      </c>
    </row>
    <row r="100" spans="5:6" x14ac:dyDescent="0.4">
      <c r="E100" t="s">
        <v>385</v>
      </c>
      <c r="F100" t="s">
        <v>386</v>
      </c>
    </row>
    <row r="101" spans="5:6" x14ac:dyDescent="0.4">
      <c r="E101" t="s">
        <v>387</v>
      </c>
      <c r="F101" t="s">
        <v>388</v>
      </c>
    </row>
    <row r="102" spans="5:6" x14ac:dyDescent="0.4">
      <c r="E102" t="s">
        <v>389</v>
      </c>
      <c r="F102" t="s">
        <v>390</v>
      </c>
    </row>
    <row r="103" spans="5:6" x14ac:dyDescent="0.4">
      <c r="E103" t="s">
        <v>391</v>
      </c>
      <c r="F103" t="s">
        <v>392</v>
      </c>
    </row>
    <row r="104" spans="5:6" x14ac:dyDescent="0.4">
      <c r="E104" t="s">
        <v>393</v>
      </c>
      <c r="F104" t="s">
        <v>394</v>
      </c>
    </row>
    <row r="105" spans="5:6" x14ac:dyDescent="0.4">
      <c r="E105" t="s">
        <v>395</v>
      </c>
      <c r="F105" t="s">
        <v>396</v>
      </c>
    </row>
    <row r="106" spans="5:6" x14ac:dyDescent="0.4">
      <c r="E106" t="s">
        <v>397</v>
      </c>
      <c r="F106" t="s">
        <v>398</v>
      </c>
    </row>
    <row r="107" spans="5:6" x14ac:dyDescent="0.4">
      <c r="E107" t="s">
        <v>399</v>
      </c>
      <c r="F107" t="s">
        <v>400</v>
      </c>
    </row>
    <row r="108" spans="5:6" x14ac:dyDescent="0.4">
      <c r="E108" t="s">
        <v>401</v>
      </c>
      <c r="F108" t="s">
        <v>402</v>
      </c>
    </row>
    <row r="109" spans="5:6" x14ac:dyDescent="0.4">
      <c r="E109" t="s">
        <v>403</v>
      </c>
      <c r="F109" t="s">
        <v>404</v>
      </c>
    </row>
    <row r="110" spans="5:6" x14ac:dyDescent="0.4">
      <c r="E110" t="s">
        <v>405</v>
      </c>
      <c r="F110" t="s">
        <v>406</v>
      </c>
    </row>
    <row r="111" spans="5:6" x14ac:dyDescent="0.4">
      <c r="E111" t="s">
        <v>407</v>
      </c>
      <c r="F111" t="s">
        <v>408</v>
      </c>
    </row>
    <row r="112" spans="5:6" x14ac:dyDescent="0.4">
      <c r="E112" t="s">
        <v>409</v>
      </c>
      <c r="F112" t="s">
        <v>410</v>
      </c>
    </row>
    <row r="113" spans="5:6" x14ac:dyDescent="0.4">
      <c r="E113" t="s">
        <v>411</v>
      </c>
      <c r="F113" t="s">
        <v>412</v>
      </c>
    </row>
    <row r="114" spans="5:6" x14ac:dyDescent="0.4">
      <c r="E114" t="s">
        <v>413</v>
      </c>
      <c r="F114" t="s">
        <v>414</v>
      </c>
    </row>
    <row r="115" spans="5:6" x14ac:dyDescent="0.4">
      <c r="E115" t="s">
        <v>415</v>
      </c>
      <c r="F115" t="s">
        <v>416</v>
      </c>
    </row>
    <row r="116" spans="5:6" x14ac:dyDescent="0.4">
      <c r="E116" t="s">
        <v>417</v>
      </c>
      <c r="F116" t="s">
        <v>418</v>
      </c>
    </row>
    <row r="117" spans="5:6" x14ac:dyDescent="0.4">
      <c r="E117" t="s">
        <v>419</v>
      </c>
      <c r="F117" t="s">
        <v>420</v>
      </c>
    </row>
    <row r="118" spans="5:6" x14ac:dyDescent="0.4">
      <c r="E118" t="s">
        <v>421</v>
      </c>
      <c r="F118" t="s">
        <v>422</v>
      </c>
    </row>
    <row r="119" spans="5:6" x14ac:dyDescent="0.4">
      <c r="E119" t="s">
        <v>423</v>
      </c>
      <c r="F119" t="s">
        <v>424</v>
      </c>
    </row>
    <row r="120" spans="5:6" x14ac:dyDescent="0.4">
      <c r="E120" t="s">
        <v>425</v>
      </c>
      <c r="F120" t="s">
        <v>426</v>
      </c>
    </row>
    <row r="121" spans="5:6" x14ac:dyDescent="0.4">
      <c r="E121" t="s">
        <v>427</v>
      </c>
      <c r="F121" t="s">
        <v>428</v>
      </c>
    </row>
    <row r="122" spans="5:6" x14ac:dyDescent="0.4">
      <c r="E122" t="s">
        <v>429</v>
      </c>
      <c r="F122" t="s">
        <v>430</v>
      </c>
    </row>
    <row r="123" spans="5:6" x14ac:dyDescent="0.4">
      <c r="E123" t="s">
        <v>431</v>
      </c>
      <c r="F123" t="s">
        <v>432</v>
      </c>
    </row>
    <row r="124" spans="5:6" x14ac:dyDescent="0.4">
      <c r="E124" t="s">
        <v>433</v>
      </c>
      <c r="F124" t="s">
        <v>434</v>
      </c>
    </row>
    <row r="125" spans="5:6" x14ac:dyDescent="0.4">
      <c r="E125" t="s">
        <v>435</v>
      </c>
      <c r="F125" t="s">
        <v>436</v>
      </c>
    </row>
    <row r="126" spans="5:6" x14ac:dyDescent="0.4">
      <c r="E126" t="s">
        <v>437</v>
      </c>
      <c r="F126" t="s">
        <v>438</v>
      </c>
    </row>
    <row r="127" spans="5:6" x14ac:dyDescent="0.4">
      <c r="E127" t="s">
        <v>439</v>
      </c>
      <c r="F127" t="s">
        <v>440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Main</vt:lpstr>
      <vt:lpstr>prepareData</vt:lpstr>
      <vt:lpstr>baseDataJsonTxt</vt:lpstr>
      <vt:lpstr>networkDataJsonTxt</vt:lpstr>
      <vt:lpstr>dataJson</vt:lpstr>
      <vt:lpstr>集団感染メモ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2021-08-26T19:43:05Z</dcterms:created>
  <dcterms:modified xsi:type="dcterms:W3CDTF">2023-01-25T11:21:07Z</dcterms:modified>
</cp:coreProperties>
</file>