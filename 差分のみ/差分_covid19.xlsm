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filterPrivacy="1" codeName="ThisWorkbook" defaultThemeVersion="166925"/>
  <xr:revisionPtr revIDLastSave="0" documentId="13_ncr:1_{6EF84172-5F1F-4DD5-9969-8F95033FA841}" xr6:coauthVersionLast="47" xr6:coauthVersionMax="47" xr10:uidLastSave="{00000000-0000-0000-0000-000000000000}"/>
  <bookViews>
    <workbookView xWindow="1875" yWindow="0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4" i="1" l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AB12" i="1"/>
  <c r="AB11" i="1"/>
  <c r="AB10" i="1"/>
  <c r="S10" i="1"/>
  <c r="AB14" i="1" s="1"/>
  <c r="G44" i="1"/>
  <c r="J44" i="1" s="1"/>
  <c r="G41" i="1"/>
  <c r="G40" i="1"/>
  <c r="G39" i="1"/>
  <c r="F39" i="1" s="1"/>
  <c r="G38" i="1"/>
  <c r="F38" i="1" s="1"/>
  <c r="G11" i="1"/>
  <c r="I11" i="1" s="1"/>
  <c r="G37" i="1"/>
  <c r="G36" i="1"/>
  <c r="H36" i="1" s="1"/>
  <c r="G13" i="1"/>
  <c r="G15" i="1"/>
  <c r="J15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6" i="1"/>
  <c r="I16" i="1" s="1"/>
  <c r="G9" i="1"/>
  <c r="C9" i="1" s="1"/>
  <c r="G200" i="1"/>
  <c r="I200" i="1" s="1"/>
  <c r="AB15" i="1" l="1"/>
  <c r="AB16" i="1"/>
  <c r="AB17" i="1"/>
  <c r="AB18" i="1"/>
  <c r="AB19" i="1"/>
  <c r="K19" i="1" s="1"/>
  <c r="M19" i="1" s="1" a="1"/>
  <c r="M19" i="1" s="1"/>
  <c r="O19" i="1" s="1"/>
  <c r="AB20" i="1"/>
  <c r="AB21" i="1"/>
  <c r="K21" i="1" s="1"/>
  <c r="M21" i="1" s="1" a="1"/>
  <c r="M21" i="1" s="1"/>
  <c r="O21" i="1" s="1"/>
  <c r="AB22" i="1"/>
  <c r="K22" i="1" s="1"/>
  <c r="L22" i="1" s="1"/>
  <c r="AB23" i="1"/>
  <c r="K23" i="1" s="1"/>
  <c r="AB24" i="1"/>
  <c r="K24" i="1" s="1"/>
  <c r="M24" i="1" s="1" a="1"/>
  <c r="M24" i="1" s="1"/>
  <c r="O24" i="1" s="1"/>
  <c r="AB13" i="1"/>
  <c r="K13" i="1" s="1"/>
  <c r="K28" i="1"/>
  <c r="K35" i="1"/>
  <c r="L35" i="1" s="1"/>
  <c r="K38" i="1"/>
  <c r="M38" i="1" s="1" a="1"/>
  <c r="M38" i="1" s="1"/>
  <c r="O38" i="1" s="1"/>
  <c r="K26" i="1"/>
  <c r="M26" i="1" s="1" a="1"/>
  <c r="M26" i="1" s="1"/>
  <c r="O26" i="1" s="1"/>
  <c r="K39" i="1"/>
  <c r="M39" i="1" s="1" a="1"/>
  <c r="M39" i="1" s="1"/>
  <c r="O39" i="1" s="1"/>
  <c r="G17" i="1"/>
  <c r="H17" i="1" s="1"/>
  <c r="K42" i="1"/>
  <c r="K11" i="1"/>
  <c r="L11" i="1" s="1"/>
  <c r="K16" i="1"/>
  <c r="L16" i="1" s="1"/>
  <c r="K15" i="1"/>
  <c r="M15" i="1" s="1" a="1"/>
  <c r="M15" i="1" s="1"/>
  <c r="O15" i="1" s="1"/>
  <c r="G20" i="1"/>
  <c r="H20" i="1" s="1"/>
  <c r="K27" i="1"/>
  <c r="K29" i="1"/>
  <c r="F59" i="1"/>
  <c r="K25" i="1"/>
  <c r="M25" i="1" s="1" a="1"/>
  <c r="M25" i="1" s="1"/>
  <c r="O25" i="1" s="1"/>
  <c r="K18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J17" i="1" l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M20" i="1" l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15" i="4" a="1"/>
  <c r="C20" i="5" a="1"/>
  <c r="C20" i="5" l="1"/>
  <c r="C15" i="4"/>
  <c r="C21" i="5" a="1"/>
  <c r="C16" i="4" a="1"/>
  <c r="C16" i="4" l="1"/>
  <c r="C21" i="5"/>
  <c r="C22" i="5" a="1"/>
  <c r="C17" i="4" a="1"/>
  <c r="C22" i="5" l="1"/>
  <c r="C17" i="4"/>
  <c r="C18" i="4" a="1"/>
  <c r="C23" i="5" a="1"/>
  <c r="C18" i="4" l="1"/>
  <c r="C23" i="5"/>
  <c r="C24" i="5" a="1"/>
  <c r="C19" i="4" a="1"/>
  <c r="C24" i="5" l="1"/>
  <c r="C19" i="4"/>
  <c r="C20" i="4" a="1"/>
  <c r="C25" i="5" a="1"/>
  <c r="C20" i="4" l="1"/>
  <c r="C25" i="5"/>
  <c r="C26" i="5" a="1"/>
  <c r="C21" i="4" a="1"/>
  <c r="C26" i="5" l="1"/>
  <c r="C21" i="4"/>
  <c r="C27" i="5" a="1"/>
  <c r="C22" i="4" a="1"/>
  <c r="C22" i="4" l="1"/>
  <c r="C27" i="5"/>
  <c r="C23" i="4" a="1"/>
  <c r="C28" i="5" a="1"/>
  <c r="C28" i="5" l="1"/>
  <c r="C23" i="4"/>
  <c r="C29" i="5" a="1"/>
  <c r="C24" i="4" a="1"/>
  <c r="C24" i="4" l="1"/>
  <c r="C29" i="5"/>
  <c r="C25" i="4" a="1"/>
  <c r="C30" i="5" a="1"/>
  <c r="C30" i="5" l="1"/>
  <c r="C25" i="4"/>
  <c r="C26" i="4" a="1"/>
  <c r="C31" i="5" a="1"/>
  <c r="C26" i="4" l="1"/>
  <c r="C31" i="5"/>
  <c r="C27" i="4" a="1"/>
  <c r="C32" i="5" a="1"/>
  <c r="C32" i="5" l="1"/>
  <c r="C27" i="4"/>
  <c r="C33" i="5" a="1"/>
  <c r="C28" i="4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7" i="5" a="1"/>
  <c r="C32" i="4" a="1"/>
  <c r="C32" i="4" l="1"/>
  <c r="C37" i="5"/>
  <c r="C38" i="5" a="1"/>
  <c r="C33" i="4" a="1"/>
  <c r="C38" i="5" l="1"/>
  <c r="C33" i="4"/>
  <c r="C39" i="5" a="1"/>
  <c r="C34" i="4" a="1"/>
  <c r="C34" i="4" l="1"/>
  <c r="C39" i="5"/>
  <c r="C40" i="5" a="1"/>
  <c r="C35" i="4" a="1"/>
  <c r="C40" i="5" l="1"/>
  <c r="C35" i="4"/>
  <c r="C36" i="4" a="1"/>
  <c r="C41" i="5" a="1"/>
  <c r="C36" i="4" l="1"/>
  <c r="C41" i="5"/>
  <c r="C42" i="5" a="1"/>
  <c r="C37" i="4" a="1"/>
  <c r="C42" i="5" l="1"/>
  <c r="C37" i="4"/>
  <c r="C38" i="4" a="1"/>
  <c r="C43" i="5" a="1"/>
  <c r="C38" i="4" l="1"/>
  <c r="C43" i="5"/>
  <c r="C39" i="4" a="1"/>
  <c r="C44" i="5" a="1"/>
  <c r="C44" i="5" l="1"/>
  <c r="C39" i="4"/>
  <c r="C45" i="5" a="1"/>
  <c r="C40" i="4" a="1"/>
  <c r="C40" i="4" l="1"/>
  <c r="C45" i="5"/>
  <c r="C41" i="4" a="1"/>
  <c r="C46" i="5" a="1"/>
  <c r="C46" i="5" l="1"/>
  <c r="C41" i="4"/>
  <c r="C42" i="4" a="1"/>
  <c r="C47" i="5" a="1"/>
  <c r="C42" i="4" l="1"/>
  <c r="C47" i="5"/>
  <c r="C43" i="4" a="1"/>
  <c r="C48" i="5" a="1"/>
  <c r="C48" i="5" l="1"/>
  <c r="C43" i="4"/>
  <c r="C49" i="5" a="1"/>
  <c r="C44" i="4" a="1"/>
  <c r="C44" i="4" l="1"/>
  <c r="C49" i="5"/>
  <c r="C50" i="5" a="1"/>
  <c r="C45" i="4" a="1"/>
  <c r="C50" i="5" l="1"/>
  <c r="C45" i="4"/>
  <c r="C51" i="5" a="1"/>
  <c r="C46" i="4" a="1"/>
  <c r="C46" i="4" l="1"/>
  <c r="C51" i="5"/>
  <c r="C52" i="5" a="1"/>
  <c r="C47" i="4" a="1"/>
  <c r="C52" i="5" l="1"/>
  <c r="C47" i="4"/>
  <c r="C53" i="5" a="1"/>
  <c r="C48" i="4" a="1"/>
  <c r="C48" i="4" l="1"/>
  <c r="C53" i="5"/>
  <c r="C54" i="5" a="1"/>
  <c r="C49" i="4" a="1"/>
  <c r="C54" i="5" l="1"/>
  <c r="C49" i="4"/>
  <c r="C50" i="4" a="1"/>
  <c r="C55" i="5" a="1"/>
  <c r="C50" i="4" l="1"/>
  <c r="C55" i="5"/>
  <c r="C56" i="5" a="1"/>
  <c r="C51" i="4" a="1"/>
  <c r="C56" i="5" l="1"/>
  <c r="C51" i="4"/>
  <c r="C52" i="4" a="1"/>
  <c r="C57" i="5" a="1"/>
  <c r="C52" i="4" l="1"/>
  <c r="C57" i="5"/>
  <c r="C53" i="4" a="1"/>
  <c r="C58" i="5" a="1"/>
  <c r="C58" i="5" l="1"/>
  <c r="C53" i="4"/>
  <c r="C54" i="4" a="1"/>
  <c r="C59" i="5" a="1"/>
  <c r="C54" i="4" l="1"/>
  <c r="C59" i="5"/>
  <c r="C60" i="5" a="1"/>
  <c r="C55" i="4" a="1"/>
  <c r="C60" i="5" l="1"/>
  <c r="C55" i="4"/>
  <c r="C61" i="5" a="1"/>
  <c r="C56" i="4" a="1"/>
  <c r="C56" i="4" l="1"/>
  <c r="C61" i="5"/>
  <c r="C57" i="4" a="1"/>
  <c r="C62" i="5" a="1"/>
  <c r="C62" i="5" l="1"/>
  <c r="C57" i="4"/>
  <c r="C63" i="5" a="1"/>
  <c r="C58" i="4" a="1"/>
  <c r="C58" i="4" l="1"/>
  <c r="C63" i="5"/>
  <c r="C64" i="5" a="1"/>
  <c r="C59" i="4" a="1"/>
  <c r="C64" i="5" l="1"/>
  <c r="C59" i="4"/>
  <c r="C60" i="4" a="1"/>
  <c r="C65" i="5" a="1"/>
  <c r="C60" i="4" l="1"/>
  <c r="C65" i="5"/>
  <c r="C61" i="4" a="1"/>
  <c r="C66" i="5" a="1"/>
  <c r="C66" i="5" l="1"/>
  <c r="C61" i="4"/>
  <c r="C62" i="4" a="1"/>
  <c r="C67" i="5" a="1"/>
  <c r="C62" i="4" l="1"/>
  <c r="C67" i="5"/>
  <c r="C63" i="4" a="1"/>
  <c r="C68" i="5" a="1"/>
  <c r="C63" i="4" l="1"/>
  <c r="C68" i="5"/>
  <c r="C64" i="4" a="1"/>
  <c r="C69" i="5" a="1"/>
  <c r="C69" i="5" l="1"/>
  <c r="C64" i="4"/>
  <c r="C70" i="5" a="1"/>
  <c r="C65" i="4" a="1"/>
  <c r="C65" i="4" l="1"/>
  <c r="C70" i="5"/>
  <c r="C71" i="5" a="1"/>
  <c r="C66" i="4" a="1"/>
  <c r="C71" i="5" l="1"/>
  <c r="C66" i="4"/>
  <c r="C72" i="5" a="1"/>
  <c r="C67" i="4" a="1"/>
  <c r="C67" i="4" l="1"/>
  <c r="C72" i="5"/>
  <c r="C73" i="5" a="1"/>
  <c r="C68" i="4" a="1"/>
  <c r="C73" i="5" l="1"/>
  <c r="C68" i="4"/>
  <c r="C69" i="4" a="1"/>
  <c r="C74" i="5" a="1"/>
  <c r="C69" i="4" l="1"/>
  <c r="C74" i="5"/>
  <c r="C75" i="5" a="1"/>
  <c r="C70" i="4" a="1"/>
  <c r="C70" i="4" l="1"/>
  <c r="C75" i="5"/>
  <c r="C71" i="4" a="1"/>
  <c r="C76" i="5" a="1"/>
  <c r="C76" i="5" l="1"/>
  <c r="C71" i="4"/>
  <c r="C77" i="5" a="1"/>
  <c r="C72" i="4" a="1"/>
  <c r="C72" i="4" l="1"/>
  <c r="C77" i="5"/>
  <c r="C78" i="5" a="1"/>
  <c r="C73" i="4" a="1"/>
  <c r="C78" i="5" l="1"/>
  <c r="C73" i="4"/>
  <c r="C79" i="5" a="1"/>
  <c r="C74" i="4" a="1"/>
  <c r="C74" i="4" l="1"/>
  <c r="C79" i="5"/>
  <c r="C80" i="5" a="1"/>
  <c r="C75" i="4" a="1"/>
  <c r="C75" i="4" l="1"/>
  <c r="C80" i="5"/>
  <c r="C81" i="5" a="1"/>
  <c r="C76" i="4" a="1"/>
  <c r="C81" i="5" l="1"/>
  <c r="C76" i="4"/>
  <c r="C77" i="4" a="1"/>
  <c r="C82" i="5" a="1"/>
  <c r="C77" i="4" l="1"/>
  <c r="C82" i="5"/>
  <c r="C83" i="5" a="1"/>
  <c r="C78" i="4" a="1"/>
  <c r="C83" i="5" l="1"/>
  <c r="C78" i="4"/>
  <c r="C79" i="4" a="1"/>
  <c r="C84" i="5" a="1"/>
  <c r="C79" i="4" l="1"/>
  <c r="C84" i="5"/>
  <c r="C80" i="4" a="1"/>
  <c r="C85" i="5" a="1"/>
  <c r="C85" i="5" l="1"/>
  <c r="C80" i="4"/>
  <c r="C81" i="4" a="1"/>
  <c r="C86" i="5" a="1"/>
  <c r="C86" i="5" l="1"/>
  <c r="C81" i="4"/>
  <c r="C82" i="4" a="1"/>
  <c r="C87" i="5" a="1"/>
  <c r="C82" i="4" l="1"/>
  <c r="C87" i="5"/>
  <c r="C88" i="5" a="1"/>
  <c r="C83" i="4" a="1"/>
  <c r="C88" i="5" l="1"/>
  <c r="C83" i="4"/>
  <c r="C89" i="5" a="1"/>
  <c r="C84" i="4" a="1"/>
  <c r="C84" i="4" l="1"/>
  <c r="C89" i="5"/>
  <c r="C85" i="4" a="1"/>
  <c r="C90" i="5" a="1"/>
  <c r="C90" i="5" l="1"/>
  <c r="C85" i="4"/>
  <c r="C91" i="5" a="1"/>
  <c r="C86" i="4" a="1"/>
  <c r="C91" i="5" l="1"/>
  <c r="C86" i="4"/>
  <c r="C92" i="5" a="1"/>
  <c r="C87" i="4" a="1"/>
  <c r="C87" i="4" l="1"/>
  <c r="C92" i="5"/>
  <c r="C93" i="5" a="1"/>
  <c r="C88" i="4" a="1"/>
  <c r="C93" i="5" l="1"/>
  <c r="C88" i="4"/>
  <c r="C89" i="4" a="1"/>
  <c r="C94" i="5" a="1"/>
  <c r="C89" i="4" l="1"/>
  <c r="C94" i="5"/>
  <c r="C90" i="4" a="1"/>
  <c r="C95" i="5" a="1"/>
  <c r="C95" i="5" l="1"/>
  <c r="C90" i="4"/>
  <c r="C96" i="5" a="1"/>
  <c r="C91" i="4" a="1"/>
  <c r="C91" i="4" l="1"/>
  <c r="C96" i="5"/>
  <c r="C92" i="4" a="1"/>
  <c r="C97" i="5" a="1"/>
  <c r="C97" i="5" l="1"/>
  <c r="C92" i="4"/>
  <c r="C98" i="5" a="1"/>
  <c r="C93" i="4" a="1"/>
  <c r="C93" i="4" l="1"/>
  <c r="C98" i="5"/>
  <c r="C94" i="4" a="1"/>
  <c r="C99" i="5" a="1"/>
  <c r="C99" i="5" l="1"/>
  <c r="C94" i="4"/>
  <c r="C95" i="4" a="1"/>
  <c r="C100" i="5" a="1"/>
  <c r="C95" i="4" l="1"/>
  <c r="C100" i="5"/>
  <c r="C96" i="4" a="1"/>
  <c r="C101" i="5" a="1"/>
  <c r="C101" i="5" l="1"/>
  <c r="C96" i="4"/>
  <c r="C102" i="5" a="1"/>
  <c r="C97" i="4" a="1"/>
  <c r="C97" i="4" l="1"/>
  <c r="C102" i="5"/>
  <c r="C103" i="5" a="1"/>
  <c r="C98" i="4" a="1"/>
  <c r="C103" i="5" l="1"/>
  <c r="C98" i="4"/>
  <c r="C99" i="4" a="1"/>
  <c r="C104" i="5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7" i="5" a="1"/>
  <c r="C102" i="4" a="1"/>
  <c r="C107" i="5" l="1"/>
  <c r="C102" i="4"/>
  <c r="C108" i="5" a="1"/>
  <c r="C103" i="4" a="1"/>
  <c r="C108" i="5" l="1"/>
  <c r="C103" i="4"/>
  <c r="C104" i="4" a="1"/>
  <c r="C109" i="5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2" i="4" a="1"/>
  <c r="C117" i="5" a="1"/>
  <c r="C112" i="4" l="1"/>
  <c r="C117" i="5"/>
  <c r="C118" i="5" a="1"/>
  <c r="C113" i="4" a="1"/>
  <c r="C118" i="5" l="1"/>
  <c r="C113" i="4"/>
  <c r="C114" i="4" a="1"/>
  <c r="C119" i="5" a="1"/>
  <c r="C114" i="4" l="1"/>
  <c r="C119" i="5"/>
  <c r="C120" i="5" a="1"/>
  <c r="C115" i="4" a="1"/>
  <c r="C120" i="5" l="1"/>
  <c r="C115" i="4"/>
  <c r="C116" i="4" a="1"/>
  <c r="C121" i="5" a="1"/>
  <c r="C116" i="4" l="1"/>
  <c r="C121" i="5"/>
  <c r="C117" i="4" a="1"/>
  <c r="C122" i="5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25" i="4" a="1"/>
  <c r="C130" i="5" a="1"/>
  <c r="C130" i="5" l="1"/>
  <c r="C125" i="4"/>
  <c r="C126" i="4" a="1"/>
  <c r="C131" i="5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2" i="4" a="1"/>
  <c r="C137" i="5" a="1"/>
  <c r="C132" i="4" l="1"/>
  <c r="C137" i="5"/>
  <c r="C138" i="5" a="1"/>
  <c r="C133" i="4" a="1"/>
  <c r="C138" i="5" l="1"/>
  <c r="C133" i="4"/>
  <c r="C134" i="4" a="1"/>
  <c r="C139" i="5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5" i="5" a="1"/>
  <c r="C150" i="4" a="1"/>
  <c r="C155" i="5" l="1"/>
  <c r="C150" i="4"/>
  <c r="C151" i="4" a="1"/>
  <c r="C156" i="5" a="1"/>
  <c r="C151" i="4" l="1"/>
  <c r="C156" i="5"/>
  <c r="C157" i="5" a="1"/>
  <c r="C152" i="4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6" i="5" a="1"/>
  <c r="C161" i="4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4" i="4" a="1"/>
  <c r="C169" i="5" a="1"/>
  <c r="C169" i="5" l="1"/>
  <c r="C164" i="4"/>
  <c r="C170" i="5" a="1"/>
  <c r="C165" i="4" a="1"/>
  <c r="C165" i="4" l="1"/>
  <c r="C170" i="5"/>
  <c r="C171" i="5" a="1"/>
  <c r="C166" i="4" a="1"/>
  <c r="C171" i="5" l="1"/>
  <c r="C166" i="4"/>
  <c r="C172" i="5" a="1"/>
  <c r="C167" i="4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7" i="5" a="1"/>
  <c r="C172" i="4" a="1"/>
  <c r="C172" i="4" l="1"/>
  <c r="C177" i="5"/>
  <c r="C173" i="4" a="1"/>
  <c r="C178" i="5" a="1"/>
  <c r="C178" i="5" l="1"/>
  <c r="C173" i="4"/>
  <c r="C179" i="5" a="1"/>
  <c r="C174" i="4" a="1"/>
  <c r="C174" i="4" l="1"/>
  <c r="C179" i="5"/>
  <c r="C175" i="4" a="1"/>
  <c r="C180" i="5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83" i="5" a="1"/>
  <c r="C178" i="4" a="1"/>
  <c r="C178" i="4" l="1"/>
  <c r="C183" i="5"/>
  <c r="C179" i="4" a="1"/>
  <c r="C184" i="5" a="1"/>
  <c r="C184" i="5" l="1"/>
  <c r="C179" i="4"/>
  <c r="C180" i="4" a="1"/>
  <c r="C185" i="5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9" i="5" a="1"/>
  <c r="C184" i="4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1" i="4" a="1"/>
  <c r="C196" i="5" a="1"/>
  <c r="C196" i="5" l="1"/>
  <c r="C191" i="4"/>
  <c r="C197" i="5" a="1"/>
  <c r="C192" i="4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<sst xmlns="http://schemas.openxmlformats.org/spreadsheetml/2006/main" count="1291" uniqueCount="447">
  <si>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</si>
  <si>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</si>
  <si>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</si>
  <si>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</si>
  <si>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</si>
  <si>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</si>
  <si>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</si>
  <si>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</si>
  <si>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</si>
  <si>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</si>
  <si>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</si>
  <si>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</si>
  <si>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</si>
  <si>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</si>
  <si>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</si>
  <si>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</si>
  <si>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</si>
  <si>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</si>
  <si>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</si>
  <si>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</si>
  <si>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</si>
  <si>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</si>
  <si>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</si>
  <si>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</si>
  <si>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</si>
  <si>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</si>
  <si>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</si>
  <si>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</si>
  <si>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</si>
  <si>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</si>
  <si>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</si>
  <si>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</si>
  <si>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</si>
  <si>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</si>
  <si>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</si>
  <si>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</si>
  <si>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</si>
  <si>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</si>
  <si>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</si>
  <si>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</si>
  <si>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</si>
  <si>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</si>
  <si>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</si>
  <si>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</si>
  <si>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</si>
  <si>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</si>
  <si>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</si>
  <si>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</si>
  <si>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</si>
  <si>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</si>
  <si>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</si>
  <si>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</si>
  <si>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</si>
  <si>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</si>
  <si>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</si>
  <si>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</si>
  <si>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</si>
  <si>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</si>
  <si>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</si>
  <si>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</si>
  <si>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</si>
  <si>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</si>
  <si>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</si>
  <si>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</si>
  <si>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</si>
  <si>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</si>
  <si>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</si>
  <si>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</si>
  <si>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</si>
  <si>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</si>
  <si>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</si>
  <si>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</si>
  <si>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</si>
  <si>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</si>
  <si>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</si>
  <si>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</si>
  <si>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</si>
  <si>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</si>
  <si>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</si>
  <si>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</si>
  <si>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</si>
  <si>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</si>
  <si>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</si>
  <si>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</si>
  <si>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</si>
  <si>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</si>
  <si>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</si>
  <si>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</si>
  <si>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</si>
  <si>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</si>
  <si>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</si>
  <si>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</si>
  <si>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</si>
  <si>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</si>
  <si>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</si>
  <si>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</si>
  <si>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</si>
  <si>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</si>
  <si>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</si>
  <si>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</si>
  <si>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</si>
  <si>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</si>
  <si>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</si>
  <si>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</si>
  <si>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</si>
  <si>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</si>
  <si>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</si>
  <si>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</si>
  <si>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</si>
  <si>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</si>
  <si>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</si>
  <si>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</si>
  <si>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</si>
  <si>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</si>
  <si>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</si>
  <si>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</si>
  <si>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</si>
  <si>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</si>
  <si>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</si>
  <si>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</si>
  <si>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</si>
  <si>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</si>
  <si>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</si>
  <si>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</si>
  <si>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</si>
  <si>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</si>
  <si>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</si>
  <si>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</si>
  <si>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</si>
  <si>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</si>
  <si>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</si>
  <si>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</si>
  <si>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</si>
  <si>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</si>
  <si>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</si>
  <si>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</si>
  <si>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</si>
  <si>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</si>
  <si>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</si>
  <si>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</si>
  <si>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</si>
  <si>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</si>
  <si>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</si>
  <si>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</si>
  <si>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</si>
  <si>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</si>
  <si>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</si>
  <si>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</si>
  <si>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</si>
  <si>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</si>
  <si>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</si>
  <si>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</si>
  <si>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</si>
  <si>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</si>
  <si>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</si>
  <si>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</si>
  <si>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</si>
  <si>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</si>
  <si>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</si>
  <si>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</si>
  <si>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</si>
  <si>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</si>
  <si>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</si>
  <si>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</si>
  <si>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</si>
  <si>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</si>
  <si>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</si>
  <si>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</si>
  <si>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</si>
  <si>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</si>
  <si>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</si>
  <si>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</si>
  <si>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</si>
  <si>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</si>
  <si>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</si>
  <si>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</si>
  <si>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</si>
  <si>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</si>
  <si>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</si>
  <si>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</si>
  <si>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</si>
  <si>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</si>
  <si>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</si>
  <si>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</si>
  <si>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</si>
  <si>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</si>
  <si>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</si>
  <si>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</si>
  <si>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</si>
  <si>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</si>
  <si>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</si>
  <si>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</si>
  <si>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</si>
  <si>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</si>
  <si>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</si>
  <si>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</si>
  <si>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</si>
  <si>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</si>
  <si>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</si>
  <si>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</si>
  <si>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</si>
  <si>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</si>
  <si>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</si>
  <si>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</si>
  <si>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</si>
  <si>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</si>
  <si>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</si>
  <si>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</si>
  <si>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</si>
  <si>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</si>
  <si>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</si>
  <si>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</si>
  <si>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</si>
  <si>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</si>
  <si>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</si>
  <si>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</si>
  <si>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</si>
  <si>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</si>
  <si>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</si>
  <si>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</si>
  <si>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</si>
  <si>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</si>
  <si>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</si>
  <si>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</si>
  <si>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</si>
  <si>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</si>
  <si>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</si>
  <si>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</si>
  <si>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</si>
  <si>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</si>
  <si>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</si>
  <si>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</si>
  <si>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</si>
  <si>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</si>
  <si>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</si>
  <si>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</si>
  <si>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</si>
  <si>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</si>
  <si>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</si>
  <si>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</si>
  <si>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</si>
  <si>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</si>
  <si>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</si>
  <si>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</si>
  <si>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</si>
  <si>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</si>
  <si>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</si>
  <si>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</si>
  <si>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</si>
  <si>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</si>
  <si>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</si>
  <si>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</si>
  <si>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</si>
  <si>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</si>
  <si>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</si>
  <si>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</si>
  <si>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</si>
  <si>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</si>
  <si>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</si>
  <si>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</si>
  <si>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</si>
  <si>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</si>
  <si>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</si>
  <si>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</si>
  <si>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</si>
  <si>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</si>
  <si>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</si>
  <si>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</si>
  <si>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</si>
  <si>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</si>
  <si>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</si>
  <si>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</si>
  <si>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</si>
  <si>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</si>
  <si>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</si>
  <si>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</si>
  <si>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</si>
  <si>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</si>
  <si>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</si>
  <si>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</si>
  <si>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</si>
  <si>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</si>
  <si>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</si>
  <si>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</si>
  <si>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</si>
  <si>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</si>
  <si>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</si>
  <si>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</si>
  <si>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</si>
  <si>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</si>
  <si>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</si>
  <si>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</si>
  <si>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</si>
  <si>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</si>
  <si>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</si>
  <si>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</si>
  <si>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</si>
  <si>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</si>
  <si>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</si>
  <si>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</si>
  <si>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</si>
  <si>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</si>
  <si>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</si>
  <si>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</si>
  <si>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</si>
  <si>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</si>
  <si>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</si>
  <si>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</si>
  <si>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</si>
  <si>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</si>
  <si>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</si>
  <si>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</si>
  <si>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</si>
  <si>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</si>
  <si>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</si>
  <si>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</si>
  <si>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</si>
  <si>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</si>
  <si>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</si>
  <si>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</si>
  <si>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</si>
  <si>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</si>
  <si>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</si>
  <si>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</si>
  <si>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</si>
  <si>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</si>
  <si>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</si>
  <si>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</si>
  <si>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</si>
  <si>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</si>
  <si>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</si>
  <si>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</si>
  <si>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</si>
  <si>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</si>
  <si>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</si>
  <si>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</si>
  <si>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</si>
  <si>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</si>
  <si>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</si>
  <si>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</si>
  <si>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</si>
  <si>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</si>
  <si>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</si>
  <si>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</si>
  <si>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</si>
  <si>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</si>
  <si>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</si>
  <si>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</si>
  <si>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</si>
  <si>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</si>
  <si>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</si>
  <si>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</si>
  <si>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</si>
  <si>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</si>
  <si>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</si>
  <si>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</si>
  <si>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</si>
  <si>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</si>
  <si>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</si>
  <si>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</si>
  <si>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</si>
  <si>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</si>
  <si>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</si>
  <si>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</si>
  <si>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</si>
  <si>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</si>
  <si>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</si>
  <si>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</si>
  <si>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</si>
  <si>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</si>
  <si>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</si>
  <si>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</si>
  <si>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</si>
  <si>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</si>
  <si>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</si>
  <si>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</si>
  <si>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</si>
  <si>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</si>
  <si>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</si>
  <si>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</si>
  <si>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</si>
  <si>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</si>
  <si>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</si>
  <si>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</si>
  <si>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</si>
  <si>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</si>
  <si>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</si>
  <si>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</si>
  <si>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</si>
  <si>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</si>
  <si>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</si>
  <si>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</si>
  <si>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</si>
  <si>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</si>
  <si>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</si>
  <si>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</si>
  <si>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</si>
  <si>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</si>
  <si>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</si>
  <si>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</si>
  <si>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</si>
  <si>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</si>
  <si>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</si>
  <si>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</si>
  <si>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</si>
  <si>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</si>
  <si>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</si>
  <si>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</si>
  <si>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</si>
  <si>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</si>
  <si>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</si>
  <si>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</si>
  <si>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</si>
  <si>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</si>
  <si>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</si>
  <si>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</si>
  <si>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</si>
  <si>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</si>
  <si>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</si>
  <si>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</si>
  <si>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</si>
  <si>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</si>
  <si>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</si>
  <si>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</si>
  <si>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</si>
  <si>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</si>
  <si>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</si>
  <si>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</si>
  <si>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</si>
  <si>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</si>
  <si>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</si>
  <si>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</si>
  <si>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</si>
  <si>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</si>
  <si>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</si>
  <si>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</si>
  <si>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</si>
  <si>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</si>
  <si>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</si>
  <si>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</si>
  <si>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</si>
  <si>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</si>
  <si>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</si>
  <si>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</si>
  <si>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</si>
  <si>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</si>
  <si>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天童市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</si>
</sst>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4" activePane="bottomLeft" state="frozen"/>
      <selection activeCell="E20" sqref="E20"/>
      <selection pane="bottomLeft" activeCell="S26" sqref="S26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99999931001</v>
      </c>
      <c r="G10" s="29">
        <f t="shared" si="2"/>
        <v>99999931001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天童市</v>
      </c>
      <c r="K10" s="31" t="str">
        <f t="shared" si="6"/>
        <v>99999931001医療機関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99999931001</v>
      </c>
      <c r="N10">
        <f>IF(L10&lt;&gt;"○",M10,INDEX(G$4:G9,MATCH(L10&amp;M10,F$4:F9,0)))</f>
        <v>99999931001</v>
      </c>
      <c r="O10" t="str">
        <f t="shared" si="8"/>
        <v>医療機関</v>
      </c>
      <c r="Q10" s="4">
        <v>44947</v>
      </c>
      <c r="S10" t="str">
        <f>$O$1&amp;
931&amp;
REPT("0",3-LEN(ROW($S1)))&amp;ROW($S1)</f>
        <v>99999931001</v>
      </c>
      <c r="T10" t="s">
        <v>50</v>
      </c>
      <c r="U10" t="s">
        <v>50</v>
      </c>
      <c r="V10" t="s">
        <v>446</v>
      </c>
      <c r="AB10" t="str">
        <f>$S$10&amp;"医療機関"</f>
        <v>99999931001医療機関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99999931002</v>
      </c>
      <c r="G11" s="29">
        <f t="shared" si="2"/>
        <v>99999931002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天童市</v>
      </c>
      <c r="K11" s="31" t="str">
        <f t="shared" si="6"/>
        <v>99999931001関連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99999931001</v>
      </c>
      <c r="N11">
        <f>IF(L11&lt;&gt;"○",M11,INDEX(G$4:G10,MATCH(L11&amp;M11,F$4:F10,0)))</f>
        <v>99999931001</v>
      </c>
      <c r="O11" t="str">
        <f t="shared" si="8"/>
        <v>関連</v>
      </c>
      <c r="Q11" s="4">
        <v>44947</v>
      </c>
      <c r="S11" t="str">
        <f t="shared" ref="S11:S24" si="9">$O$1&amp;
931&amp;
REPT("0",3-LEN(ROW($S2)))&amp;ROW($S2)</f>
        <v>99999931002</v>
      </c>
      <c r="T11" t="s">
        <v>50</v>
      </c>
      <c r="U11" t="s">
        <v>50</v>
      </c>
      <c r="V11" t="s">
        <v>446</v>
      </c>
      <c r="AB11" t="str">
        <f>$S$10&amp;"関連"</f>
        <v>99999931001関連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99999931003</v>
      </c>
      <c r="G12" s="29">
        <f t="shared" si="2"/>
        <v>99999931003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天童市</v>
      </c>
      <c r="K12" s="31" t="str">
        <f t="shared" si="6"/>
        <v>99999931001関連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99999931001</v>
      </c>
      <c r="N12">
        <f>IF(L12&lt;&gt;"○",M12,INDEX(G$4:G11,MATCH(L12&amp;M12,F$4:F11,0)))</f>
        <v>99999931001</v>
      </c>
      <c r="O12" t="str">
        <f t="shared" si="8"/>
        <v>関連</v>
      </c>
      <c r="Q12" s="4">
        <v>44947</v>
      </c>
      <c r="S12" t="str">
        <f t="shared" si="9"/>
        <v>99999931003</v>
      </c>
      <c r="T12" t="s">
        <v>50</v>
      </c>
      <c r="U12" t="s">
        <v>50</v>
      </c>
      <c r="V12" t="s">
        <v>446</v>
      </c>
      <c r="AB12" t="str">
        <f t="shared" ref="AB12:AB24" si="10">$S$10&amp;"関連"</f>
        <v>99999931001関連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99999931004</v>
      </c>
      <c r="G13" s="29">
        <f t="shared" si="2"/>
        <v>99999931004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天童市</v>
      </c>
      <c r="K13" s="31" t="str">
        <f t="shared" si="6"/>
        <v>99999931001関連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99999931001</v>
      </c>
      <c r="N13">
        <f>IF(L13&lt;&gt;"○",M13,INDEX(G$4:G12,MATCH(L13&amp;M13,F$4:F12,0)))</f>
        <v>99999931001</v>
      </c>
      <c r="O13" t="str">
        <f t="shared" si="8"/>
        <v>関連</v>
      </c>
      <c r="Q13" s="4">
        <v>44947</v>
      </c>
      <c r="S13" t="str">
        <f t="shared" si="9"/>
        <v>99999931004</v>
      </c>
      <c r="T13" t="s">
        <v>50</v>
      </c>
      <c r="U13" t="s">
        <v>50</v>
      </c>
      <c r="V13" t="s">
        <v>446</v>
      </c>
      <c r="AB13" t="str">
        <f t="shared" si="10"/>
        <v>99999931001関連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99999931005</v>
      </c>
      <c r="G14" s="29">
        <f t="shared" si="2"/>
        <v>99999931005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天童市</v>
      </c>
      <c r="K14" s="31" t="str">
        <f t="shared" si="6"/>
        <v>99999931001関連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99999931001</v>
      </c>
      <c r="N14">
        <f>IF(L14&lt;&gt;"○",M14,INDEX(G$4:G13,MATCH(L14&amp;M14,F$4:F13,0)))</f>
        <v>99999931001</v>
      </c>
      <c r="O14" t="str">
        <f t="shared" si="8"/>
        <v>関連</v>
      </c>
      <c r="Q14" s="4">
        <v>44947</v>
      </c>
      <c r="S14" t="str">
        <f t="shared" si="9"/>
        <v>99999931005</v>
      </c>
      <c r="T14" t="s">
        <v>50</v>
      </c>
      <c r="U14" t="s">
        <v>50</v>
      </c>
      <c r="V14" t="s">
        <v>446</v>
      </c>
      <c r="AB14" t="str">
        <f t="shared" si="10"/>
        <v>99999931001関連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99999931006</v>
      </c>
      <c r="G15" s="29">
        <f t="shared" si="2"/>
        <v>99999931006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天童市</v>
      </c>
      <c r="K15" s="31" t="str">
        <f t="shared" si="6"/>
        <v>99999931001関連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99999931001</v>
      </c>
      <c r="N15">
        <f>IF(L15&lt;&gt;"○",M15,INDEX(G$4:G14,MATCH(L15&amp;M15,F$4:F14,0)))</f>
        <v>99999931001</v>
      </c>
      <c r="O15" t="str">
        <f t="shared" si="8"/>
        <v>関連</v>
      </c>
      <c r="Q15" s="4">
        <v>44947</v>
      </c>
      <c r="S15" t="str">
        <f t="shared" si="9"/>
        <v>99999931006</v>
      </c>
      <c r="T15" t="s">
        <v>50</v>
      </c>
      <c r="U15" t="s">
        <v>50</v>
      </c>
      <c r="V15" t="s">
        <v>446</v>
      </c>
      <c r="AB15" t="str">
        <f t="shared" si="10"/>
        <v>99999931001関連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99999931007</v>
      </c>
      <c r="G16" s="29">
        <f t="shared" si="2"/>
        <v>99999931007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天童市</v>
      </c>
      <c r="K16" s="31" t="str">
        <f t="shared" si="6"/>
        <v>99999931001関連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99999931001</v>
      </c>
      <c r="N16">
        <f>IF(L16&lt;&gt;"○",M16,INDEX(G$4:G15,MATCH(L16&amp;M16,F$4:F15,0)))</f>
        <v>99999931001</v>
      </c>
      <c r="O16" t="str">
        <f t="shared" si="8"/>
        <v>関連</v>
      </c>
      <c r="Q16" s="4">
        <v>44947</v>
      </c>
      <c r="S16" t="str">
        <f t="shared" si="9"/>
        <v>99999931007</v>
      </c>
      <c r="T16" t="s">
        <v>50</v>
      </c>
      <c r="U16" t="s">
        <v>50</v>
      </c>
      <c r="V16" t="s">
        <v>446</v>
      </c>
      <c r="AB16" t="str">
        <f t="shared" si="10"/>
        <v>99999931001関連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99999931008</v>
      </c>
      <c r="G17" s="29">
        <f t="shared" si="2"/>
        <v>99999931008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天童市</v>
      </c>
      <c r="K17" s="31" t="str">
        <f t="shared" si="6"/>
        <v>99999931001関連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99999931001</v>
      </c>
      <c r="N17">
        <f>IF(L17&lt;&gt;"○",M17,INDEX(G$4:G16,MATCH(L17&amp;M17,F$4:F16,0)))</f>
        <v>99999931001</v>
      </c>
      <c r="O17" t="str">
        <f t="shared" si="8"/>
        <v>関連</v>
      </c>
      <c r="Q17" s="4">
        <v>44947</v>
      </c>
      <c r="S17" t="str">
        <f t="shared" si="9"/>
        <v>99999931008</v>
      </c>
      <c r="T17" t="s">
        <v>50</v>
      </c>
      <c r="U17" t="s">
        <v>50</v>
      </c>
      <c r="V17" t="s">
        <v>446</v>
      </c>
      <c r="AB17" t="str">
        <f t="shared" si="10"/>
        <v>99999931001関連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99999931009</v>
      </c>
      <c r="G18" s="29">
        <f t="shared" si="2"/>
        <v>99999931009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天童市</v>
      </c>
      <c r="K18" s="31" t="str">
        <f t="shared" si="6"/>
        <v>99999931001関連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99999931001</v>
      </c>
      <c r="N18">
        <f>IF(L18&lt;&gt;"○",M18,INDEX(G$4:G17,MATCH(L18&amp;M18,F$4:F17,0)))</f>
        <v>99999931001</v>
      </c>
      <c r="O18" t="str">
        <f t="shared" si="8"/>
        <v>関連</v>
      </c>
      <c r="Q18" s="4">
        <v>44947</v>
      </c>
      <c r="S18" t="str">
        <f t="shared" si="9"/>
        <v>99999931009</v>
      </c>
      <c r="T18" t="s">
        <v>50</v>
      </c>
      <c r="U18" t="s">
        <v>50</v>
      </c>
      <c r="V18" t="s">
        <v>446</v>
      </c>
      <c r="AB18" t="str">
        <f t="shared" si="10"/>
        <v>99999931001関連</v>
      </c>
    </row>
    <row r="19" spans="2:28" x14ac:dyDescent="0.4">
      <c r="B19" t="s">
        <v>21</v>
      </c>
      <c r="C19">
        <f>IF(G19="","",MAX(C$4:C18)+1)</f>
        <v>10</v>
      </c>
      <c r="D19">
        <f>IF(AND(N19=""),"",MAX(D$4:D18)+1)</f>
        <v>10</v>
      </c>
      <c r="F19" s="26" t="str">
        <f t="shared" si="1"/>
        <v>99999931010</v>
      </c>
      <c r="G19" s="29">
        <f t="shared" si="2"/>
        <v>99999931010</v>
      </c>
      <c r="H19" s="20" t="str">
        <f t="shared" si="3"/>
        <v>-</v>
      </c>
      <c r="I19" s="20" t="str">
        <f t="shared" si="4"/>
        <v>ー</v>
      </c>
      <c r="J19" s="20" t="str">
        <f t="shared" si="5"/>
        <v>天童市</v>
      </c>
      <c r="K19" s="31" t="str">
        <f t="shared" si="6"/>
        <v>99999931001関連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99999931001</v>
      </c>
      <c r="N19">
        <f>IF(L19&lt;&gt;"○",M19,INDEX(G$4:G18,MATCH(L19&amp;M19,F$4:F18,0)))</f>
        <v>99999931001</v>
      </c>
      <c r="O19" t="str">
        <f t="shared" si="8"/>
        <v>関連</v>
      </c>
      <c r="Q19" s="4">
        <v>44947</v>
      </c>
      <c r="S19" t="str">
        <f t="shared" si="9"/>
        <v>99999931010</v>
      </c>
      <c r="T19" t="s">
        <v>50</v>
      </c>
      <c r="U19" t="s">
        <v>50</v>
      </c>
      <c r="V19" t="s">
        <v>446</v>
      </c>
      <c r="AB19" t="str">
        <f t="shared" si="10"/>
        <v>99999931001関連</v>
      </c>
    </row>
    <row r="20" spans="2:28" x14ac:dyDescent="0.4">
      <c r="B20" t="s">
        <v>21</v>
      </c>
      <c r="C20">
        <f>IF(G20="","",MAX(C$4:C19)+1)</f>
        <v>11</v>
      </c>
      <c r="D20">
        <f>IF(AND(N20=""),"",MAX(D$4:D19)+1)</f>
        <v>11</v>
      </c>
      <c r="F20" s="26" t="str">
        <f t="shared" si="1"/>
        <v>99999931011</v>
      </c>
      <c r="G20" s="29">
        <f t="shared" si="2"/>
        <v>99999931011</v>
      </c>
      <c r="H20" s="20" t="str">
        <f t="shared" si="3"/>
        <v>-</v>
      </c>
      <c r="I20" s="20" t="str">
        <f t="shared" si="4"/>
        <v>ー</v>
      </c>
      <c r="J20" s="20" t="str">
        <f t="shared" si="5"/>
        <v>天童市</v>
      </c>
      <c r="K20" s="31" t="str">
        <f t="shared" si="6"/>
        <v>99999931001関連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99999931001</v>
      </c>
      <c r="N20">
        <f>IF(L20&lt;&gt;"○",M20,INDEX(G$4:G19,MATCH(L20&amp;M20,F$4:F19,0)))</f>
        <v>99999931001</v>
      </c>
      <c r="O20" t="str">
        <f t="shared" si="8"/>
        <v>関連</v>
      </c>
      <c r="Q20" s="4">
        <v>44947</v>
      </c>
      <c r="S20" t="str">
        <f t="shared" si="9"/>
        <v>99999931011</v>
      </c>
      <c r="T20" t="s">
        <v>50</v>
      </c>
      <c r="U20" t="s">
        <v>50</v>
      </c>
      <c r="V20" t="s">
        <v>446</v>
      </c>
      <c r="AB20" t="str">
        <f t="shared" si="10"/>
        <v>99999931001関連</v>
      </c>
    </row>
    <row r="21" spans="2:28" x14ac:dyDescent="0.4">
      <c r="B21" t="s">
        <v>21</v>
      </c>
      <c r="C21">
        <f>IF(G21="","",MAX(C$4:C20)+1)</f>
        <v>12</v>
      </c>
      <c r="D21">
        <f>IF(AND(N21=""),"",MAX(D$4:D20)+1)</f>
        <v>12</v>
      </c>
      <c r="F21" s="26" t="str">
        <f t="shared" si="1"/>
        <v>99999931012</v>
      </c>
      <c r="G21" s="29">
        <f t="shared" si="2"/>
        <v>99999931012</v>
      </c>
      <c r="H21" s="20" t="str">
        <f t="shared" si="3"/>
        <v>-</v>
      </c>
      <c r="I21" s="20" t="str">
        <f t="shared" si="4"/>
        <v>ー</v>
      </c>
      <c r="J21" s="20" t="str">
        <f t="shared" si="5"/>
        <v>天童市</v>
      </c>
      <c r="K21" s="31" t="str">
        <f t="shared" si="6"/>
        <v>99999931001関連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99999931001</v>
      </c>
      <c r="N21">
        <f>IF(L21&lt;&gt;"○",M21,INDEX(G$4:G20,MATCH(L21&amp;M21,F$4:F20,0)))</f>
        <v>99999931001</v>
      </c>
      <c r="O21" t="str">
        <f t="shared" si="8"/>
        <v>関連</v>
      </c>
      <c r="Q21" s="4">
        <v>44947</v>
      </c>
      <c r="S21" t="str">
        <f t="shared" si="9"/>
        <v>99999931012</v>
      </c>
      <c r="T21" t="s">
        <v>50</v>
      </c>
      <c r="U21" t="s">
        <v>50</v>
      </c>
      <c r="V21" t="s">
        <v>446</v>
      </c>
      <c r="AB21" t="str">
        <f t="shared" si="10"/>
        <v>99999931001関連</v>
      </c>
    </row>
    <row r="22" spans="2:28" x14ac:dyDescent="0.4">
      <c r="B22" t="s">
        <v>21</v>
      </c>
      <c r="C22">
        <f>IF(G22="","",MAX(C$4:C21)+1)</f>
        <v>13</v>
      </c>
      <c r="D22">
        <f>IF(AND(N22=""),"",MAX(D$4:D21)+1)</f>
        <v>13</v>
      </c>
      <c r="F22" s="26" t="str">
        <f t="shared" si="1"/>
        <v>99999931013</v>
      </c>
      <c r="G22" s="29">
        <f t="shared" si="2"/>
        <v>99999931013</v>
      </c>
      <c r="H22" s="20" t="str">
        <f t="shared" si="3"/>
        <v>-</v>
      </c>
      <c r="I22" s="20" t="str">
        <f t="shared" si="4"/>
        <v>ー</v>
      </c>
      <c r="J22" s="20" t="str">
        <f t="shared" si="5"/>
        <v>天童市</v>
      </c>
      <c r="K22" s="31" t="str">
        <f t="shared" si="6"/>
        <v>99999931001関連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99999931001</v>
      </c>
      <c r="N22">
        <f>IF(L22&lt;&gt;"○",M22,INDEX(G$4:G21,MATCH(L22&amp;M22,F$4:F21,0)))</f>
        <v>99999931001</v>
      </c>
      <c r="O22" t="str">
        <f t="shared" si="8"/>
        <v>関連</v>
      </c>
      <c r="Q22" s="4">
        <v>44947</v>
      </c>
      <c r="S22" t="str">
        <f t="shared" si="9"/>
        <v>99999931013</v>
      </c>
      <c r="T22" t="s">
        <v>50</v>
      </c>
      <c r="U22" t="s">
        <v>50</v>
      </c>
      <c r="V22" t="s">
        <v>446</v>
      </c>
      <c r="AB22" t="str">
        <f t="shared" si="10"/>
        <v>99999931001関連</v>
      </c>
    </row>
    <row r="23" spans="2:28" x14ac:dyDescent="0.4">
      <c r="B23" t="s">
        <v>21</v>
      </c>
      <c r="C23">
        <f>IF(G23="","",MAX(C$4:C22)+1)</f>
        <v>14</v>
      </c>
      <c r="D23">
        <f>IF(AND(N23=""),"",MAX(D$4:D22)+1)</f>
        <v>14</v>
      </c>
      <c r="F23" s="26" t="str">
        <f t="shared" si="1"/>
        <v>99999931014</v>
      </c>
      <c r="G23" s="29">
        <f t="shared" si="2"/>
        <v>99999931014</v>
      </c>
      <c r="H23" s="20" t="str">
        <f t="shared" si="3"/>
        <v>-</v>
      </c>
      <c r="I23" s="20" t="str">
        <f t="shared" si="4"/>
        <v>ー</v>
      </c>
      <c r="J23" s="20" t="str">
        <f t="shared" si="5"/>
        <v>天童市</v>
      </c>
      <c r="K23" s="31" t="str">
        <f t="shared" si="6"/>
        <v>99999931001関連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99999931001</v>
      </c>
      <c r="N23">
        <f>IF(L23&lt;&gt;"○",M23,INDEX(G$4:G22,MATCH(L23&amp;M23,F$4:F22,0)))</f>
        <v>99999931001</v>
      </c>
      <c r="O23" t="str">
        <f t="shared" si="8"/>
        <v>関連</v>
      </c>
      <c r="Q23" s="4">
        <v>44947</v>
      </c>
      <c r="S23" t="str">
        <f t="shared" si="9"/>
        <v>99999931014</v>
      </c>
      <c r="T23" t="s">
        <v>50</v>
      </c>
      <c r="U23" t="s">
        <v>50</v>
      </c>
      <c r="V23" t="s">
        <v>446</v>
      </c>
      <c r="AB23" t="str">
        <f t="shared" si="10"/>
        <v>99999931001関連</v>
      </c>
    </row>
    <row r="24" spans="2:28" x14ac:dyDescent="0.4">
      <c r="B24" t="s">
        <v>21</v>
      </c>
      <c r="C24">
        <f>IF(G24="","",MAX(C$4:C23)+1)</f>
        <v>15</v>
      </c>
      <c r="D24">
        <f>IF(AND(N24=""),"",MAX(D$4:D23)+1)</f>
        <v>15</v>
      </c>
      <c r="F24" s="26" t="str">
        <f t="shared" si="1"/>
        <v>99999931015</v>
      </c>
      <c r="G24" s="29">
        <f t="shared" si="2"/>
        <v>99999931015</v>
      </c>
      <c r="H24" s="20" t="str">
        <f t="shared" si="3"/>
        <v>-</v>
      </c>
      <c r="I24" s="20" t="str">
        <f t="shared" si="4"/>
        <v>ー</v>
      </c>
      <c r="J24" s="20" t="str">
        <f t="shared" si="5"/>
        <v>天童市</v>
      </c>
      <c r="K24" s="31" t="str">
        <f t="shared" si="6"/>
        <v>99999931001関連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99999931001</v>
      </c>
      <c r="N24">
        <f>IF(L24&lt;&gt;"○",M24,INDEX(G$4:G23,MATCH(L24&amp;M24,F$4:F23,0)))</f>
        <v>99999931001</v>
      </c>
      <c r="O24" t="str">
        <f t="shared" si="8"/>
        <v>関連</v>
      </c>
      <c r="Q24" s="4">
        <v>44947</v>
      </c>
      <c r="S24" t="str">
        <f t="shared" si="9"/>
        <v>99999931015</v>
      </c>
      <c r="T24" t="s">
        <v>50</v>
      </c>
      <c r="U24" t="s">
        <v>50</v>
      </c>
      <c r="V24" t="s">
        <v>446</v>
      </c>
      <c r="AB24" t="str">
        <f t="shared" si="10"/>
        <v>99999931001関連</v>
      </c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2023/1/21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99999931001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天童市</v>
      </c>
      <c r="H3" s="10" t="str">
        <f>IF(ROW(G1)&gt;MAX(Main!$C$4:$C$1048576),"",INDEX(Main!K$4:K$1048576,MATCH(ROW(G1),Main!$C$4:$C$1048576,0)))</f>
        <v>99999931001医療機関</v>
      </c>
      <c r="I3" s="1">
        <f>IF(H3&lt;&gt;"",IF(ROW(G1)&gt;MAX(Main!$C$4:$C$1048576),"",INDEX(Main!N$4:N$1048576,MATCH(ROW(G1),Main!$C$4:$C$1048576,0))),"")</f>
        <v>99999931001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医療機関</v>
      </c>
      <c r="K3" s="27" t="str">
        <f t="shared" ref="K3:K66" si="1">IF(ISERROR(FIND($Y$1, $C3)), $C3&amp;
"例目",
"クラスターNo."&amp;LEFT(REPLACE($C3, 1, LEN($Y$1), ""), LEN($C3)-3-LEN($Y$1)))</f>
        <v>クラスターNo.931</v>
      </c>
      <c r="M3" s="4" t="str">
        <f>TEXT(IF(ROW(A1)&gt;MAX(Main!$D$4:$D$1048576),"",INDEX(Main!Q$4:Q$1048576,MATCH(ROW(A1),Main!$D$4:$D$1048576,0))), "yyyy/m/d")</f>
        <v>2023/1/21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99999931001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天童市</v>
      </c>
      <c r="S3" s="9" t="str">
        <f>IF(ROW(G1)&gt;MAX(Main!$D$4:$D$1048576),"",INDEX(Main!K$4:K$1048576,MATCH(ROW(G1),Main!$D$4:$D$1048576,0)))</f>
        <v>99999931001医療機関</v>
      </c>
      <c r="T3" s="1">
        <f>IF(S3&lt;&gt;"",IF(ROW(G1)&gt;MAX(Main!$D$4:$D$1048576),"",INDEX(Main!N$4:N$1048576,MATCH(ROW(G1),Main!$D$4:$D$1048576,0))),"")</f>
        <v>99999931001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医療機関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2023/1/21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99999931002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天童市</v>
      </c>
      <c r="H4" s="10" t="str">
        <f>IF(ROW(G2)&gt;MAX(Main!$C$4:$C$1048576),"",INDEX(Main!K$4:K$1048576,MATCH(ROW(G2),Main!$C$4:$C$1048576,0)))</f>
        <v>99999931001関連</v>
      </c>
      <c r="I4" s="1">
        <f>IF(H4&lt;&gt;"",IF(ROW(G2)&gt;MAX(Main!$C$4:$C$1048576),"",INDEX(Main!N$4:N$1048576,MATCH(ROW(G2),Main!$C$4:$C$1048576,0))),"")</f>
        <v>99999931001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クラスターNo.931</v>
      </c>
      <c r="M4" s="4" t="str">
        <f>TEXT(IF(ROW(A2)&gt;MAX(Main!$D$4:$D$1048576),"",INDEX(Main!Q$4:Q$1048576,MATCH(ROW(A2),Main!$D$4:$D$1048576,0))), "yyyy/m/d")</f>
        <v>2023/1/21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99999931002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天童市</v>
      </c>
      <c r="S4" s="9" t="str">
        <f>IF(ROW(G2)&gt;MAX(Main!$D$4:$D$1048576),"",INDEX(Main!K$4:K$1048576,MATCH(ROW(G2),Main!$D$4:$D$1048576,0)))</f>
        <v>99999931001関連</v>
      </c>
      <c r="T4" s="1">
        <f>IF(S4&lt;&gt;"",IF(ROW(G2)&gt;MAX(Main!$D$4:$D$1048576),"",INDEX(Main!N$4:N$1048576,MATCH(ROW(G2),Main!$D$4:$D$1048576,0))),"")</f>
        <v>99999931001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2023/1/21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99999931003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天童市</v>
      </c>
      <c r="H5" s="10" t="str">
        <f>IF(ROW(G3)&gt;MAX(Main!$C$4:$C$1048576),"",INDEX(Main!K$4:K$1048576,MATCH(ROW(G3),Main!$C$4:$C$1048576,0)))</f>
        <v>99999931001関連</v>
      </c>
      <c r="I5" s="1">
        <f>IF(H5&lt;&gt;"",IF(ROW(G3)&gt;MAX(Main!$C$4:$C$1048576),"",INDEX(Main!N$4:N$1048576,MATCH(ROW(G3),Main!$C$4:$C$1048576,0))),"")</f>
        <v>99999931001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クラスターNo.931</v>
      </c>
      <c r="M5" s="4" t="str">
        <f>TEXT(IF(ROW(A3)&gt;MAX(Main!$D$4:$D$1048576),"",INDEX(Main!Q$4:Q$1048576,MATCH(ROW(A3),Main!$D$4:$D$1048576,0))), "yyyy/m/d")</f>
        <v>2023/1/21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99999931003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天童市</v>
      </c>
      <c r="S5" s="9" t="str">
        <f>IF(ROW(G3)&gt;MAX(Main!$D$4:$D$1048576),"",INDEX(Main!K$4:K$1048576,MATCH(ROW(G3),Main!$D$4:$D$1048576,0)))</f>
        <v>99999931001関連</v>
      </c>
      <c r="T5" s="1">
        <f>IF(S5&lt;&gt;"",IF(ROW(G3)&gt;MAX(Main!$D$4:$D$1048576),"",INDEX(Main!N$4:N$1048576,MATCH(ROW(G3),Main!$D$4:$D$1048576,0))),"")</f>
        <v>99999931001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2023/1/21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99999931004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天童市</v>
      </c>
      <c r="H6" s="10" t="str">
        <f>IF(ROW(G4)&gt;MAX(Main!$C$4:$C$1048576),"",INDEX(Main!K$4:K$1048576,MATCH(ROW(G4),Main!$C$4:$C$1048576,0)))</f>
        <v>99999931001関連</v>
      </c>
      <c r="I6" s="1">
        <f>IF(H6&lt;&gt;"",IF(ROW(G4)&gt;MAX(Main!$C$4:$C$1048576),"",INDEX(Main!N$4:N$1048576,MATCH(ROW(G4),Main!$C$4:$C$1048576,0))),"")</f>
        <v>99999931001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クラスターNo.931</v>
      </c>
      <c r="M6" s="4" t="str">
        <f>TEXT(IF(ROW(A4)&gt;MAX(Main!$D$4:$D$1048576),"",INDEX(Main!Q$4:Q$1048576,MATCH(ROW(A4),Main!$D$4:$D$1048576,0))), "yyyy/m/d")</f>
        <v>2023/1/21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99999931004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天童市</v>
      </c>
      <c r="S6" s="9" t="str">
        <f>IF(ROW(G4)&gt;MAX(Main!$D$4:$D$1048576),"",INDEX(Main!K$4:K$1048576,MATCH(ROW(G4),Main!$D$4:$D$1048576,0)))</f>
        <v>99999931001関連</v>
      </c>
      <c r="T6" s="1">
        <f>IF(S6&lt;&gt;"",IF(ROW(G4)&gt;MAX(Main!$D$4:$D$1048576),"",INDEX(Main!N$4:N$1048576,MATCH(ROW(G4),Main!$D$4:$D$1048576,0))),"")</f>
        <v>99999931001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2023/1/21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99999931005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天童市</v>
      </c>
      <c r="H7" s="10" t="str">
        <f>IF(ROW(G5)&gt;MAX(Main!$C$4:$C$1048576),"",INDEX(Main!K$4:K$1048576,MATCH(ROW(G5),Main!$C$4:$C$1048576,0)))</f>
        <v>99999931001関連</v>
      </c>
      <c r="I7" s="1">
        <f>IF(H7&lt;&gt;"",IF(ROW(G5)&gt;MAX(Main!$C$4:$C$1048576),"",INDEX(Main!N$4:N$1048576,MATCH(ROW(G5),Main!$C$4:$C$1048576,0))),"")</f>
        <v>99999931001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クラスターNo.931</v>
      </c>
      <c r="M7" s="4" t="str">
        <f>TEXT(IF(ROW(A5)&gt;MAX(Main!$D$4:$D$1048576),"",INDEX(Main!Q$4:Q$1048576,MATCH(ROW(A5),Main!$D$4:$D$1048576,0))), "yyyy/m/d")</f>
        <v>2023/1/21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99999931005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天童市</v>
      </c>
      <c r="S7" s="9" t="str">
        <f>IF(ROW(G5)&gt;MAX(Main!$D$4:$D$1048576),"",INDEX(Main!K$4:K$1048576,MATCH(ROW(G5),Main!$D$4:$D$1048576,0)))</f>
        <v>99999931001関連</v>
      </c>
      <c r="T7" s="1">
        <f>IF(S7&lt;&gt;"",IF(ROW(G5)&gt;MAX(Main!$D$4:$D$1048576),"",INDEX(Main!N$4:N$1048576,MATCH(ROW(G5),Main!$D$4:$D$1048576,0))),"")</f>
        <v>99999931001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2023/1/21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99999931006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天童市</v>
      </c>
      <c r="H8" s="10" t="str">
        <f>IF(ROW(G6)&gt;MAX(Main!$C$4:$C$1048576),"",INDEX(Main!K$4:K$1048576,MATCH(ROW(G6),Main!$C$4:$C$1048576,0)))</f>
        <v>99999931001関連</v>
      </c>
      <c r="I8" s="1">
        <f>IF(H8&lt;&gt;"",IF(ROW(G6)&gt;MAX(Main!$C$4:$C$1048576),"",INDEX(Main!N$4:N$1048576,MATCH(ROW(G6),Main!$C$4:$C$1048576,0))),"")</f>
        <v>99999931001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クラスターNo.931</v>
      </c>
      <c r="M8" s="4" t="str">
        <f>TEXT(IF(ROW(A6)&gt;MAX(Main!$D$4:$D$1048576),"",INDEX(Main!Q$4:Q$1048576,MATCH(ROW(A6),Main!$D$4:$D$1048576,0))), "yyyy/m/d")</f>
        <v>2023/1/21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99999931006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天童市</v>
      </c>
      <c r="S8" s="9" t="str">
        <f>IF(ROW(G6)&gt;MAX(Main!$D$4:$D$1048576),"",INDEX(Main!K$4:K$1048576,MATCH(ROW(G6),Main!$D$4:$D$1048576,0)))</f>
        <v>99999931001関連</v>
      </c>
      <c r="T8" s="1">
        <f>IF(S8&lt;&gt;"",IF(ROW(G6)&gt;MAX(Main!$D$4:$D$1048576),"",INDEX(Main!N$4:N$1048576,MATCH(ROW(G6),Main!$D$4:$D$1048576,0))),"")</f>
        <v>99999931001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2023/1/21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99999931007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天童市</v>
      </c>
      <c r="H9" s="10" t="str">
        <f>IF(ROW(G7)&gt;MAX(Main!$C$4:$C$1048576),"",INDEX(Main!K$4:K$1048576,MATCH(ROW(G7),Main!$C$4:$C$1048576,0)))</f>
        <v>99999931001関連</v>
      </c>
      <c r="I9" s="1">
        <f>IF(H9&lt;&gt;"",IF(ROW(G7)&gt;MAX(Main!$C$4:$C$1048576),"",INDEX(Main!N$4:N$1048576,MATCH(ROW(G7),Main!$C$4:$C$1048576,0))),"")</f>
        <v>99999931001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クラスターNo.931</v>
      </c>
      <c r="M9" s="4" t="str">
        <f>TEXT(IF(ROW(A7)&gt;MAX(Main!$D$4:$D$1048576),"",INDEX(Main!Q$4:Q$1048576,MATCH(ROW(A7),Main!$D$4:$D$1048576,0))), "yyyy/m/d")</f>
        <v>2023/1/21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99999931007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天童市</v>
      </c>
      <c r="S9" s="9" t="str">
        <f>IF(ROW(G7)&gt;MAX(Main!$D$4:$D$1048576),"",INDEX(Main!K$4:K$1048576,MATCH(ROW(G7),Main!$D$4:$D$1048576,0)))</f>
        <v>99999931001関連</v>
      </c>
      <c r="T9" s="1">
        <f>IF(S9&lt;&gt;"",IF(ROW(G7)&gt;MAX(Main!$D$4:$D$1048576),"",INDEX(Main!N$4:N$1048576,MATCH(ROW(G7),Main!$D$4:$D$1048576,0))),"")</f>
        <v>99999931001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2023/1/21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99999931008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天童市</v>
      </c>
      <c r="H10" s="10" t="str">
        <f>IF(ROW(G8)&gt;MAX(Main!$C$4:$C$1048576),"",INDEX(Main!K$4:K$1048576,MATCH(ROW(G8),Main!$C$4:$C$1048576,0)))</f>
        <v>99999931001関連</v>
      </c>
      <c r="I10" s="1">
        <f>IF(H10&lt;&gt;"",IF(ROW(G8)&gt;MAX(Main!$C$4:$C$1048576),"",INDEX(Main!N$4:N$1048576,MATCH(ROW(G8),Main!$C$4:$C$1048576,0))),"")</f>
        <v>99999931001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クラスターNo.931</v>
      </c>
      <c r="M10" s="4" t="str">
        <f>TEXT(IF(ROW(A8)&gt;MAX(Main!$D$4:$D$1048576),"",INDEX(Main!Q$4:Q$1048576,MATCH(ROW(A8),Main!$D$4:$D$1048576,0))), "yyyy/m/d")</f>
        <v>2023/1/21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99999931008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天童市</v>
      </c>
      <c r="S10" s="9" t="str">
        <f>IF(ROW(G8)&gt;MAX(Main!$D$4:$D$1048576),"",INDEX(Main!K$4:K$1048576,MATCH(ROW(G8),Main!$D$4:$D$1048576,0)))</f>
        <v>99999931001関連</v>
      </c>
      <c r="T10" s="1">
        <f>IF(S10&lt;&gt;"",IF(ROW(G8)&gt;MAX(Main!$D$4:$D$1048576),"",INDEX(Main!N$4:N$1048576,MATCH(ROW(G8),Main!$D$4:$D$1048576,0))),"")</f>
        <v>99999931001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2023/1/21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99999931009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天童市</v>
      </c>
      <c r="H11" s="10" t="str">
        <f>IF(ROW(G9)&gt;MAX(Main!$C$4:$C$1048576),"",INDEX(Main!K$4:K$1048576,MATCH(ROW(G9),Main!$C$4:$C$1048576,0)))</f>
        <v>99999931001関連</v>
      </c>
      <c r="I11" s="1">
        <f>IF(H11&lt;&gt;"",IF(ROW(G9)&gt;MAX(Main!$C$4:$C$1048576),"",INDEX(Main!N$4:N$1048576,MATCH(ROW(G9),Main!$C$4:$C$1048576,0))),"")</f>
        <v>99999931001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クラスターNo.931</v>
      </c>
      <c r="M11" s="4" t="str">
        <f>TEXT(IF(ROW(A9)&gt;MAX(Main!$D$4:$D$1048576),"",INDEX(Main!Q$4:Q$1048576,MATCH(ROW(A9),Main!$D$4:$D$1048576,0))), "yyyy/m/d")</f>
        <v>2023/1/21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99999931009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天童市</v>
      </c>
      <c r="S11" s="9" t="str">
        <f>IF(ROW(G9)&gt;MAX(Main!$D$4:$D$1048576),"",INDEX(Main!K$4:K$1048576,MATCH(ROW(G9),Main!$D$4:$D$1048576,0)))</f>
        <v>99999931001関連</v>
      </c>
      <c r="T11" s="1">
        <f>IF(S11&lt;&gt;"",IF(ROW(G9)&gt;MAX(Main!$D$4:$D$1048576),"",INDEX(Main!N$4:N$1048576,MATCH(ROW(G9),Main!$D$4:$D$1048576,0))),"")</f>
        <v>99999931001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2023/1/21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99999931010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天童市</v>
      </c>
      <c r="H12" s="10" t="str">
        <f>IF(ROW(G10)&gt;MAX(Main!$C$4:$C$1048576),"",INDEX(Main!K$4:K$1048576,MATCH(ROW(G10),Main!$C$4:$C$1048576,0)))</f>
        <v>99999931001関連</v>
      </c>
      <c r="I12" s="1">
        <f>IF(H12&lt;&gt;"",IF(ROW(G10)&gt;MAX(Main!$C$4:$C$1048576),"",INDEX(Main!N$4:N$1048576,MATCH(ROW(G10),Main!$C$4:$C$1048576,0))),"")</f>
        <v>99999931001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クラスターNo.931</v>
      </c>
      <c r="M12" s="4" t="str">
        <f>TEXT(IF(ROW(A10)&gt;MAX(Main!$D$4:$D$1048576),"",INDEX(Main!Q$4:Q$1048576,MATCH(ROW(A10),Main!$D$4:$D$1048576,0))), "yyyy/m/d")</f>
        <v>2023/1/21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99999931010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天童市</v>
      </c>
      <c r="S12" s="9" t="str">
        <f>IF(ROW(G10)&gt;MAX(Main!$D$4:$D$1048576),"",INDEX(Main!K$4:K$1048576,MATCH(ROW(G10),Main!$D$4:$D$1048576,0)))</f>
        <v>99999931001関連</v>
      </c>
      <c r="T12" s="1">
        <f>IF(S12&lt;&gt;"",IF(ROW(G10)&gt;MAX(Main!$D$4:$D$1048576),"",INDEX(Main!N$4:N$1048576,MATCH(ROW(G10),Main!$D$4:$D$1048576,0))),"")</f>
        <v>99999931001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2023/1/21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99999931011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天童市</v>
      </c>
      <c r="H13" s="10" t="str">
        <f>IF(ROW(G11)&gt;MAX(Main!$C$4:$C$1048576),"",INDEX(Main!K$4:K$1048576,MATCH(ROW(G11),Main!$C$4:$C$1048576,0)))</f>
        <v>99999931001関連</v>
      </c>
      <c r="I13" s="1">
        <f>IF(H13&lt;&gt;"",IF(ROW(G11)&gt;MAX(Main!$C$4:$C$1048576),"",INDEX(Main!N$4:N$1048576,MATCH(ROW(G11),Main!$C$4:$C$1048576,0))),"")</f>
        <v>99999931001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クラスターNo.931</v>
      </c>
      <c r="M13" s="4" t="str">
        <f>TEXT(IF(ROW(A11)&gt;MAX(Main!$D$4:$D$1048576),"",INDEX(Main!Q$4:Q$1048576,MATCH(ROW(A11),Main!$D$4:$D$1048576,0))), "yyyy/m/d")</f>
        <v>2023/1/21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99999931011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天童市</v>
      </c>
      <c r="S13" s="9" t="str">
        <f>IF(ROW(G11)&gt;MAX(Main!$D$4:$D$1048576),"",INDEX(Main!K$4:K$1048576,MATCH(ROW(G11),Main!$D$4:$D$1048576,0)))</f>
        <v>99999931001関連</v>
      </c>
      <c r="T13" s="1">
        <f>IF(S13&lt;&gt;"",IF(ROW(G11)&gt;MAX(Main!$D$4:$D$1048576),"",INDEX(Main!N$4:N$1048576,MATCH(ROW(G11),Main!$D$4:$D$1048576,0))),"")</f>
        <v>99999931001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2023/1/21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99999931012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天童市</v>
      </c>
      <c r="H14" s="10" t="str">
        <f>IF(ROW(G12)&gt;MAX(Main!$C$4:$C$1048576),"",INDEX(Main!K$4:K$1048576,MATCH(ROW(G12),Main!$C$4:$C$1048576,0)))</f>
        <v>99999931001関連</v>
      </c>
      <c r="I14" s="1">
        <f>IF(H14&lt;&gt;"",IF(ROW(G12)&gt;MAX(Main!$C$4:$C$1048576),"",INDEX(Main!N$4:N$1048576,MATCH(ROW(G12),Main!$C$4:$C$1048576,0))),"")</f>
        <v>99999931001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クラスターNo.931</v>
      </c>
      <c r="M14" s="4" t="str">
        <f>TEXT(IF(ROW(A12)&gt;MAX(Main!$D$4:$D$1048576),"",INDEX(Main!Q$4:Q$1048576,MATCH(ROW(A12),Main!$D$4:$D$1048576,0))), "yyyy/m/d")</f>
        <v>2023/1/21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99999931012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天童市</v>
      </c>
      <c r="S14" s="9" t="str">
        <f>IF(ROW(G12)&gt;MAX(Main!$D$4:$D$1048576),"",INDEX(Main!K$4:K$1048576,MATCH(ROW(G12),Main!$D$4:$D$1048576,0)))</f>
        <v>99999931001関連</v>
      </c>
      <c r="T14" s="1">
        <f>IF(S14&lt;&gt;"",IF(ROW(G12)&gt;MAX(Main!$D$4:$D$1048576),"",INDEX(Main!N$4:N$1048576,MATCH(ROW(G12),Main!$D$4:$D$1048576,0))),"")</f>
        <v>99999931001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2023/1/21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99999931013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天童市</v>
      </c>
      <c r="H15" s="10" t="str">
        <f>IF(ROW(G13)&gt;MAX(Main!$C$4:$C$1048576),"",INDEX(Main!K$4:K$1048576,MATCH(ROW(G13),Main!$C$4:$C$1048576,0)))</f>
        <v>99999931001関連</v>
      </c>
      <c r="I15" s="1">
        <f>IF(H15&lt;&gt;"",IF(ROW(G13)&gt;MAX(Main!$C$4:$C$1048576),"",INDEX(Main!N$4:N$1048576,MATCH(ROW(G13),Main!$C$4:$C$1048576,0))),"")</f>
        <v>99999931001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クラスターNo.931</v>
      </c>
      <c r="M15" s="4" t="str">
        <f>TEXT(IF(ROW(A13)&gt;MAX(Main!$D$4:$D$1048576),"",INDEX(Main!Q$4:Q$1048576,MATCH(ROW(A13),Main!$D$4:$D$1048576,0))), "yyyy/m/d")</f>
        <v>2023/1/21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99999931013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天童市</v>
      </c>
      <c r="S15" s="9" t="str">
        <f>IF(ROW(G13)&gt;MAX(Main!$D$4:$D$1048576),"",INDEX(Main!K$4:K$1048576,MATCH(ROW(G13),Main!$D$4:$D$1048576,0)))</f>
        <v>99999931001関連</v>
      </c>
      <c r="T15" s="1">
        <f>IF(S15&lt;&gt;"",IF(ROW(G13)&gt;MAX(Main!$D$4:$D$1048576),"",INDEX(Main!N$4:N$1048576,MATCH(ROW(G13),Main!$D$4:$D$1048576,0))),"")</f>
        <v>99999931001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2023/1/21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99999931014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天童市</v>
      </c>
      <c r="H16" s="10" t="str">
        <f>IF(ROW(G14)&gt;MAX(Main!$C$4:$C$1048576),"",INDEX(Main!K$4:K$1048576,MATCH(ROW(G14),Main!$C$4:$C$1048576,0)))</f>
        <v>99999931001関連</v>
      </c>
      <c r="I16" s="1">
        <f>IF(H16&lt;&gt;"",IF(ROW(G14)&gt;MAX(Main!$C$4:$C$1048576),"",INDEX(Main!N$4:N$1048576,MATCH(ROW(G14),Main!$C$4:$C$1048576,0))),"")</f>
        <v>99999931001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クラスターNo.931</v>
      </c>
      <c r="M16" s="4" t="str">
        <f>TEXT(IF(ROW(A14)&gt;MAX(Main!$D$4:$D$1048576),"",INDEX(Main!Q$4:Q$1048576,MATCH(ROW(A14),Main!$D$4:$D$1048576,0))), "yyyy/m/d")</f>
        <v>2023/1/21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99999931014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天童市</v>
      </c>
      <c r="S16" s="9" t="str">
        <f>IF(ROW(G14)&gt;MAX(Main!$D$4:$D$1048576),"",INDEX(Main!K$4:K$1048576,MATCH(ROW(G14),Main!$D$4:$D$1048576,0)))</f>
        <v>99999931001関連</v>
      </c>
      <c r="T16" s="1">
        <f>IF(S16&lt;&gt;"",IF(ROW(G14)&gt;MAX(Main!$D$4:$D$1048576),"",INDEX(Main!N$4:N$1048576,MATCH(ROW(G14),Main!$D$4:$D$1048576,0))),"")</f>
        <v>99999931001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2023/1/21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99999931015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天童市</v>
      </c>
      <c r="H17" s="10" t="str">
        <f>IF(ROW(G15)&gt;MAX(Main!$C$4:$C$1048576),"",INDEX(Main!K$4:K$1048576,MATCH(ROW(G15),Main!$C$4:$C$1048576,0)))</f>
        <v>99999931001関連</v>
      </c>
      <c r="I17" s="1">
        <f>IF(H17&lt;&gt;"",IF(ROW(G15)&gt;MAX(Main!$C$4:$C$1048576),"",INDEX(Main!N$4:N$1048576,MATCH(ROW(G15),Main!$C$4:$C$1048576,0))),"")</f>
        <v>99999931001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クラスターNo.931</v>
      </c>
      <c r="M17" s="4" t="str">
        <f>TEXT(IF(ROW(A15)&gt;MAX(Main!$D$4:$D$1048576),"",INDEX(Main!Q$4:Q$1048576,MATCH(ROW(A15),Main!$D$4:$D$1048576,0))), "yyyy/m/d")</f>
        <v>2023/1/21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99999931015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天童市</v>
      </c>
      <c r="S17" s="9" t="str">
        <f>IF(ROW(G15)&gt;MAX(Main!$D$4:$D$1048576),"",INDEX(Main!K$4:K$1048576,MATCH(ROW(G15),Main!$D$4:$D$1048576,0)))</f>
        <v>99999931001関連</v>
      </c>
      <c r="T17" s="1">
        <f>IF(S17&lt;&gt;"",IF(ROW(G15)&gt;MAX(Main!$D$4:$D$1048576),"",INDEX(Main!N$4:N$1048576,MATCH(ROW(G15),Main!$D$4:$D$1048576,0))),"")</f>
        <v>99999931001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15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99999931001,
            "date": "2023/1/21",
            "label": "クラスターNo.931\n2023/1/21\n天童市\n-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99999931002,
            "date": "2023/1/21",
            "label": "クラスターNo.931\n2023/1/21\n天童市\n-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99999931003,
            "date": "2023/1/21",
            "label": "クラスターNo.931\n2023/1/21\n天童市\n-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99999931004,
            "date": "2023/1/21",
            "label": "クラスターNo.931\n2023/1/21\n天童市\n-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99999931005,
            "date": "2023/1/21",
            "label": "クラスターNo.931\n2023/1/21\n天童市\n-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99999931006,
            "date": "2023/1/21",
            "label": "クラスターNo.931\n2023/1/21\n天童市\n-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99999931007,
            "date": "2023/1/21",
            "label": "クラスターNo.931\n2023/1/21\n天童市\n-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99999931008,
            "date": "2023/1/21",
            "label": "クラスターNo.931\n2023/1/21\n天童市\n-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99999931009,
            "date": "2023/1/21",
            "label": "クラスターNo.931\n2023/1/21\n天童市\n- ー"
        },
        "classes": ["multiline-manual", "else"]
    },
</v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99999931010,
            "date": "2023/1/21",
            "label": "クラスターNo.931\n2023/1/21\n天童市\n- ー"
        },
        "classes": ["multiline-manual", "else"]
    },
</v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99999931011,
            "date": "2023/1/21",
            "label": "クラスターNo.931\n2023/1/21\n天童市\n- ー"
        },
        "classes": ["multiline-manual", "else"]
    },
</v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99999931012,
            "date": "2023/1/21",
            "label": "クラスターNo.931\n2023/1/21\n天童市\n- ー"
        },
        "classes": ["multiline-manual", "else"]
    },
</v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99999931013,
            "date": "2023/1/21",
            "label": "クラスターNo.931\n2023/1/21\n天童市\n- ー"
        },
        "classes": ["multiline-manual", "else"]
    },
</v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99999931014,
            "date": "2023/1/21",
            "label": "クラスターNo.931\n2023/1/21\n天童市\n- ー"
        },
        "classes": ["multiline-manual", "else"]
    },
</v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99999931015,
            "date": "2023/1/21",
            "label": "クラスターNo.931\n2023/1/21\n天童市\n- ー"
        },
        "classes": ["multiline-manual", "else"]
    }</v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ht="168.75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ht="168.75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ht="168.75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ht="168.75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ht="168.75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ht="168.75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ht="168.75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ht="168.75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ht="168.75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ht="168.75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ht="168.75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ht="168.75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ht="168.75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ht="168.75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ht="168.75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ht="150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15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"99999931001",
            "target": "99999931001",
            "label": "医療機関"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"99999931002",
            "target": "99999931001",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"99999931003",
            "target": "99999931001",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"99999931004",
            "target": "99999931001",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"99999931005",
            "target": "99999931001",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"99999931006",
            "target": "99999931001",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"99999931007",
            "target": "99999931001",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"99999931008",
            "target": "99999931001",
            "label": "関連"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"99999931009",
            "target": "99999931001",
            "label": "関連"
        }
    },
</v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"99999931010",
            "target": "99999931001",
            "label": "関連"
        }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"99999931011",
            "target": "99999931001",
            "label": "関連"
        }
    },
</v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"99999931012",
            "target": "99999931001",
            "label": "関連"
        }
    },
</v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"99999931013",
            "target": "99999931001",
            "label": "関連"
        }
    },
</v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"99999931014",
            "target": "99999931001",
            "label": "関連"
        }
    },
</v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"99999931015",
            "target": "99999931001",
            "label": "関連"
        }
    }</v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ht="150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ht="150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ht="150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ht="150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ht="150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ht="150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ht="150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ht="150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ht="150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ht="150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ht="150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ht="150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ht="150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ht="150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ht="150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ht="131.25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2" sqref="E12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"lastUpdate":"2023/1/22 00:49"}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2023-01-21T15:49:32Z</dcterms:modified>
</cp:coreProperties>
</file>